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YandexDisk\Работа\2024-25 уч год\2025.03.02 ОМ\ТТПб\"/>
    </mc:Choice>
  </mc:AlternateContent>
  <xr:revisionPtr revIDLastSave="0" documentId="13_ncr:1_{7E58B4C4-8011-40D5-9028-537B6A999104}" xr6:coauthVersionLast="47" xr6:coauthVersionMax="47" xr10:uidLastSave="{00000000-0000-0000-0000-000000000000}"/>
  <bookViews>
    <workbookView xWindow="-120" yWindow="-120" windowWidth="38640" windowHeight="21240" activeTab="2" xr2:uid="{A62C22C1-0F10-4ED0-B61D-7C7A4E7B65BC}"/>
    <workbookView xWindow="-120" yWindow="-120" windowWidth="38640" windowHeight="21240" activeTab="1" xr2:uid="{8F475760-DDEA-4BD4-9A04-6DC1091D698A}"/>
  </bookViews>
  <sheets>
    <sheet name="Матрица с индикаторами" sheetId="26" r:id="rId1"/>
    <sheet name="Лист1" sheetId="28" r:id="rId2"/>
    <sheet name="Матрица" sheetId="27" r:id="rId3"/>
  </sheets>
  <definedNames>
    <definedName name="solver_adj" localSheetId="0" hidden="1">'Матрица с индикаторами'!$C$4,'Матрица с индикаторами'!$D$18,'Матрица с индикаторами'!$E$13,'Матрица с индикаторами'!$F$29,'Матрица с индикаторами'!$G$25,'Матрица с индикаторами'!$H$56:$I$56,'Матрица с индикаторами'!$J$18,'Матрица с индикаторами'!$K$22,'Матрица с индикаторами'!$L$42:$N$42,'Матрица с индикаторами'!$O$13,'Матрица с индикаторами'!$P$61,'Матрица с индикаторами'!$Q$33,'Матрица с индикаторами'!$R$4:$R$7,'Матрица с индикаторами'!$R$39,'Матрица с индикаторами'!$S$42,'Матрица с индикаторами'!$T$36,'Матрица с индикаторами'!$T$4,'Матрица с индикаторами'!$T$48:$V$48,'Матрица с индикаторами'!$V$7:$V$10,'Матрица с индикаторами'!$X$48,'Матрица с индикаторами'!$W$53,'Матрица с индикаторами'!$W$65,'Матрица с индикаторами'!$X$61,'Матрица с индикаторами'!$Y$56:$Z$56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'Матрица с индикаторами'!#REF!</definedName>
    <definedName name="solver_lhs2" localSheetId="0" hidden="1">'Матрица с индикаторами'!$C$95:$Z$95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'Матрица с индикаторами'!#REF!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3</definedName>
    <definedName name="solver_rhs1" localSheetId="0" hidden="1">16</definedName>
    <definedName name="solver_rhs2" localSheetId="0" hidden="1">18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8" l="1"/>
  <c r="C3" i="28"/>
  <c r="C4" i="28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C84" i="28"/>
  <c r="C85" i="28"/>
  <c r="C86" i="28"/>
  <c r="C87" i="28"/>
  <c r="C88" i="28"/>
  <c r="C89" i="28"/>
  <c r="C90" i="28"/>
  <c r="C91" i="28"/>
  <c r="C92" i="28"/>
  <c r="C93" i="28"/>
  <c r="C94" i="28"/>
  <c r="C95" i="28"/>
  <c r="C96" i="28"/>
  <c r="C97" i="28"/>
  <c r="C98" i="28"/>
  <c r="C99" i="28"/>
  <c r="C100" i="28"/>
  <c r="C101" i="28"/>
  <c r="C102" i="28"/>
  <c r="C103" i="28"/>
  <c r="C104" i="28"/>
  <c r="C105" i="28"/>
  <c r="C106" i="28"/>
  <c r="C107" i="28"/>
  <c r="C108" i="28"/>
  <c r="C109" i="28"/>
  <c r="C110" i="28"/>
  <c r="C111" i="28"/>
  <c r="C112" i="28"/>
  <c r="C113" i="28"/>
  <c r="C114" i="28"/>
  <c r="C115" i="28"/>
  <c r="C116" i="28"/>
  <c r="C117" i="28"/>
  <c r="C118" i="28"/>
  <c r="C119" i="28"/>
  <c r="C120" i="28"/>
  <c r="C121" i="28"/>
  <c r="C122" i="28"/>
  <c r="C123" i="28"/>
  <c r="C124" i="28"/>
  <c r="C125" i="28"/>
  <c r="C126" i="28"/>
  <c r="C127" i="28"/>
  <c r="C128" i="28"/>
  <c r="C129" i="28"/>
  <c r="C130" i="28"/>
  <c r="C131" i="28"/>
  <c r="C132" i="28"/>
  <c r="C133" i="28"/>
  <c r="C134" i="28"/>
  <c r="C135" i="28"/>
  <c r="C136" i="28"/>
  <c r="C137" i="28"/>
  <c r="C138" i="28"/>
  <c r="C139" i="28"/>
  <c r="C140" i="28"/>
  <c r="C141" i="28"/>
  <c r="C142" i="28"/>
  <c r="C143" i="28"/>
  <c r="C144" i="28"/>
  <c r="C145" i="28"/>
  <c r="C146" i="28"/>
  <c r="C147" i="28"/>
  <c r="C148" i="28"/>
  <c r="C149" i="28"/>
  <c r="C150" i="28"/>
  <c r="C151" i="28"/>
  <c r="C152" i="28"/>
  <c r="C153" i="28"/>
  <c r="C154" i="28"/>
  <c r="C155" i="28"/>
  <c r="C156" i="28"/>
  <c r="C157" i="28"/>
  <c r="C158" i="28"/>
  <c r="C159" i="28"/>
  <c r="C160" i="28"/>
  <c r="C161" i="28"/>
  <c r="C162" i="28"/>
  <c r="C163" i="28"/>
  <c r="C164" i="28"/>
  <c r="C165" i="28"/>
  <c r="C166" i="28"/>
  <c r="C167" i="28"/>
  <c r="C168" i="28"/>
  <c r="C169" i="28"/>
  <c r="C170" i="28"/>
  <c r="C171" i="28"/>
  <c r="C172" i="28"/>
  <c r="C173" i="28"/>
  <c r="C174" i="28"/>
  <c r="C175" i="28"/>
  <c r="C176" i="28"/>
  <c r="C177" i="28"/>
  <c r="C178" i="28"/>
  <c r="C179" i="28"/>
  <c r="C180" i="28"/>
  <c r="C181" i="28"/>
  <c r="C182" i="28"/>
  <c r="C183" i="28"/>
  <c r="C184" i="28"/>
  <c r="C185" i="28"/>
  <c r="C186" i="28"/>
  <c r="C187" i="28"/>
  <c r="C188" i="28"/>
  <c r="C189" i="28"/>
  <c r="C190" i="28"/>
  <c r="C191" i="28"/>
  <c r="C192" i="28"/>
  <c r="C193" i="28"/>
  <c r="C194" i="28"/>
  <c r="C195" i="28"/>
  <c r="C196" i="28"/>
  <c r="C197" i="28"/>
  <c r="C198" i="28"/>
  <c r="C199" i="28"/>
  <c r="C200" i="28"/>
  <c r="C201" i="28"/>
  <c r="C202" i="28"/>
  <c r="C203" i="28"/>
  <c r="C204" i="28"/>
  <c r="C205" i="28"/>
  <c r="C206" i="28"/>
  <c r="C207" i="28"/>
  <c r="C208" i="28"/>
  <c r="C209" i="28"/>
  <c r="C210" i="28"/>
  <c r="C211" i="28"/>
  <c r="C212" i="28"/>
  <c r="C213" i="28"/>
  <c r="C214" i="28"/>
  <c r="C215" i="28"/>
  <c r="C216" i="28"/>
  <c r="C217" i="28"/>
  <c r="C218" i="28"/>
  <c r="C219" i="28"/>
  <c r="C220" i="28"/>
  <c r="C221" i="28"/>
  <c r="C222" i="28"/>
  <c r="C223" i="28"/>
  <c r="C224" i="28"/>
  <c r="C225" i="28"/>
  <c r="C226" i="28"/>
  <c r="C227" i="28"/>
  <c r="C228" i="28"/>
  <c r="C229" i="28"/>
  <c r="C230" i="28"/>
  <c r="C231" i="28"/>
  <c r="C232" i="28"/>
  <c r="C233" i="28"/>
  <c r="C234" i="28"/>
  <c r="C235" i="28"/>
  <c r="C236" i="28"/>
  <c r="C237" i="28"/>
  <c r="C238" i="28"/>
  <c r="C239" i="28"/>
  <c r="C240" i="28"/>
  <c r="C241" i="28"/>
  <c r="C242" i="28"/>
  <c r="C243" i="28"/>
  <c r="C244" i="28"/>
  <c r="C245" i="28"/>
  <c r="C246" i="28"/>
  <c r="C247" i="28"/>
  <c r="C248" i="28"/>
  <c r="C249" i="28"/>
  <c r="C250" i="28"/>
  <c r="C251" i="28"/>
  <c r="C252" i="28"/>
  <c r="C253" i="28"/>
  <c r="C254" i="28"/>
  <c r="C255" i="28"/>
  <c r="C256" i="28"/>
  <c r="C257" i="28"/>
  <c r="C258" i="28"/>
  <c r="C259" i="28"/>
  <c r="C260" i="28"/>
  <c r="C261" i="28"/>
  <c r="C262" i="28"/>
  <c r="C263" i="28"/>
  <c r="C264" i="28"/>
  <c r="C265" i="28"/>
  <c r="C266" i="28"/>
  <c r="C267" i="28"/>
  <c r="C268" i="28"/>
  <c r="C269" i="28"/>
  <c r="C1" i="28"/>
  <c r="F3" i="28"/>
  <c r="F4" i="28"/>
  <c r="F5" i="28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F30" i="28"/>
  <c r="F31" i="28"/>
  <c r="F32" i="28"/>
  <c r="F33" i="28"/>
  <c r="F34" i="28"/>
  <c r="F35" i="28"/>
  <c r="F36" i="28"/>
  <c r="F37" i="28"/>
  <c r="F38" i="28"/>
  <c r="F39" i="28"/>
  <c r="F40" i="28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F57" i="28"/>
  <c r="F58" i="28"/>
  <c r="F59" i="28"/>
  <c r="F60" i="28"/>
  <c r="F61" i="28"/>
  <c r="F62" i="28"/>
  <c r="F63" i="28"/>
  <c r="F64" i="28"/>
  <c r="F65" i="28"/>
  <c r="F66" i="28"/>
  <c r="F67" i="28"/>
  <c r="F68" i="28"/>
  <c r="F69" i="28"/>
  <c r="F70" i="28"/>
  <c r="F71" i="28"/>
  <c r="F72" i="28"/>
  <c r="F73" i="28"/>
  <c r="F74" i="28"/>
  <c r="F75" i="28"/>
  <c r="F76" i="28"/>
  <c r="F77" i="28"/>
  <c r="F78" i="28"/>
  <c r="F79" i="28"/>
  <c r="F80" i="28"/>
  <c r="F81" i="28"/>
  <c r="F82" i="28"/>
  <c r="F83" i="28"/>
  <c r="F84" i="28"/>
  <c r="F85" i="28"/>
  <c r="F86" i="28"/>
  <c r="F87" i="28"/>
  <c r="F88" i="28"/>
  <c r="F89" i="28"/>
  <c r="F90" i="28"/>
  <c r="F91" i="28"/>
  <c r="F92" i="28"/>
  <c r="F93" i="28"/>
  <c r="F94" i="28"/>
  <c r="F95" i="28"/>
  <c r="F96" i="28"/>
  <c r="F97" i="28"/>
  <c r="F98" i="28"/>
  <c r="F99" i="28"/>
  <c r="F100" i="28"/>
  <c r="F101" i="28"/>
  <c r="F102" i="28"/>
  <c r="F103" i="28"/>
  <c r="F104" i="28"/>
  <c r="F105" i="28"/>
  <c r="F106" i="28"/>
  <c r="F107" i="28"/>
  <c r="F108" i="28"/>
  <c r="F109" i="28"/>
  <c r="F110" i="28"/>
  <c r="F111" i="28"/>
  <c r="F112" i="28"/>
  <c r="F113" i="28"/>
  <c r="F114" i="28"/>
  <c r="F115" i="28"/>
  <c r="F116" i="28"/>
  <c r="F117" i="28"/>
  <c r="F118" i="28"/>
  <c r="F119" i="28"/>
  <c r="F120" i="28"/>
  <c r="F121" i="28"/>
  <c r="F122" i="28"/>
  <c r="F123" i="28"/>
  <c r="F124" i="28"/>
  <c r="F125" i="28"/>
  <c r="F126" i="28"/>
  <c r="F127" i="28"/>
  <c r="F128" i="28"/>
  <c r="F129" i="28"/>
  <c r="F130" i="28"/>
  <c r="F131" i="28"/>
  <c r="F132" i="28"/>
  <c r="F133" i="28"/>
  <c r="F134" i="28"/>
  <c r="F135" i="28"/>
  <c r="F136" i="28"/>
  <c r="F137" i="28"/>
  <c r="F138" i="28"/>
  <c r="F139" i="28"/>
  <c r="F140" i="28"/>
  <c r="F141" i="28"/>
  <c r="F142" i="28"/>
  <c r="F143" i="28"/>
  <c r="F144" i="28"/>
  <c r="F145" i="28"/>
  <c r="F146" i="28"/>
  <c r="F147" i="28"/>
  <c r="F148" i="28"/>
  <c r="F149" i="28"/>
  <c r="F150" i="28"/>
  <c r="F151" i="28"/>
  <c r="F152" i="28"/>
  <c r="F153" i="28"/>
  <c r="F154" i="28"/>
  <c r="F155" i="28"/>
  <c r="F156" i="28"/>
  <c r="F157" i="28"/>
  <c r="F158" i="28"/>
  <c r="F159" i="28"/>
  <c r="F160" i="28"/>
  <c r="F161" i="28"/>
  <c r="F162" i="28"/>
  <c r="F163" i="28"/>
  <c r="F164" i="28"/>
  <c r="F165" i="28"/>
  <c r="F166" i="28"/>
  <c r="F167" i="28"/>
  <c r="F168" i="28"/>
  <c r="F169" i="28"/>
  <c r="F170" i="28"/>
  <c r="F171" i="28"/>
  <c r="F172" i="28"/>
  <c r="F173" i="28"/>
  <c r="F174" i="28"/>
  <c r="F175" i="28"/>
  <c r="F176" i="28"/>
  <c r="F177" i="28"/>
  <c r="F178" i="28"/>
  <c r="F179" i="28"/>
  <c r="F180" i="28"/>
  <c r="F181" i="28"/>
  <c r="F182" i="28"/>
  <c r="F183" i="28"/>
  <c r="F184" i="28"/>
  <c r="F185" i="28"/>
  <c r="F186" i="28"/>
  <c r="F187" i="28"/>
  <c r="F188" i="28"/>
  <c r="F189" i="28"/>
  <c r="F190" i="28"/>
  <c r="F191" i="28"/>
  <c r="F192" i="28"/>
  <c r="F193" i="28"/>
  <c r="F194" i="28"/>
  <c r="F195" i="28"/>
  <c r="F196" i="28"/>
  <c r="F197" i="28"/>
  <c r="F198" i="28"/>
  <c r="F199" i="28"/>
  <c r="F200" i="28"/>
  <c r="F201" i="28"/>
  <c r="F202" i="28"/>
  <c r="F203" i="28"/>
  <c r="F204" i="28"/>
  <c r="F205" i="28"/>
  <c r="F206" i="28"/>
  <c r="F207" i="28"/>
  <c r="F208" i="28"/>
  <c r="F209" i="28"/>
  <c r="F210" i="28"/>
  <c r="F211" i="28"/>
  <c r="F212" i="28"/>
  <c r="F213" i="28"/>
  <c r="F214" i="28"/>
  <c r="F215" i="28"/>
  <c r="F216" i="28"/>
  <c r="F217" i="28"/>
  <c r="F218" i="28"/>
  <c r="F219" i="28"/>
  <c r="F220" i="28"/>
  <c r="F221" i="28"/>
  <c r="F222" i="28"/>
  <c r="F223" i="28"/>
  <c r="F224" i="28"/>
  <c r="F225" i="28"/>
  <c r="F226" i="28"/>
  <c r="F227" i="28"/>
  <c r="F228" i="28"/>
  <c r="F229" i="28"/>
  <c r="F230" i="28"/>
  <c r="F231" i="28"/>
  <c r="F232" i="28"/>
  <c r="F233" i="28"/>
  <c r="F234" i="28"/>
  <c r="F235" i="28"/>
  <c r="F236" i="28"/>
  <c r="F237" i="28"/>
  <c r="F238" i="28"/>
  <c r="F239" i="28"/>
  <c r="F240" i="28"/>
  <c r="F241" i="28"/>
  <c r="F242" i="28"/>
  <c r="F243" i="28"/>
  <c r="F244" i="28"/>
  <c r="F245" i="28"/>
  <c r="F246" i="28"/>
  <c r="F247" i="28"/>
  <c r="F248" i="28"/>
  <c r="F249" i="28"/>
  <c r="F250" i="28"/>
  <c r="F251" i="28"/>
  <c r="F252" i="28"/>
  <c r="F253" i="28"/>
  <c r="F254" i="28"/>
  <c r="F255" i="28"/>
  <c r="F256" i="28"/>
  <c r="F257" i="28"/>
  <c r="F258" i="28"/>
  <c r="F259" i="28"/>
  <c r="F260" i="28"/>
  <c r="F261" i="28"/>
  <c r="F262" i="28"/>
  <c r="F263" i="28"/>
  <c r="F264" i="28"/>
  <c r="F265" i="28"/>
  <c r="F266" i="28"/>
  <c r="F267" i="28"/>
  <c r="F268" i="28"/>
  <c r="F269" i="28"/>
  <c r="F2" i="28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K95" i="26"/>
  <c r="AL95" i="26"/>
  <c r="AM95" i="26"/>
  <c r="AN95" i="26"/>
  <c r="AO95" i="26"/>
  <c r="AP95" i="26"/>
  <c r="AQ95" i="26"/>
  <c r="AR95" i="26"/>
  <c r="AS95" i="26"/>
  <c r="AT95" i="26"/>
  <c r="AU95" i="26"/>
  <c r="AV95" i="26"/>
  <c r="AW95" i="26"/>
  <c r="AX95" i="26"/>
  <c r="AY95" i="26"/>
  <c r="AZ95" i="26"/>
  <c r="BA95" i="26"/>
  <c r="BC95" i="26"/>
  <c r="BD95" i="26"/>
  <c r="BE95" i="26"/>
  <c r="BF95" i="26"/>
  <c r="C95" i="26"/>
  <c r="BF7" i="26"/>
  <c r="BF10" i="26"/>
  <c r="BF11" i="26"/>
  <c r="BF13" i="26"/>
  <c r="BF15" i="26"/>
  <c r="BF18" i="26"/>
  <c r="BF22" i="26"/>
  <c r="BF24" i="26"/>
  <c r="BF25" i="26"/>
  <c r="BF27" i="26"/>
  <c r="BF29" i="26"/>
  <c r="BF33" i="26"/>
  <c r="BF35" i="26"/>
  <c r="BF36" i="26"/>
  <c r="BF39" i="26"/>
  <c r="BF40" i="26"/>
  <c r="BF42" i="26"/>
  <c r="BF48" i="26"/>
  <c r="BF49" i="26"/>
  <c r="BF53" i="26"/>
  <c r="BF56" i="26"/>
  <c r="BF59" i="26"/>
  <c r="BF61" i="26"/>
  <c r="BF65" i="26"/>
  <c r="BF68" i="26"/>
  <c r="BF73" i="26"/>
  <c r="BF78" i="26"/>
  <c r="BF81" i="26"/>
  <c r="BF86" i="26"/>
  <c r="BF92" i="26"/>
  <c r="BE5" i="26"/>
  <c r="BE6" i="26"/>
  <c r="BE7" i="26"/>
  <c r="BE8" i="26"/>
  <c r="BE9" i="26"/>
  <c r="BE10" i="26"/>
  <c r="BE11" i="26"/>
  <c r="BE12" i="26"/>
  <c r="BE13" i="26"/>
  <c r="BE14" i="26"/>
  <c r="BE15" i="26"/>
  <c r="BE16" i="26"/>
  <c r="BE17" i="26"/>
  <c r="BE18" i="26"/>
  <c r="BE19" i="26"/>
  <c r="BE20" i="26"/>
  <c r="BE21" i="26"/>
  <c r="BE22" i="26"/>
  <c r="BE23" i="26"/>
  <c r="BE24" i="26"/>
  <c r="BE25" i="26"/>
  <c r="BE26" i="26"/>
  <c r="BE27" i="26"/>
  <c r="BE28" i="26"/>
  <c r="BE29" i="26"/>
  <c r="BE30" i="26"/>
  <c r="BE31" i="26"/>
  <c r="BE32" i="26"/>
  <c r="BE33" i="26"/>
  <c r="BE34" i="26"/>
  <c r="BE35" i="26"/>
  <c r="BE36" i="26"/>
  <c r="BE37" i="26"/>
  <c r="BE38" i="26"/>
  <c r="BE39" i="26"/>
  <c r="BE40" i="26"/>
  <c r="BE41" i="26"/>
  <c r="BE42" i="26"/>
  <c r="BE43" i="26"/>
  <c r="BE44" i="26"/>
  <c r="BE45" i="26"/>
  <c r="BE46" i="26"/>
  <c r="BE47" i="26"/>
  <c r="BE48" i="26"/>
  <c r="BE49" i="26"/>
  <c r="BE50" i="26"/>
  <c r="BE51" i="26"/>
  <c r="BE52" i="26"/>
  <c r="BE53" i="26"/>
  <c r="BE54" i="26"/>
  <c r="BE55" i="26"/>
  <c r="BE56" i="26"/>
  <c r="BE57" i="26"/>
  <c r="BE58" i="26"/>
  <c r="BE59" i="26"/>
  <c r="BE60" i="26"/>
  <c r="BE61" i="26"/>
  <c r="BE62" i="26"/>
  <c r="BE63" i="26"/>
  <c r="BE64" i="26"/>
  <c r="BE65" i="26"/>
  <c r="BE66" i="26"/>
  <c r="BE67" i="26"/>
  <c r="BE68" i="26"/>
  <c r="BE69" i="26"/>
  <c r="BE70" i="26"/>
  <c r="BE71" i="26"/>
  <c r="BE72" i="26"/>
  <c r="BE73" i="26"/>
  <c r="BE74" i="26"/>
  <c r="BE75" i="26"/>
  <c r="BE76" i="26"/>
  <c r="BE77" i="26"/>
  <c r="BE78" i="26"/>
  <c r="BE79" i="26"/>
  <c r="BE80" i="26"/>
  <c r="BE81" i="26"/>
  <c r="BE82" i="26"/>
  <c r="BE83" i="26"/>
  <c r="BE84" i="26"/>
  <c r="BE85" i="26"/>
  <c r="BE86" i="26"/>
  <c r="BE87" i="26"/>
  <c r="BE88" i="26"/>
  <c r="BE89" i="26"/>
  <c r="BE90" i="26"/>
  <c r="BE91" i="26"/>
  <c r="BE92" i="26"/>
  <c r="BE93" i="26"/>
  <c r="BE94" i="26"/>
  <c r="BB5" i="26"/>
  <c r="BF5" i="26" s="1"/>
  <c r="BB6" i="26"/>
  <c r="BF6" i="26" s="1"/>
  <c r="BB7" i="26"/>
  <c r="BB8" i="26"/>
  <c r="BF8" i="26" s="1"/>
  <c r="BB9" i="26"/>
  <c r="BB10" i="26"/>
  <c r="BB11" i="26"/>
  <c r="BB12" i="26"/>
  <c r="BF12" i="26" s="1"/>
  <c r="BB13" i="26"/>
  <c r="BB14" i="26"/>
  <c r="BF14" i="26" s="1"/>
  <c r="BB15" i="26"/>
  <c r="BB16" i="26"/>
  <c r="BF16" i="26" s="1"/>
  <c r="BB17" i="26"/>
  <c r="BF17" i="26" s="1"/>
  <c r="BB18" i="26"/>
  <c r="BB19" i="26"/>
  <c r="BF19" i="26" s="1"/>
  <c r="BB20" i="26"/>
  <c r="BF20" i="26" s="1"/>
  <c r="BB21" i="26"/>
  <c r="BB22" i="26"/>
  <c r="BB95" i="26" s="1"/>
  <c r="BB23" i="26"/>
  <c r="BF23" i="26" s="1"/>
  <c r="BB24" i="26"/>
  <c r="BB25" i="26"/>
  <c r="BB26" i="26"/>
  <c r="BF26" i="26" s="1"/>
  <c r="BB27" i="26"/>
  <c r="BB28" i="26"/>
  <c r="BF28" i="26" s="1"/>
  <c r="BB29" i="26"/>
  <c r="BB30" i="26"/>
  <c r="BF30" i="26" s="1"/>
  <c r="BB31" i="26"/>
  <c r="BF31" i="26" s="1"/>
  <c r="BB32" i="26"/>
  <c r="BF32" i="26" s="1"/>
  <c r="BB33" i="26"/>
  <c r="BB34" i="26"/>
  <c r="BF34" i="26" s="1"/>
  <c r="BB35" i="26"/>
  <c r="BB36" i="26"/>
  <c r="BB37" i="26"/>
  <c r="BF37" i="26" s="1"/>
  <c r="BB38" i="26"/>
  <c r="BF38" i="26" s="1"/>
  <c r="BB39" i="26"/>
  <c r="BB40" i="26"/>
  <c r="BB41" i="26"/>
  <c r="BF41" i="26" s="1"/>
  <c r="BB42" i="26"/>
  <c r="BB43" i="26"/>
  <c r="BF43" i="26" s="1"/>
  <c r="BB44" i="26"/>
  <c r="BF44" i="26" s="1"/>
  <c r="BB45" i="26"/>
  <c r="BF45" i="26" s="1"/>
  <c r="BB46" i="26"/>
  <c r="BF46" i="26" s="1"/>
  <c r="BB47" i="26"/>
  <c r="BF47" i="26" s="1"/>
  <c r="BB48" i="26"/>
  <c r="BB49" i="26"/>
  <c r="BB50" i="26"/>
  <c r="BF50" i="26" s="1"/>
  <c r="BB51" i="26"/>
  <c r="BF51" i="26" s="1"/>
  <c r="BB52" i="26"/>
  <c r="BF52" i="26" s="1"/>
  <c r="BB53" i="26"/>
  <c r="BB54" i="26"/>
  <c r="BF54" i="26" s="1"/>
  <c r="BB55" i="26"/>
  <c r="BF55" i="26" s="1"/>
  <c r="BB56" i="26"/>
  <c r="BB57" i="26"/>
  <c r="BF57" i="26" s="1"/>
  <c r="BB58" i="26"/>
  <c r="BF58" i="26" s="1"/>
  <c r="BB59" i="26"/>
  <c r="BB60" i="26"/>
  <c r="BF60" i="26" s="1"/>
  <c r="BB61" i="26"/>
  <c r="BB62" i="26"/>
  <c r="BF62" i="26" s="1"/>
  <c r="BB63" i="26"/>
  <c r="BF63" i="26" s="1"/>
  <c r="BB64" i="26"/>
  <c r="BF64" i="26" s="1"/>
  <c r="BB65" i="26"/>
  <c r="BB66" i="26"/>
  <c r="BF66" i="26" s="1"/>
  <c r="BB67" i="26"/>
  <c r="BF67" i="26" s="1"/>
  <c r="BB68" i="26"/>
  <c r="BB69" i="26"/>
  <c r="BF69" i="26" s="1"/>
  <c r="BB70" i="26"/>
  <c r="BF70" i="26" s="1"/>
  <c r="BB71" i="26"/>
  <c r="BF71" i="26" s="1"/>
  <c r="BB72" i="26"/>
  <c r="BF72" i="26" s="1"/>
  <c r="BB73" i="26"/>
  <c r="BB74" i="26"/>
  <c r="BF74" i="26" s="1"/>
  <c r="BB75" i="26"/>
  <c r="BF75" i="26" s="1"/>
  <c r="BB76" i="26"/>
  <c r="BF76" i="26" s="1"/>
  <c r="BB77" i="26"/>
  <c r="BF77" i="26" s="1"/>
  <c r="BB78" i="26"/>
  <c r="BB79" i="26"/>
  <c r="BF79" i="26" s="1"/>
  <c r="BB80" i="26"/>
  <c r="BF80" i="26" s="1"/>
  <c r="BB81" i="26"/>
  <c r="BB82" i="26"/>
  <c r="BF82" i="26" s="1"/>
  <c r="BB83" i="26"/>
  <c r="BF83" i="26" s="1"/>
  <c r="BB84" i="26"/>
  <c r="BF84" i="26" s="1"/>
  <c r="BB85" i="26"/>
  <c r="BF85" i="26" s="1"/>
  <c r="BB86" i="26"/>
  <c r="BB87" i="26"/>
  <c r="BF87" i="26" s="1"/>
  <c r="BB88" i="26"/>
  <c r="BF88" i="26" s="1"/>
  <c r="BB89" i="26"/>
  <c r="BF89" i="26" s="1"/>
  <c r="BB90" i="26"/>
  <c r="BF90" i="26" s="1"/>
  <c r="BB91" i="26"/>
  <c r="BF91" i="26" s="1"/>
  <c r="BB92" i="26"/>
  <c r="BB93" i="26"/>
  <c r="BF93" i="26" s="1"/>
  <c r="BB94" i="26"/>
  <c r="BF94" i="26" s="1"/>
  <c r="BD94" i="26"/>
  <c r="BC94" i="26"/>
  <c r="AZ94" i="26"/>
  <c r="AY94" i="26"/>
  <c r="AX94" i="26"/>
  <c r="AW94" i="26"/>
  <c r="AV94" i="26"/>
  <c r="AU94" i="26"/>
  <c r="AT94" i="26"/>
  <c r="AS94" i="26"/>
  <c r="AR94" i="26"/>
  <c r="AQ94" i="26"/>
  <c r="AP94" i="26"/>
  <c r="AO94" i="26"/>
  <c r="AN94" i="26"/>
  <c r="AM94" i="26"/>
  <c r="AL94" i="26"/>
  <c r="AK94" i="26"/>
  <c r="AJ94" i="26"/>
  <c r="AI94" i="26"/>
  <c r="AH94" i="26"/>
  <c r="AG94" i="26"/>
  <c r="AF94" i="26"/>
  <c r="AE94" i="26"/>
  <c r="AD94" i="26"/>
  <c r="AC94" i="26"/>
  <c r="AB94" i="26"/>
  <c r="AA94" i="26"/>
  <c r="Z94" i="26"/>
  <c r="Y94" i="26"/>
  <c r="X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D93" i="26"/>
  <c r="BC93" i="26"/>
  <c r="AZ93" i="26"/>
  <c r="AY93" i="26"/>
  <c r="AX93" i="26"/>
  <c r="AW93" i="26"/>
  <c r="AV93" i="26"/>
  <c r="AU93" i="26"/>
  <c r="AT93" i="26"/>
  <c r="AS93" i="26"/>
  <c r="AR93" i="26"/>
  <c r="AQ93" i="26"/>
  <c r="AP93" i="26"/>
  <c r="AO93" i="26"/>
  <c r="AN93" i="26"/>
  <c r="AM93" i="26"/>
  <c r="AK93" i="26"/>
  <c r="AJ93" i="26"/>
  <c r="AI93" i="26"/>
  <c r="AH93" i="26"/>
  <c r="AG93" i="26"/>
  <c r="AF93" i="26"/>
  <c r="AE93" i="26"/>
  <c r="AD93" i="26"/>
  <c r="AC93" i="26"/>
  <c r="AA93" i="26"/>
  <c r="Z93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D91" i="26"/>
  <c r="BC91" i="26"/>
  <c r="BA91" i="26"/>
  <c r="AY91" i="26"/>
  <c r="AW91" i="26"/>
  <c r="AV91" i="26"/>
  <c r="AU91" i="26"/>
  <c r="AT91" i="26"/>
  <c r="AS91" i="26"/>
  <c r="AR91" i="26"/>
  <c r="AQ91" i="26"/>
  <c r="AP91" i="26"/>
  <c r="AO91" i="26"/>
  <c r="AN91" i="26"/>
  <c r="AM91" i="26"/>
  <c r="AL91" i="26"/>
  <c r="AK91" i="26"/>
  <c r="AJ91" i="26"/>
  <c r="AI91" i="26"/>
  <c r="AH91" i="26"/>
  <c r="AG91" i="26"/>
  <c r="AF91" i="26"/>
  <c r="AD91" i="26"/>
  <c r="AC91" i="26"/>
  <c r="AB91" i="26"/>
  <c r="AA91" i="26"/>
  <c r="Z91" i="26"/>
  <c r="Y91" i="26"/>
  <c r="X91" i="26"/>
  <c r="W91" i="26"/>
  <c r="V91" i="26"/>
  <c r="U91" i="26"/>
  <c r="T91" i="26"/>
  <c r="S91" i="26"/>
  <c r="R91" i="26"/>
  <c r="Q91" i="26"/>
  <c r="P91" i="26"/>
  <c r="O91" i="26"/>
  <c r="N91" i="26"/>
  <c r="M91" i="26"/>
  <c r="L91" i="26"/>
  <c r="K91" i="26"/>
  <c r="J91" i="26"/>
  <c r="I91" i="26"/>
  <c r="H91" i="26"/>
  <c r="G91" i="26"/>
  <c r="F91" i="26"/>
  <c r="E91" i="26"/>
  <c r="D91" i="26"/>
  <c r="C91" i="26"/>
  <c r="BD90" i="26"/>
  <c r="BC90" i="26"/>
  <c r="BA90" i="26"/>
  <c r="AY90" i="26"/>
  <c r="AW90" i="26"/>
  <c r="AV90" i="26"/>
  <c r="AU90" i="26"/>
  <c r="AT90" i="26"/>
  <c r="AQ90" i="26"/>
  <c r="AP90" i="26"/>
  <c r="AO90" i="26"/>
  <c r="AN90" i="26"/>
  <c r="AM90" i="26"/>
  <c r="AL90" i="26"/>
  <c r="AK90" i="26"/>
  <c r="AJ90" i="26"/>
  <c r="AI90" i="26"/>
  <c r="AH90" i="26"/>
  <c r="AG90" i="26"/>
  <c r="AF90" i="26"/>
  <c r="AE90" i="26"/>
  <c r="AD90" i="26"/>
  <c r="AC90" i="26"/>
  <c r="AB90" i="26"/>
  <c r="AA90" i="26"/>
  <c r="Z90" i="26"/>
  <c r="Y90" i="26"/>
  <c r="X90" i="26"/>
  <c r="W90" i="26"/>
  <c r="V90" i="26"/>
  <c r="U90" i="26"/>
  <c r="T90" i="26"/>
  <c r="S90" i="26"/>
  <c r="R90" i="26"/>
  <c r="Q90" i="26"/>
  <c r="P90" i="26"/>
  <c r="O90" i="26"/>
  <c r="N90" i="26"/>
  <c r="M90" i="26"/>
  <c r="L90" i="26"/>
  <c r="K90" i="26"/>
  <c r="J90" i="26"/>
  <c r="I90" i="26"/>
  <c r="H90" i="26"/>
  <c r="G90" i="26"/>
  <c r="F90" i="26"/>
  <c r="E90" i="26"/>
  <c r="D90" i="26"/>
  <c r="C90" i="26"/>
  <c r="BD89" i="26"/>
  <c r="BC89" i="26"/>
  <c r="AZ89" i="26"/>
  <c r="AY89" i="26"/>
  <c r="AW89" i="26"/>
  <c r="AV89" i="26"/>
  <c r="AU89" i="26"/>
  <c r="AT89" i="26"/>
  <c r="AS89" i="26"/>
  <c r="AR89" i="26"/>
  <c r="AQ89" i="26"/>
  <c r="AP89" i="26"/>
  <c r="AO89" i="26"/>
  <c r="AN89" i="26"/>
  <c r="AM89" i="26"/>
  <c r="AL89" i="26"/>
  <c r="AK89" i="26"/>
  <c r="AJ89" i="26"/>
  <c r="AI89" i="26"/>
  <c r="AH89" i="26"/>
  <c r="AG89" i="26"/>
  <c r="AF89" i="26"/>
  <c r="AE89" i="26"/>
  <c r="AD89" i="26"/>
  <c r="AC89" i="26"/>
  <c r="AA89" i="26"/>
  <c r="Z89" i="26"/>
  <c r="Y89" i="26"/>
  <c r="X89" i="26"/>
  <c r="W89" i="26"/>
  <c r="V89" i="26"/>
  <c r="U89" i="26"/>
  <c r="T89" i="26"/>
  <c r="S89" i="26"/>
  <c r="R89" i="26"/>
  <c r="Q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D88" i="26"/>
  <c r="BC88" i="26"/>
  <c r="BA88" i="26"/>
  <c r="AZ88" i="26"/>
  <c r="AX88" i="26"/>
  <c r="AW88" i="26"/>
  <c r="AV88" i="26"/>
  <c r="AU88" i="26"/>
  <c r="AT88" i="26"/>
  <c r="AS88" i="26"/>
  <c r="AR88" i="26"/>
  <c r="AQ88" i="26"/>
  <c r="AP88" i="26"/>
  <c r="AO88" i="26"/>
  <c r="AN88" i="26"/>
  <c r="AM88" i="26"/>
  <c r="AL88" i="26"/>
  <c r="AK88" i="26"/>
  <c r="AJ88" i="26"/>
  <c r="AI88" i="26"/>
  <c r="AH88" i="26"/>
  <c r="AF88" i="26"/>
  <c r="AE88" i="26"/>
  <c r="AD88" i="26"/>
  <c r="AC88" i="26"/>
  <c r="AB88" i="26"/>
  <c r="AA88" i="26"/>
  <c r="Z88" i="26"/>
  <c r="Y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D87" i="26"/>
  <c r="BC87" i="26"/>
  <c r="AZ87" i="26"/>
  <c r="AY87" i="26"/>
  <c r="AX87" i="26"/>
  <c r="AW87" i="26"/>
  <c r="AV87" i="26"/>
  <c r="AU87" i="26"/>
  <c r="AT87" i="26"/>
  <c r="AS87" i="26"/>
  <c r="AR87" i="26"/>
  <c r="AQ87" i="26"/>
  <c r="AP87" i="26"/>
  <c r="AO87" i="26"/>
  <c r="AN87" i="26"/>
  <c r="AM87" i="26"/>
  <c r="AL87" i="26"/>
  <c r="AK87" i="26"/>
  <c r="AJ87" i="26"/>
  <c r="AI87" i="26"/>
  <c r="AH87" i="26"/>
  <c r="AG87" i="26"/>
  <c r="AF87" i="26"/>
  <c r="AE87" i="26"/>
  <c r="AD87" i="26"/>
  <c r="AC87" i="26"/>
  <c r="Z87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D85" i="26"/>
  <c r="BC85" i="26"/>
  <c r="BA85" i="26"/>
  <c r="AY85" i="26"/>
  <c r="AX85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G85" i="26"/>
  <c r="AF85" i="26"/>
  <c r="AE85" i="26"/>
  <c r="AD85" i="26"/>
  <c r="AC85" i="26"/>
  <c r="AB85" i="26"/>
  <c r="AA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D84" i="26"/>
  <c r="BC84" i="26"/>
  <c r="AZ84" i="26"/>
  <c r="AY84" i="26"/>
  <c r="AX84" i="26"/>
  <c r="AW84" i="26"/>
  <c r="AV84" i="26"/>
  <c r="AU84" i="26"/>
  <c r="AT84" i="26"/>
  <c r="AS84" i="26"/>
  <c r="AR84" i="26"/>
  <c r="AO84" i="26"/>
  <c r="AN84" i="26"/>
  <c r="AM84" i="26"/>
  <c r="AL84" i="26"/>
  <c r="AK84" i="26"/>
  <c r="AJ84" i="26"/>
  <c r="AI84" i="26"/>
  <c r="AH84" i="26"/>
  <c r="AG84" i="26"/>
  <c r="AF84" i="26"/>
  <c r="AE84" i="26"/>
  <c r="AD84" i="26"/>
  <c r="AC84" i="26"/>
  <c r="AB84" i="26"/>
  <c r="AA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D83" i="26"/>
  <c r="BC83" i="26"/>
  <c r="AZ83" i="26"/>
  <c r="AY83" i="26"/>
  <c r="AX83" i="26"/>
  <c r="AW83" i="26"/>
  <c r="AV83" i="26"/>
  <c r="AU83" i="26"/>
  <c r="AT83" i="26"/>
  <c r="AS83" i="26"/>
  <c r="AR83" i="26"/>
  <c r="AQ83" i="26"/>
  <c r="AP83" i="26"/>
  <c r="AO83" i="26"/>
  <c r="AN83" i="26"/>
  <c r="AM83" i="26"/>
  <c r="AL83" i="26"/>
  <c r="AK83" i="26"/>
  <c r="AJ83" i="26"/>
  <c r="AI83" i="26"/>
  <c r="AG83" i="26"/>
  <c r="AF83" i="26"/>
  <c r="AE83" i="26"/>
  <c r="AD83" i="26"/>
  <c r="AC83" i="26"/>
  <c r="AB83" i="26"/>
  <c r="AA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G83" i="26"/>
  <c r="F83" i="26"/>
  <c r="E83" i="26"/>
  <c r="D83" i="26"/>
  <c r="C83" i="26"/>
  <c r="BD82" i="26"/>
  <c r="BC82" i="26"/>
  <c r="BA82" i="26"/>
  <c r="AY82" i="26"/>
  <c r="AX82" i="26"/>
  <c r="AU82" i="26"/>
  <c r="AT82" i="26"/>
  <c r="AS82" i="26"/>
  <c r="AR82" i="26"/>
  <c r="AQ82" i="26"/>
  <c r="AP82" i="26"/>
  <c r="AO82" i="26"/>
  <c r="AN82" i="26"/>
  <c r="AM82" i="26"/>
  <c r="AL82" i="26"/>
  <c r="AK82" i="26"/>
  <c r="AJ82" i="26"/>
  <c r="AI82" i="26"/>
  <c r="AH82" i="26"/>
  <c r="AG82" i="26"/>
  <c r="AF82" i="26"/>
  <c r="AE82" i="26"/>
  <c r="AD82" i="26"/>
  <c r="AC82" i="26"/>
  <c r="AB82" i="26"/>
  <c r="AA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G82" i="26"/>
  <c r="F82" i="26"/>
  <c r="E82" i="26"/>
  <c r="D82" i="26"/>
  <c r="C82" i="26"/>
  <c r="BD80" i="26"/>
  <c r="BC80" i="26"/>
  <c r="BA80" i="26"/>
  <c r="AZ80" i="26"/>
  <c r="AX80" i="26"/>
  <c r="AW80" i="26"/>
  <c r="AV80" i="26"/>
  <c r="AU80" i="26"/>
  <c r="AT80" i="26"/>
  <c r="AS80" i="26"/>
  <c r="AR80" i="26"/>
  <c r="AQ80" i="26"/>
  <c r="AP80" i="26"/>
  <c r="AO80" i="26"/>
  <c r="AN80" i="26"/>
  <c r="AM80" i="26"/>
  <c r="AL80" i="26"/>
  <c r="AK80" i="26"/>
  <c r="AJ80" i="26"/>
  <c r="AI80" i="26"/>
  <c r="AH80" i="26"/>
  <c r="AG80" i="26"/>
  <c r="AF80" i="26"/>
  <c r="AE80" i="26"/>
  <c r="AD80" i="26"/>
  <c r="AC80" i="26"/>
  <c r="AB80" i="26"/>
  <c r="AA80" i="26"/>
  <c r="Z80" i="26"/>
  <c r="Y80" i="26"/>
  <c r="X80" i="26"/>
  <c r="V80" i="26"/>
  <c r="U80" i="26"/>
  <c r="T80" i="26"/>
  <c r="S80" i="26"/>
  <c r="R80" i="26"/>
  <c r="Q80" i="26"/>
  <c r="P80" i="26"/>
  <c r="O80" i="26"/>
  <c r="N80" i="26"/>
  <c r="M80" i="26"/>
  <c r="L80" i="26"/>
  <c r="K80" i="26"/>
  <c r="J80" i="26"/>
  <c r="I80" i="26"/>
  <c r="H80" i="26"/>
  <c r="G80" i="26"/>
  <c r="F80" i="26"/>
  <c r="E80" i="26"/>
  <c r="D80" i="26"/>
  <c r="C80" i="26"/>
  <c r="BD79" i="26"/>
  <c r="BC79" i="26"/>
  <c r="BA79" i="26"/>
  <c r="AZ79" i="26"/>
  <c r="AX79" i="26"/>
  <c r="AW79" i="26"/>
  <c r="AV79" i="26"/>
  <c r="AU79" i="26"/>
  <c r="AT79" i="26"/>
  <c r="AS79" i="26"/>
  <c r="AR79" i="26"/>
  <c r="AQ79" i="26"/>
  <c r="AP79" i="26"/>
  <c r="AO79" i="26"/>
  <c r="AN79" i="26"/>
  <c r="AM79" i="26"/>
  <c r="AL79" i="26"/>
  <c r="AK79" i="26"/>
  <c r="AI79" i="26"/>
  <c r="AH79" i="26"/>
  <c r="AG79" i="26"/>
  <c r="AF79" i="26"/>
  <c r="AE79" i="26"/>
  <c r="AD79" i="26"/>
  <c r="AC79" i="26"/>
  <c r="AB79" i="26"/>
  <c r="AA79" i="26"/>
  <c r="Z79" i="26"/>
  <c r="Y79" i="26"/>
  <c r="X79" i="26"/>
  <c r="V79" i="26"/>
  <c r="U79" i="26"/>
  <c r="T79" i="26"/>
  <c r="S79" i="26"/>
  <c r="R79" i="26"/>
  <c r="Q79" i="26"/>
  <c r="P79" i="26"/>
  <c r="O79" i="26"/>
  <c r="N79" i="26"/>
  <c r="M79" i="26"/>
  <c r="L79" i="26"/>
  <c r="K79" i="26"/>
  <c r="J79" i="26"/>
  <c r="I79" i="26"/>
  <c r="H79" i="26"/>
  <c r="G79" i="26"/>
  <c r="F79" i="26"/>
  <c r="E79" i="26"/>
  <c r="D79" i="26"/>
  <c r="C79" i="26"/>
  <c r="BD77" i="26"/>
  <c r="BC77" i="26"/>
  <c r="BA77" i="26"/>
  <c r="AY77" i="26"/>
  <c r="AX77" i="26"/>
  <c r="AW77" i="26"/>
  <c r="AV77" i="26"/>
  <c r="AU77" i="26"/>
  <c r="AT77" i="26"/>
  <c r="AS77" i="26"/>
  <c r="AR77" i="26"/>
  <c r="AQ77" i="26"/>
  <c r="AP77" i="26"/>
  <c r="AO77" i="26"/>
  <c r="AN77" i="26"/>
  <c r="AM77" i="26"/>
  <c r="AL77" i="26"/>
  <c r="AK77" i="26"/>
  <c r="AJ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D76" i="26"/>
  <c r="BC76" i="26"/>
  <c r="AZ76" i="26"/>
  <c r="AY76" i="26"/>
  <c r="AX76" i="26"/>
  <c r="AW76" i="26"/>
  <c r="AV76" i="26"/>
  <c r="AU76" i="26"/>
  <c r="AT76" i="26"/>
  <c r="AS76" i="26"/>
  <c r="AR76" i="26"/>
  <c r="AQ76" i="26"/>
  <c r="AP76" i="26"/>
  <c r="AO76" i="26"/>
  <c r="AN76" i="26"/>
  <c r="AM76" i="26"/>
  <c r="AL76" i="26"/>
  <c r="AK76" i="26"/>
  <c r="AJ76" i="26"/>
  <c r="AI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D75" i="26"/>
  <c r="BC75" i="26"/>
  <c r="AZ75" i="26"/>
  <c r="AY75" i="26"/>
  <c r="AX75" i="26"/>
  <c r="AW75" i="26"/>
  <c r="AV75" i="26"/>
  <c r="AU75" i="26"/>
  <c r="AT75" i="26"/>
  <c r="AS75" i="26"/>
  <c r="AR75" i="26"/>
  <c r="AQ75" i="26"/>
  <c r="AP75" i="26"/>
  <c r="AO75" i="26"/>
  <c r="AN75" i="26"/>
  <c r="AL75" i="26"/>
  <c r="AK75" i="26"/>
  <c r="AJ75" i="26"/>
  <c r="AI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D74" i="26"/>
  <c r="BC74" i="26"/>
  <c r="BA74" i="26"/>
  <c r="AZ74" i="26"/>
  <c r="AX74" i="26"/>
  <c r="AW74" i="26"/>
  <c r="AV74" i="26"/>
  <c r="AU74" i="26"/>
  <c r="AT74" i="26"/>
  <c r="AS74" i="26"/>
  <c r="AR74" i="26"/>
  <c r="AQ74" i="26"/>
  <c r="AP74" i="26"/>
  <c r="AO74" i="26"/>
  <c r="AN74" i="26"/>
  <c r="AM74" i="26"/>
  <c r="AL74" i="26"/>
  <c r="AJ74" i="26"/>
  <c r="AI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D72" i="26"/>
  <c r="BC72" i="26"/>
  <c r="AZ72" i="26"/>
  <c r="AY72" i="26"/>
  <c r="AX72" i="26"/>
  <c r="AW72" i="26"/>
  <c r="AV72" i="26"/>
  <c r="AS72" i="26"/>
  <c r="AR72" i="26"/>
  <c r="AQ72" i="26"/>
  <c r="AP72" i="26"/>
  <c r="AO72" i="26"/>
  <c r="AN72" i="26"/>
  <c r="AM72" i="26"/>
  <c r="AL72" i="26"/>
  <c r="AK72" i="26"/>
  <c r="AJ72" i="26"/>
  <c r="AI72" i="26"/>
  <c r="AH72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D71" i="26"/>
  <c r="BC71" i="26"/>
  <c r="BA71" i="26"/>
  <c r="AY71" i="26"/>
  <c r="AX71" i="26"/>
  <c r="AW71" i="26"/>
  <c r="AV71" i="26"/>
  <c r="AU71" i="26"/>
  <c r="AT71" i="26"/>
  <c r="AS71" i="26"/>
  <c r="AR71" i="26"/>
  <c r="AQ71" i="26"/>
  <c r="AP71" i="26"/>
  <c r="AM71" i="26"/>
  <c r="AL71" i="26"/>
  <c r="AK71" i="26"/>
  <c r="AJ71" i="26"/>
  <c r="AI71" i="26"/>
  <c r="AH71" i="26"/>
  <c r="AG71" i="26"/>
  <c r="AF71" i="26"/>
  <c r="AE71" i="26"/>
  <c r="AD71" i="26"/>
  <c r="AC71" i="26"/>
  <c r="AB71" i="26"/>
  <c r="AA71" i="26"/>
  <c r="Z71" i="26"/>
  <c r="Y71" i="26"/>
  <c r="X71" i="26"/>
  <c r="W71" i="26"/>
  <c r="V71" i="26"/>
  <c r="U71" i="26"/>
  <c r="T71" i="26"/>
  <c r="S71" i="26"/>
  <c r="R71" i="26"/>
  <c r="Q71" i="26"/>
  <c r="P71" i="26"/>
  <c r="O71" i="26"/>
  <c r="K71" i="26"/>
  <c r="J71" i="26"/>
  <c r="I71" i="26"/>
  <c r="H71" i="26"/>
  <c r="G71" i="26"/>
  <c r="F71" i="26"/>
  <c r="E71" i="26"/>
  <c r="D71" i="26"/>
  <c r="C71" i="26"/>
  <c r="BD70" i="26"/>
  <c r="BC70" i="26"/>
  <c r="BA70" i="26"/>
  <c r="AZ70" i="26"/>
  <c r="AX70" i="26"/>
  <c r="AW70" i="26"/>
  <c r="AV70" i="26"/>
  <c r="AU70" i="26"/>
  <c r="AT70" i="26"/>
  <c r="AS70" i="26"/>
  <c r="AR70" i="26"/>
  <c r="AQ70" i="26"/>
  <c r="AP70" i="26"/>
  <c r="AO70" i="26"/>
  <c r="AN70" i="26"/>
  <c r="AM70" i="26"/>
  <c r="AL70" i="26"/>
  <c r="AK70" i="26"/>
  <c r="AJ70" i="26"/>
  <c r="AI70" i="26"/>
  <c r="AH70" i="26"/>
  <c r="AG70" i="26"/>
  <c r="AF70" i="26"/>
  <c r="AE70" i="26"/>
  <c r="AD70" i="26"/>
  <c r="AC70" i="26"/>
  <c r="AB70" i="26"/>
  <c r="AA70" i="26"/>
  <c r="Z70" i="26"/>
  <c r="Y70" i="26"/>
  <c r="X70" i="26"/>
  <c r="W70" i="26"/>
  <c r="V70" i="26"/>
  <c r="U70" i="26"/>
  <c r="T70" i="26"/>
  <c r="S70" i="26"/>
  <c r="R70" i="26"/>
  <c r="Q70" i="26"/>
  <c r="P70" i="26"/>
  <c r="O70" i="26"/>
  <c r="K70" i="26"/>
  <c r="J70" i="26"/>
  <c r="I70" i="26"/>
  <c r="H70" i="26"/>
  <c r="G70" i="26"/>
  <c r="F70" i="26"/>
  <c r="E70" i="26"/>
  <c r="D70" i="26"/>
  <c r="C70" i="26"/>
  <c r="BD69" i="26"/>
  <c r="BC69" i="26"/>
  <c r="BA69" i="26"/>
  <c r="AZ69" i="26"/>
  <c r="AY69" i="26"/>
  <c r="AX69" i="26"/>
  <c r="AW69" i="26"/>
  <c r="AV69" i="26"/>
  <c r="AU69" i="26"/>
  <c r="AT69" i="26"/>
  <c r="AS69" i="26"/>
  <c r="AR69" i="26"/>
  <c r="AQ69" i="26"/>
  <c r="AP69" i="26"/>
  <c r="AO69" i="26"/>
  <c r="AN69" i="26"/>
  <c r="AM69" i="26"/>
  <c r="AL69" i="26"/>
  <c r="AK69" i="26"/>
  <c r="AJ69" i="26"/>
  <c r="AI69" i="26"/>
  <c r="AH69" i="26"/>
  <c r="AG69" i="26"/>
  <c r="AE69" i="26"/>
  <c r="AD69" i="26"/>
  <c r="AC69" i="26"/>
  <c r="AB69" i="26"/>
  <c r="AA69" i="26"/>
  <c r="Z69" i="26"/>
  <c r="Y69" i="26"/>
  <c r="X69" i="26"/>
  <c r="W69" i="26"/>
  <c r="V69" i="26"/>
  <c r="U69" i="26"/>
  <c r="T69" i="26"/>
  <c r="S69" i="26"/>
  <c r="R69" i="26"/>
  <c r="Q69" i="26"/>
  <c r="P69" i="26"/>
  <c r="O69" i="26"/>
  <c r="K69" i="26"/>
  <c r="J69" i="26"/>
  <c r="I69" i="26"/>
  <c r="H69" i="26"/>
  <c r="G69" i="26"/>
  <c r="F69" i="26"/>
  <c r="E69" i="26"/>
  <c r="D69" i="26"/>
  <c r="C69" i="26"/>
  <c r="BD67" i="26"/>
  <c r="BC67" i="26"/>
  <c r="BA67" i="26"/>
  <c r="AZ67" i="26"/>
  <c r="AY67" i="26"/>
  <c r="AX67" i="26"/>
  <c r="AW67" i="26"/>
  <c r="AV67" i="26"/>
  <c r="AU67" i="26"/>
  <c r="AT67" i="26"/>
  <c r="AS67" i="26"/>
  <c r="AR67" i="26"/>
  <c r="AQ67" i="26"/>
  <c r="AP67" i="26"/>
  <c r="AO67" i="26"/>
  <c r="AN67" i="26"/>
  <c r="AM67" i="26"/>
  <c r="AL67" i="26"/>
  <c r="AK67" i="26"/>
  <c r="AJ67" i="26"/>
  <c r="AI67" i="26"/>
  <c r="AH67" i="26"/>
  <c r="AG67" i="26"/>
  <c r="AF67" i="26"/>
  <c r="AE67" i="26"/>
  <c r="AD67" i="26"/>
  <c r="AC67" i="26"/>
  <c r="AB67" i="26"/>
  <c r="AA67" i="26"/>
  <c r="Z67" i="26"/>
  <c r="Y67" i="26"/>
  <c r="X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D66" i="26"/>
  <c r="BC66" i="26"/>
  <c r="BA66" i="26"/>
  <c r="AZ66" i="26"/>
  <c r="AY66" i="26"/>
  <c r="AX66" i="26"/>
  <c r="AW66" i="26"/>
  <c r="AV66" i="26"/>
  <c r="AU66" i="26"/>
  <c r="AT66" i="26"/>
  <c r="AS66" i="26"/>
  <c r="AR66" i="26"/>
  <c r="AQ66" i="26"/>
  <c r="AP66" i="26"/>
  <c r="AO66" i="26"/>
  <c r="AN66" i="26"/>
  <c r="AM66" i="26"/>
  <c r="AL66" i="26"/>
  <c r="AK66" i="26"/>
  <c r="AJ66" i="26"/>
  <c r="AI66" i="26"/>
  <c r="AH66" i="26"/>
  <c r="AG66" i="26"/>
  <c r="AF66" i="26"/>
  <c r="AE66" i="26"/>
  <c r="AD66" i="26"/>
  <c r="AC66" i="26"/>
  <c r="AA66" i="26"/>
  <c r="Z66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D64" i="26"/>
  <c r="BC64" i="26"/>
  <c r="BA64" i="26"/>
  <c r="AZ64" i="26"/>
  <c r="AY64" i="26"/>
  <c r="AW64" i="26"/>
  <c r="AV64" i="26"/>
  <c r="AU64" i="26"/>
  <c r="AT64" i="26"/>
  <c r="AS64" i="26"/>
  <c r="AR64" i="26"/>
  <c r="AQ64" i="26"/>
  <c r="AP64" i="26"/>
  <c r="AO64" i="26"/>
  <c r="AN64" i="26"/>
  <c r="AM64" i="26"/>
  <c r="AL64" i="26"/>
  <c r="AK64" i="26"/>
  <c r="AJ64" i="26"/>
  <c r="AI64" i="26"/>
  <c r="AH64" i="26"/>
  <c r="AG64" i="26"/>
  <c r="AF64" i="26"/>
  <c r="AE64" i="26"/>
  <c r="AD64" i="26"/>
  <c r="AC64" i="26"/>
  <c r="AB64" i="26"/>
  <c r="AA64" i="26"/>
  <c r="Z64" i="26"/>
  <c r="Y64" i="26"/>
  <c r="X64" i="26"/>
  <c r="W64" i="26"/>
  <c r="V64" i="26"/>
  <c r="U64" i="26"/>
  <c r="T64" i="26"/>
  <c r="S64" i="26"/>
  <c r="R64" i="26"/>
  <c r="Q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D63" i="26"/>
  <c r="BC63" i="26"/>
  <c r="BA63" i="26"/>
  <c r="AZ63" i="26"/>
  <c r="AY63" i="26"/>
  <c r="AX63" i="26"/>
  <c r="AW63" i="26"/>
  <c r="AV63" i="26"/>
  <c r="AU63" i="26"/>
  <c r="AT63" i="26"/>
  <c r="AS63" i="26"/>
  <c r="AR63" i="26"/>
  <c r="AQ63" i="26"/>
  <c r="AP63" i="26"/>
  <c r="AO63" i="26"/>
  <c r="AN63" i="26"/>
  <c r="AM63" i="26"/>
  <c r="AL63" i="26"/>
  <c r="AK63" i="26"/>
  <c r="AJ63" i="26"/>
  <c r="AI63" i="26"/>
  <c r="AH63" i="26"/>
  <c r="AG63" i="26"/>
  <c r="AF63" i="26"/>
  <c r="AE63" i="26"/>
  <c r="AD63" i="26"/>
  <c r="AC63" i="26"/>
  <c r="AB63" i="26"/>
  <c r="AA63" i="26"/>
  <c r="Z63" i="26"/>
  <c r="Y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D62" i="26"/>
  <c r="BC62" i="26"/>
  <c r="BA62" i="26"/>
  <c r="AZ62" i="26"/>
  <c r="AY62" i="26"/>
  <c r="AX62" i="26"/>
  <c r="AW62" i="26"/>
  <c r="AV62" i="26"/>
  <c r="AU62" i="26"/>
  <c r="AT62" i="26"/>
  <c r="AS62" i="26"/>
  <c r="AR62" i="26"/>
  <c r="AQ62" i="26"/>
  <c r="AP62" i="26"/>
  <c r="AO62" i="26"/>
  <c r="AN62" i="26"/>
  <c r="AM62" i="26"/>
  <c r="AL62" i="26"/>
  <c r="AK62" i="26"/>
  <c r="AJ62" i="26"/>
  <c r="AI62" i="26"/>
  <c r="AH62" i="26"/>
  <c r="AG62" i="26"/>
  <c r="AF62" i="26"/>
  <c r="AE62" i="26"/>
  <c r="AD62" i="26"/>
  <c r="AC62" i="26"/>
  <c r="AA62" i="26"/>
  <c r="Z62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D60" i="26"/>
  <c r="BC60" i="26"/>
  <c r="BA60" i="26"/>
  <c r="AZ60" i="26"/>
  <c r="AY60" i="26"/>
  <c r="AX60" i="26"/>
  <c r="AW60" i="26"/>
  <c r="AV60" i="26"/>
  <c r="AU60" i="26"/>
  <c r="AT60" i="26"/>
  <c r="AS60" i="26"/>
  <c r="AR60" i="26"/>
  <c r="AQ60" i="26"/>
  <c r="AP60" i="26"/>
  <c r="AO60" i="26"/>
  <c r="AN60" i="26"/>
  <c r="AM60" i="26"/>
  <c r="AL60" i="26"/>
  <c r="AK60" i="26"/>
  <c r="AJ60" i="26"/>
  <c r="AI60" i="26"/>
  <c r="AH60" i="26"/>
  <c r="AG60" i="26"/>
  <c r="AF60" i="26"/>
  <c r="AE60" i="26"/>
  <c r="AD60" i="26"/>
  <c r="AC60" i="26"/>
  <c r="AB60" i="26"/>
  <c r="AA60" i="26"/>
  <c r="Z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D59" i="26"/>
  <c r="BC59" i="26"/>
  <c r="BA59" i="26"/>
  <c r="AZ59" i="26"/>
  <c r="AY59" i="26"/>
  <c r="AX59" i="26"/>
  <c r="AW59" i="26"/>
  <c r="AV59" i="26"/>
  <c r="AU59" i="26"/>
  <c r="AT59" i="26"/>
  <c r="AS59" i="26"/>
  <c r="AR59" i="26"/>
  <c r="AQ59" i="26"/>
  <c r="AP59" i="26"/>
  <c r="AO59" i="26"/>
  <c r="AN59" i="26"/>
  <c r="AM59" i="26"/>
  <c r="AL59" i="26"/>
  <c r="AK59" i="26"/>
  <c r="AJ59" i="26"/>
  <c r="AI59" i="26"/>
  <c r="AH59" i="26"/>
  <c r="AG59" i="26"/>
  <c r="AF59" i="26"/>
  <c r="AE59" i="26"/>
  <c r="AD59" i="26"/>
  <c r="AC59" i="26"/>
  <c r="AB59" i="26"/>
  <c r="AA59" i="26"/>
  <c r="Y59" i="26"/>
  <c r="X59" i="26"/>
  <c r="W59" i="26"/>
  <c r="V59" i="26"/>
  <c r="U59" i="26"/>
  <c r="T59" i="26"/>
  <c r="S59" i="26"/>
  <c r="R59" i="26"/>
  <c r="Q59" i="26"/>
  <c r="P59" i="26"/>
  <c r="O59" i="26"/>
  <c r="N59" i="26"/>
  <c r="M59" i="26"/>
  <c r="L59" i="26"/>
  <c r="K59" i="26"/>
  <c r="J59" i="26"/>
  <c r="I59" i="26"/>
  <c r="H59" i="26"/>
  <c r="G59" i="26"/>
  <c r="F59" i="26"/>
  <c r="E59" i="26"/>
  <c r="D59" i="26"/>
  <c r="C59" i="26"/>
  <c r="BD58" i="26"/>
  <c r="BC58" i="26"/>
  <c r="BA58" i="26"/>
  <c r="AZ58" i="26"/>
  <c r="AY58" i="26"/>
  <c r="AX58" i="26"/>
  <c r="AW58" i="26"/>
  <c r="AV58" i="26"/>
  <c r="AU58" i="26"/>
  <c r="AT58" i="26"/>
  <c r="AS58" i="26"/>
  <c r="AR58" i="26"/>
  <c r="AQ58" i="26"/>
  <c r="AP58" i="26"/>
  <c r="AO58" i="26"/>
  <c r="AN58" i="26"/>
  <c r="AM58" i="26"/>
  <c r="AL58" i="26"/>
  <c r="AK58" i="26"/>
  <c r="AJ58" i="26"/>
  <c r="AI58" i="26"/>
  <c r="AH58" i="26"/>
  <c r="AG58" i="26"/>
  <c r="AF58" i="26"/>
  <c r="AE58" i="26"/>
  <c r="AD58" i="26"/>
  <c r="AC58" i="26"/>
  <c r="AB58" i="26"/>
  <c r="AA58" i="26"/>
  <c r="Y58" i="26"/>
  <c r="X58" i="26"/>
  <c r="W58" i="26"/>
  <c r="V58" i="26"/>
  <c r="U58" i="26"/>
  <c r="T58" i="26"/>
  <c r="S58" i="26"/>
  <c r="R58" i="26"/>
  <c r="Q58" i="26"/>
  <c r="P58" i="26"/>
  <c r="O58" i="26"/>
  <c r="N58" i="26"/>
  <c r="M58" i="26"/>
  <c r="L58" i="26"/>
  <c r="K58" i="26"/>
  <c r="J58" i="26"/>
  <c r="H58" i="26"/>
  <c r="G58" i="26"/>
  <c r="F58" i="26"/>
  <c r="E58" i="26"/>
  <c r="D58" i="26"/>
  <c r="C58" i="26"/>
  <c r="BD57" i="26"/>
  <c r="BC57" i="26"/>
  <c r="BA57" i="26"/>
  <c r="AZ57" i="26"/>
  <c r="AY57" i="26"/>
  <c r="AX57" i="26"/>
  <c r="AW57" i="26"/>
  <c r="AV57" i="26"/>
  <c r="AU57" i="26"/>
  <c r="AT57" i="26"/>
  <c r="AS57" i="26"/>
  <c r="AR57" i="26"/>
  <c r="AQ57" i="26"/>
  <c r="AP57" i="26"/>
  <c r="AO57" i="26"/>
  <c r="AN57" i="26"/>
  <c r="AM57" i="26"/>
  <c r="AL57" i="26"/>
  <c r="AK57" i="26"/>
  <c r="AJ57" i="26"/>
  <c r="AI57" i="26"/>
  <c r="AH57" i="26"/>
  <c r="AG57" i="26"/>
  <c r="AF57" i="26"/>
  <c r="AE57" i="26"/>
  <c r="AD57" i="26"/>
  <c r="AC57" i="26"/>
  <c r="AB57" i="26"/>
  <c r="AA57" i="26"/>
  <c r="Z57" i="26"/>
  <c r="Y57" i="26"/>
  <c r="X57" i="26"/>
  <c r="W57" i="26"/>
  <c r="V57" i="26"/>
  <c r="U57" i="26"/>
  <c r="T57" i="26"/>
  <c r="S57" i="26"/>
  <c r="R57" i="26"/>
  <c r="Q57" i="26"/>
  <c r="P57" i="26"/>
  <c r="O57" i="26"/>
  <c r="N57" i="26"/>
  <c r="M57" i="26"/>
  <c r="L57" i="26"/>
  <c r="K57" i="26"/>
  <c r="J57" i="26"/>
  <c r="I57" i="26"/>
  <c r="G57" i="26"/>
  <c r="F57" i="26"/>
  <c r="E57" i="26"/>
  <c r="D57" i="26"/>
  <c r="C57" i="26"/>
  <c r="BD55" i="26"/>
  <c r="BC55" i="26"/>
  <c r="BA55" i="26"/>
  <c r="AZ55" i="26"/>
  <c r="AY55" i="26"/>
  <c r="AX55" i="26"/>
  <c r="AW55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AJ55" i="26"/>
  <c r="AI55" i="26"/>
  <c r="AH55" i="26"/>
  <c r="AG55" i="26"/>
  <c r="AF55" i="26"/>
  <c r="AE55" i="26"/>
  <c r="AD55" i="26"/>
  <c r="AC55" i="26"/>
  <c r="AB55" i="26"/>
  <c r="AA55" i="26"/>
  <c r="Z55" i="26"/>
  <c r="Y55" i="26"/>
  <c r="X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D54" i="26"/>
  <c r="BC54" i="26"/>
  <c r="BA54" i="26"/>
  <c r="AZ54" i="26"/>
  <c r="AY54" i="26"/>
  <c r="AX54" i="26"/>
  <c r="AW54" i="26"/>
  <c r="AV54" i="26"/>
  <c r="AU54" i="26"/>
  <c r="AT54" i="26"/>
  <c r="AS54" i="26"/>
  <c r="AR54" i="26"/>
  <c r="AQ54" i="26"/>
  <c r="AP54" i="26"/>
  <c r="AO54" i="26"/>
  <c r="AN54" i="26"/>
  <c r="AM54" i="26"/>
  <c r="AL54" i="26"/>
  <c r="AK54" i="26"/>
  <c r="AJ54" i="26"/>
  <c r="AI54" i="26"/>
  <c r="AH54" i="26"/>
  <c r="AG54" i="26"/>
  <c r="AF54" i="26"/>
  <c r="AE54" i="26"/>
  <c r="AD54" i="26"/>
  <c r="AC54" i="26"/>
  <c r="AB54" i="26"/>
  <c r="AA54" i="26"/>
  <c r="Z54" i="26"/>
  <c r="Y54" i="26"/>
  <c r="X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D52" i="26"/>
  <c r="BC52" i="26"/>
  <c r="BA52" i="26"/>
  <c r="AZ52" i="26"/>
  <c r="AY52" i="26"/>
  <c r="AX52" i="26"/>
  <c r="AW52" i="26"/>
  <c r="AV52" i="26"/>
  <c r="AU52" i="26"/>
  <c r="AT52" i="26"/>
  <c r="AS52" i="26"/>
  <c r="AR52" i="26"/>
  <c r="AQ52" i="26"/>
  <c r="AP52" i="26"/>
  <c r="AO52" i="26"/>
  <c r="AN52" i="26"/>
  <c r="AM52" i="26"/>
  <c r="AL52" i="26"/>
  <c r="AK52" i="26"/>
  <c r="AJ52" i="26"/>
  <c r="AI52" i="26"/>
  <c r="AH52" i="26"/>
  <c r="AG52" i="26"/>
  <c r="AF52" i="26"/>
  <c r="AE52" i="26"/>
  <c r="AD52" i="26"/>
  <c r="AC52" i="26"/>
  <c r="AB52" i="26"/>
  <c r="AA52" i="26"/>
  <c r="Z52" i="26"/>
  <c r="Y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D51" i="26"/>
  <c r="BC51" i="26"/>
  <c r="BA51" i="26"/>
  <c r="AZ51" i="26"/>
  <c r="AY51" i="26"/>
  <c r="AX51" i="26"/>
  <c r="AW51" i="26"/>
  <c r="AV51" i="26"/>
  <c r="AU51" i="26"/>
  <c r="AT51" i="26"/>
  <c r="AS51" i="26"/>
  <c r="AR51" i="26"/>
  <c r="AQ51" i="26"/>
  <c r="AP51" i="26"/>
  <c r="AO51" i="26"/>
  <c r="AN51" i="26"/>
  <c r="AM51" i="26"/>
  <c r="AL51" i="26"/>
  <c r="AK51" i="26"/>
  <c r="AJ51" i="26"/>
  <c r="AI51" i="26"/>
  <c r="AH51" i="26"/>
  <c r="AG51" i="26"/>
  <c r="AF51" i="26"/>
  <c r="AE51" i="26"/>
  <c r="AD51" i="26"/>
  <c r="AC51" i="26"/>
  <c r="AB51" i="26"/>
  <c r="AA51" i="26"/>
  <c r="Z51" i="26"/>
  <c r="Y51" i="26"/>
  <c r="X51" i="26"/>
  <c r="W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D50" i="26"/>
  <c r="BC50" i="26"/>
  <c r="BA50" i="26"/>
  <c r="AZ50" i="26"/>
  <c r="AY50" i="26"/>
  <c r="AX50" i="26"/>
  <c r="AW50" i="26"/>
  <c r="AV50" i="26"/>
  <c r="AU50" i="26"/>
  <c r="AT50" i="26"/>
  <c r="AS50" i="26"/>
  <c r="AR50" i="26"/>
  <c r="AQ50" i="26"/>
  <c r="AP50" i="26"/>
  <c r="AO50" i="26"/>
  <c r="AN50" i="26"/>
  <c r="AM50" i="26"/>
  <c r="AL50" i="26"/>
  <c r="AK50" i="26"/>
  <c r="AJ50" i="26"/>
  <c r="AI50" i="26"/>
  <c r="AH50" i="26"/>
  <c r="AG50" i="26"/>
  <c r="AF50" i="26"/>
  <c r="AE50" i="26"/>
  <c r="AD50" i="26"/>
  <c r="AC50" i="26"/>
  <c r="AB50" i="26"/>
  <c r="AA50" i="26"/>
  <c r="Z50" i="26"/>
  <c r="Y50" i="26"/>
  <c r="X50" i="26"/>
  <c r="W50" i="26"/>
  <c r="V50" i="26"/>
  <c r="U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D49" i="26"/>
  <c r="BC49" i="26"/>
  <c r="BA49" i="26"/>
  <c r="AZ49" i="26"/>
  <c r="AY49" i="26"/>
  <c r="AX49" i="26"/>
  <c r="AW49" i="26"/>
  <c r="AV49" i="26"/>
  <c r="AU49" i="26"/>
  <c r="AT49" i="26"/>
  <c r="AS49" i="26"/>
  <c r="AR49" i="26"/>
  <c r="AQ49" i="26"/>
  <c r="AP49" i="26"/>
  <c r="AO49" i="26"/>
  <c r="AN49" i="26"/>
  <c r="AM49" i="26"/>
  <c r="AL49" i="26"/>
  <c r="AK49" i="26"/>
  <c r="AJ49" i="26"/>
  <c r="AI49" i="26"/>
  <c r="AH49" i="26"/>
  <c r="AG49" i="26"/>
  <c r="AF49" i="26"/>
  <c r="AE49" i="26"/>
  <c r="AD49" i="26"/>
  <c r="AC49" i="26"/>
  <c r="AB49" i="26"/>
  <c r="AA49" i="26"/>
  <c r="Z49" i="26"/>
  <c r="Y49" i="26"/>
  <c r="X49" i="26"/>
  <c r="W49" i="26"/>
  <c r="V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D47" i="26"/>
  <c r="BC47" i="26"/>
  <c r="BA47" i="26"/>
  <c r="AZ47" i="26"/>
  <c r="AY47" i="26"/>
  <c r="AX47" i="26"/>
  <c r="AW47" i="26"/>
  <c r="AV47" i="26"/>
  <c r="AU47" i="26"/>
  <c r="AT47" i="26"/>
  <c r="AS47" i="26"/>
  <c r="AR47" i="26"/>
  <c r="AQ47" i="26"/>
  <c r="AP47" i="26"/>
  <c r="AO47" i="26"/>
  <c r="AN47" i="26"/>
  <c r="AM47" i="26"/>
  <c r="AL47" i="26"/>
  <c r="AK47" i="26"/>
  <c r="AJ47" i="26"/>
  <c r="AI47" i="26"/>
  <c r="AH47" i="26"/>
  <c r="AG47" i="26"/>
  <c r="AF47" i="26"/>
  <c r="AE47" i="26"/>
  <c r="AD47" i="26"/>
  <c r="AC47" i="26"/>
  <c r="AB47" i="26"/>
  <c r="Z47" i="26"/>
  <c r="Y47" i="26"/>
  <c r="X47" i="26"/>
  <c r="W47" i="26"/>
  <c r="V47" i="26"/>
  <c r="U47" i="26"/>
  <c r="T47" i="26"/>
  <c r="S47" i="26"/>
  <c r="R47" i="26"/>
  <c r="Q47" i="26"/>
  <c r="P47" i="26"/>
  <c r="O47" i="26"/>
  <c r="N47" i="26"/>
  <c r="M47" i="26"/>
  <c r="L47" i="26"/>
  <c r="K47" i="26"/>
  <c r="J47" i="26"/>
  <c r="I47" i="26"/>
  <c r="H47" i="26"/>
  <c r="G47" i="26"/>
  <c r="F47" i="26"/>
  <c r="E47" i="26"/>
  <c r="D47" i="26"/>
  <c r="C47" i="26"/>
  <c r="BD46" i="26"/>
  <c r="BC46" i="26"/>
  <c r="BA46" i="26"/>
  <c r="AZ46" i="26"/>
  <c r="AY46" i="26"/>
  <c r="AX46" i="26"/>
  <c r="AW46" i="26"/>
  <c r="AV46" i="26"/>
  <c r="AU46" i="26"/>
  <c r="AT46" i="26"/>
  <c r="AS46" i="26"/>
  <c r="AR46" i="26"/>
  <c r="AQ46" i="26"/>
  <c r="AP46" i="26"/>
  <c r="AO46" i="26"/>
  <c r="AN46" i="26"/>
  <c r="AM46" i="26"/>
  <c r="AL46" i="26"/>
  <c r="AK46" i="26"/>
  <c r="AJ46" i="26"/>
  <c r="AI46" i="26"/>
  <c r="AH46" i="26"/>
  <c r="AG46" i="26"/>
  <c r="AF46" i="26"/>
  <c r="AE46" i="26"/>
  <c r="AD46" i="26"/>
  <c r="AC46" i="26"/>
  <c r="AB46" i="26"/>
  <c r="AA46" i="26"/>
  <c r="Z46" i="26"/>
  <c r="Y46" i="26"/>
  <c r="X46" i="26"/>
  <c r="W46" i="26"/>
  <c r="V46" i="26"/>
  <c r="U46" i="26"/>
  <c r="T46" i="26"/>
  <c r="R46" i="26"/>
  <c r="Q46" i="26"/>
  <c r="P46" i="26"/>
  <c r="O46" i="26"/>
  <c r="N46" i="26"/>
  <c r="M46" i="26"/>
  <c r="L46" i="26"/>
  <c r="K46" i="26"/>
  <c r="J46" i="26"/>
  <c r="I46" i="26"/>
  <c r="H46" i="26"/>
  <c r="G46" i="26"/>
  <c r="F46" i="26"/>
  <c r="E46" i="26"/>
  <c r="D46" i="26"/>
  <c r="C46" i="26"/>
  <c r="BD45" i="26"/>
  <c r="BC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M45" i="26"/>
  <c r="AL45" i="26"/>
  <c r="AK45" i="26"/>
  <c r="AJ45" i="26"/>
  <c r="AI45" i="26"/>
  <c r="AH45" i="26"/>
  <c r="AG45" i="26"/>
  <c r="AF45" i="26"/>
  <c r="AE45" i="26"/>
  <c r="AD45" i="26"/>
  <c r="AC45" i="26"/>
  <c r="AB45" i="26"/>
  <c r="AA45" i="26"/>
  <c r="Z45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K45" i="26"/>
  <c r="J45" i="26"/>
  <c r="I45" i="26"/>
  <c r="H45" i="26"/>
  <c r="G45" i="26"/>
  <c r="F45" i="26"/>
  <c r="E45" i="26"/>
  <c r="D45" i="26"/>
  <c r="C45" i="26"/>
  <c r="BD44" i="26"/>
  <c r="BC44" i="26"/>
  <c r="BA44" i="26"/>
  <c r="AZ44" i="26"/>
  <c r="AY44" i="26"/>
  <c r="AX44" i="26"/>
  <c r="AW44" i="26"/>
  <c r="AV44" i="26"/>
  <c r="AU44" i="26"/>
  <c r="AT44" i="26"/>
  <c r="AS44" i="26"/>
  <c r="AR44" i="26"/>
  <c r="AQ44" i="26"/>
  <c r="AP44" i="26"/>
  <c r="AO44" i="26"/>
  <c r="AN44" i="26"/>
  <c r="AM44" i="26"/>
  <c r="AL44" i="26"/>
  <c r="AK44" i="26"/>
  <c r="AJ44" i="26"/>
  <c r="AI44" i="26"/>
  <c r="AH44" i="26"/>
  <c r="AG44" i="26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K44" i="26"/>
  <c r="J44" i="26"/>
  <c r="I44" i="26"/>
  <c r="H44" i="26"/>
  <c r="G44" i="26"/>
  <c r="F44" i="26"/>
  <c r="E44" i="26"/>
  <c r="D44" i="26"/>
  <c r="C44" i="26"/>
  <c r="BD43" i="26"/>
  <c r="BC43" i="26"/>
  <c r="BA43" i="26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M43" i="26"/>
  <c r="AL43" i="26"/>
  <c r="AK43" i="26"/>
  <c r="AJ43" i="26"/>
  <c r="AI43" i="26"/>
  <c r="AH43" i="26"/>
  <c r="AG43" i="26"/>
  <c r="AF43" i="26"/>
  <c r="AE43" i="26"/>
  <c r="AD43" i="26"/>
  <c r="AC43" i="26"/>
  <c r="AB43" i="26"/>
  <c r="AA43" i="26"/>
  <c r="Z43" i="26"/>
  <c r="Y43" i="26"/>
  <c r="X43" i="26"/>
  <c r="W43" i="26"/>
  <c r="V43" i="26"/>
  <c r="U43" i="26"/>
  <c r="T43" i="26"/>
  <c r="S43" i="26"/>
  <c r="R43" i="26"/>
  <c r="Q43" i="26"/>
  <c r="P43" i="26"/>
  <c r="O43" i="26"/>
  <c r="M43" i="26"/>
  <c r="L43" i="26"/>
  <c r="K43" i="26"/>
  <c r="J43" i="26"/>
  <c r="I43" i="26"/>
  <c r="H43" i="26"/>
  <c r="G43" i="26"/>
  <c r="F43" i="26"/>
  <c r="E43" i="26"/>
  <c r="D43" i="26"/>
  <c r="C43" i="26"/>
  <c r="BD41" i="26"/>
  <c r="BC41" i="26"/>
  <c r="BA41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M41" i="26"/>
  <c r="AL41" i="26"/>
  <c r="AK41" i="26"/>
  <c r="AJ41" i="26"/>
  <c r="AI41" i="26"/>
  <c r="AH41" i="26"/>
  <c r="AG41" i="26"/>
  <c r="AF41" i="26"/>
  <c r="AE41" i="26"/>
  <c r="AD41" i="26"/>
  <c r="AC41" i="26"/>
  <c r="AB41" i="26"/>
  <c r="AA41" i="26"/>
  <c r="Z41" i="26"/>
  <c r="Y41" i="26"/>
  <c r="X41" i="26"/>
  <c r="W41" i="26"/>
  <c r="V41" i="26"/>
  <c r="U41" i="26"/>
  <c r="T41" i="26"/>
  <c r="S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D40" i="26"/>
  <c r="BC40" i="26"/>
  <c r="BA40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M40" i="26"/>
  <c r="AL40" i="26"/>
  <c r="AK40" i="26"/>
  <c r="AJ40" i="26"/>
  <c r="AI40" i="26"/>
  <c r="AH40" i="26"/>
  <c r="AG40" i="26"/>
  <c r="AF40" i="26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D38" i="26"/>
  <c r="BC38" i="26"/>
  <c r="BA38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M38" i="26"/>
  <c r="AL38" i="26"/>
  <c r="AK38" i="26"/>
  <c r="AJ38" i="26"/>
  <c r="AI38" i="26"/>
  <c r="AH38" i="26"/>
  <c r="AG38" i="26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D37" i="26"/>
  <c r="BC37" i="26"/>
  <c r="BA37" i="26"/>
  <c r="AZ37" i="26"/>
  <c r="AY37" i="26"/>
  <c r="AX37" i="26"/>
  <c r="AW37" i="26"/>
  <c r="AV37" i="26"/>
  <c r="AU37" i="26"/>
  <c r="AT37" i="26"/>
  <c r="AS37" i="26"/>
  <c r="AR37" i="26"/>
  <c r="AQ37" i="26"/>
  <c r="AP37" i="26"/>
  <c r="AO37" i="26"/>
  <c r="AN37" i="26"/>
  <c r="AM37" i="26"/>
  <c r="AL37" i="26"/>
  <c r="AK37" i="26"/>
  <c r="AJ37" i="26"/>
  <c r="AI37" i="26"/>
  <c r="AH37" i="26"/>
  <c r="AG37" i="26"/>
  <c r="AF37" i="26"/>
  <c r="AE37" i="26"/>
  <c r="AD37" i="26"/>
  <c r="AC37" i="26"/>
  <c r="AB37" i="26"/>
  <c r="AA37" i="26"/>
  <c r="Z37" i="26"/>
  <c r="Y37" i="26"/>
  <c r="X37" i="26"/>
  <c r="W37" i="26"/>
  <c r="V37" i="26"/>
  <c r="U37" i="26"/>
  <c r="S37" i="26"/>
  <c r="R37" i="26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D35" i="26"/>
  <c r="BC35" i="26"/>
  <c r="BA35" i="26"/>
  <c r="AZ35" i="26"/>
  <c r="AY35" i="26"/>
  <c r="AX35" i="26"/>
  <c r="AW35" i="26"/>
  <c r="AV35" i="26"/>
  <c r="AU35" i="26"/>
  <c r="AT35" i="26"/>
  <c r="AS35" i="26"/>
  <c r="AR35" i="26"/>
  <c r="AQ35" i="26"/>
  <c r="AP35" i="26"/>
  <c r="AO35" i="26"/>
  <c r="AN35" i="26"/>
  <c r="AM35" i="26"/>
  <c r="AL35" i="26"/>
  <c r="AK35" i="26"/>
  <c r="AJ35" i="26"/>
  <c r="AI35" i="26"/>
  <c r="AH35" i="26"/>
  <c r="AG35" i="26"/>
  <c r="AF35" i="26"/>
  <c r="AE35" i="26"/>
  <c r="AD35" i="26"/>
  <c r="AC35" i="26"/>
  <c r="AB35" i="26"/>
  <c r="AA35" i="26"/>
  <c r="Z35" i="26"/>
  <c r="Y35" i="26"/>
  <c r="X35" i="26"/>
  <c r="W35" i="26"/>
  <c r="V35" i="26"/>
  <c r="U35" i="26"/>
  <c r="T35" i="26"/>
  <c r="S35" i="26"/>
  <c r="R35" i="26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D34" i="26"/>
  <c r="BC34" i="26"/>
  <c r="BA34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M34" i="26"/>
  <c r="AL34" i="26"/>
  <c r="AK34" i="26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T34" i="26"/>
  <c r="S34" i="26"/>
  <c r="R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D32" i="26"/>
  <c r="BC32" i="26"/>
  <c r="BA32" i="26"/>
  <c r="AZ32" i="26"/>
  <c r="AY32" i="26"/>
  <c r="AX32" i="26"/>
  <c r="AW32" i="26"/>
  <c r="AV32" i="26"/>
  <c r="AU32" i="26"/>
  <c r="AT32" i="26"/>
  <c r="AS32" i="26"/>
  <c r="AR32" i="26"/>
  <c r="AQ32" i="26"/>
  <c r="AP32" i="26"/>
  <c r="AO32" i="26"/>
  <c r="AN32" i="26"/>
  <c r="AM32" i="26"/>
  <c r="AL32" i="26"/>
  <c r="AK32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E32" i="26"/>
  <c r="D32" i="26"/>
  <c r="C32" i="26"/>
  <c r="BD31" i="26"/>
  <c r="BC31" i="26"/>
  <c r="BA31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J31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E31" i="26"/>
  <c r="D31" i="26"/>
  <c r="C31" i="26"/>
  <c r="BD30" i="26"/>
  <c r="BC30" i="26"/>
  <c r="BA30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M30" i="26"/>
  <c r="AL30" i="26"/>
  <c r="AK30" i="26"/>
  <c r="AJ30" i="26"/>
  <c r="AI30" i="26"/>
  <c r="AH30" i="26"/>
  <c r="AG30" i="26"/>
  <c r="AF30" i="26"/>
  <c r="AE30" i="26"/>
  <c r="AD30" i="26"/>
  <c r="AC30" i="26"/>
  <c r="AB30" i="26"/>
  <c r="AA30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E30" i="26"/>
  <c r="D30" i="26"/>
  <c r="C30" i="26"/>
  <c r="BD28" i="26"/>
  <c r="BC28" i="26"/>
  <c r="BA28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M28" i="26"/>
  <c r="AL28" i="26"/>
  <c r="AK28" i="26"/>
  <c r="AJ28" i="26"/>
  <c r="AI28" i="26"/>
  <c r="AH28" i="26"/>
  <c r="AG28" i="26"/>
  <c r="AF28" i="26"/>
  <c r="AE28" i="26"/>
  <c r="AC28" i="26"/>
  <c r="AB28" i="26"/>
  <c r="AA28" i="26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D27" i="26"/>
  <c r="BC27" i="26"/>
  <c r="BA27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M27" i="26"/>
  <c r="AL27" i="26"/>
  <c r="AK27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D26" i="26"/>
  <c r="BC26" i="26"/>
  <c r="BA26" i="26"/>
  <c r="AZ26" i="26"/>
  <c r="AY26" i="26"/>
  <c r="AX26" i="26"/>
  <c r="AW26" i="26"/>
  <c r="AV26" i="26"/>
  <c r="AU26" i="26"/>
  <c r="AT26" i="26"/>
  <c r="AS26" i="26"/>
  <c r="AR26" i="26"/>
  <c r="AQ26" i="26"/>
  <c r="AP26" i="26"/>
  <c r="AO26" i="26"/>
  <c r="AN26" i="26"/>
  <c r="AM26" i="26"/>
  <c r="AL26" i="26"/>
  <c r="AK26" i="26"/>
  <c r="AJ26" i="26"/>
  <c r="AI26" i="26"/>
  <c r="AH26" i="26"/>
  <c r="AG26" i="26"/>
  <c r="AF26" i="26"/>
  <c r="AE26" i="26"/>
  <c r="AD26" i="26"/>
  <c r="AC26" i="26"/>
  <c r="AB26" i="26"/>
  <c r="AA26" i="26"/>
  <c r="Z26" i="26"/>
  <c r="Y26" i="26"/>
  <c r="X26" i="26"/>
  <c r="W26" i="26"/>
  <c r="V26" i="26"/>
  <c r="U26" i="26"/>
  <c r="T26" i="26"/>
  <c r="S26" i="26"/>
  <c r="R26" i="26"/>
  <c r="Q26" i="26"/>
  <c r="P26" i="26"/>
  <c r="O26" i="26"/>
  <c r="N26" i="26"/>
  <c r="M26" i="26"/>
  <c r="L26" i="26"/>
  <c r="K26" i="26"/>
  <c r="J26" i="26"/>
  <c r="I26" i="26"/>
  <c r="H26" i="26"/>
  <c r="F26" i="26"/>
  <c r="E26" i="26"/>
  <c r="D26" i="26"/>
  <c r="C26" i="26"/>
  <c r="BD24" i="26"/>
  <c r="BC24" i="26"/>
  <c r="BA24" i="26"/>
  <c r="AZ24" i="26"/>
  <c r="AY24" i="26"/>
  <c r="AX24" i="26"/>
  <c r="AW24" i="26"/>
  <c r="AV24" i="26"/>
  <c r="AU24" i="26"/>
  <c r="AT24" i="26"/>
  <c r="AS24" i="26"/>
  <c r="AR24" i="26"/>
  <c r="AQ24" i="26"/>
  <c r="AP24" i="26"/>
  <c r="AO24" i="26"/>
  <c r="AN24" i="26"/>
  <c r="AM24" i="26"/>
  <c r="AL24" i="26"/>
  <c r="AK24" i="26"/>
  <c r="AJ24" i="26"/>
  <c r="AI24" i="26"/>
  <c r="AH24" i="26"/>
  <c r="AG24" i="26"/>
  <c r="AF24" i="26"/>
  <c r="AE24" i="26"/>
  <c r="AD24" i="26"/>
  <c r="AC24" i="26"/>
  <c r="AB24" i="26"/>
  <c r="AA24" i="26"/>
  <c r="Z24" i="26"/>
  <c r="Y24" i="26"/>
  <c r="X24" i="26"/>
  <c r="W24" i="26"/>
  <c r="V24" i="26"/>
  <c r="U24" i="26"/>
  <c r="T24" i="26"/>
  <c r="S24" i="26"/>
  <c r="R24" i="26"/>
  <c r="Q24" i="26"/>
  <c r="P24" i="26"/>
  <c r="O24" i="26"/>
  <c r="N24" i="26"/>
  <c r="M24" i="26"/>
  <c r="L24" i="26"/>
  <c r="K24" i="26"/>
  <c r="J24" i="26"/>
  <c r="I24" i="26"/>
  <c r="H24" i="26"/>
  <c r="G24" i="26"/>
  <c r="F24" i="26"/>
  <c r="E24" i="26"/>
  <c r="D24" i="26"/>
  <c r="C24" i="26"/>
  <c r="BD23" i="26"/>
  <c r="BC23" i="26"/>
  <c r="BA23" i="26"/>
  <c r="AZ23" i="26"/>
  <c r="AY23" i="26"/>
  <c r="AX23" i="26"/>
  <c r="AW23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J23" i="26"/>
  <c r="I23" i="26"/>
  <c r="H23" i="26"/>
  <c r="G23" i="26"/>
  <c r="F23" i="26"/>
  <c r="E23" i="26"/>
  <c r="D23" i="26"/>
  <c r="C23" i="26"/>
  <c r="BD21" i="26"/>
  <c r="BA21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I21" i="26"/>
  <c r="H21" i="26"/>
  <c r="G21" i="26"/>
  <c r="F21" i="26"/>
  <c r="E21" i="26"/>
  <c r="D21" i="26"/>
  <c r="C21" i="26"/>
  <c r="BD20" i="26"/>
  <c r="BC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M20" i="26"/>
  <c r="AL20" i="26"/>
  <c r="AK20" i="26"/>
  <c r="AJ20" i="26"/>
  <c r="AI20" i="26"/>
  <c r="AH20" i="26"/>
  <c r="AG20" i="26"/>
  <c r="AF20" i="26"/>
  <c r="AE20" i="26"/>
  <c r="AD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D19" i="26"/>
  <c r="BC19" i="26"/>
  <c r="BA19" i="26"/>
  <c r="AZ19" i="26"/>
  <c r="AY19" i="26"/>
  <c r="AX19" i="26"/>
  <c r="AW19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J19" i="26"/>
  <c r="AI19" i="26"/>
  <c r="AH19" i="26"/>
  <c r="AG19" i="26"/>
  <c r="AF19" i="26"/>
  <c r="AE19" i="26"/>
  <c r="AD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C19" i="26"/>
  <c r="BD17" i="26"/>
  <c r="BC17" i="26"/>
  <c r="BA17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D17" i="26"/>
  <c r="C17" i="26"/>
  <c r="BD16" i="26"/>
  <c r="BC16" i="26"/>
  <c r="BA16" i="26"/>
  <c r="AZ16" i="26"/>
  <c r="AY16" i="26"/>
  <c r="AX16" i="26"/>
  <c r="AW16" i="26"/>
  <c r="AV16" i="26"/>
  <c r="AU16" i="26"/>
  <c r="AT16" i="26"/>
  <c r="AS16" i="26"/>
  <c r="AR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D16" i="26"/>
  <c r="C16" i="26"/>
  <c r="BD15" i="26"/>
  <c r="BC15" i="26"/>
  <c r="BA15" i="26"/>
  <c r="AZ15" i="26"/>
  <c r="AY15" i="26"/>
  <c r="AX15" i="26"/>
  <c r="AW15" i="26"/>
  <c r="AV15" i="26"/>
  <c r="AU15" i="26"/>
  <c r="AT15" i="26"/>
  <c r="AS15" i="26"/>
  <c r="AR15" i="26"/>
  <c r="AQ15" i="26"/>
  <c r="AP15" i="26"/>
  <c r="AO15" i="26"/>
  <c r="AN15" i="26"/>
  <c r="AM15" i="26"/>
  <c r="AL15" i="26"/>
  <c r="AK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BD14" i="26"/>
  <c r="BC14" i="26"/>
  <c r="BA14" i="26"/>
  <c r="AZ14" i="26"/>
  <c r="AY14" i="26"/>
  <c r="AX14" i="26"/>
  <c r="AW14" i="26"/>
  <c r="AV14" i="26"/>
  <c r="AU14" i="26"/>
  <c r="AT14" i="26"/>
  <c r="AS14" i="26"/>
  <c r="AR14" i="26"/>
  <c r="AQ14" i="26"/>
  <c r="AP14" i="26"/>
  <c r="AO14" i="26"/>
  <c r="AN14" i="26"/>
  <c r="AM14" i="26"/>
  <c r="AL14" i="26"/>
  <c r="AK14" i="26"/>
  <c r="AJ14" i="26"/>
  <c r="AI14" i="26"/>
  <c r="AH14" i="26"/>
  <c r="AG14" i="26"/>
  <c r="AF14" i="26"/>
  <c r="AE14" i="26"/>
  <c r="AD14" i="26"/>
  <c r="AC14" i="26"/>
  <c r="AB14" i="26"/>
  <c r="AA14" i="26"/>
  <c r="Z14" i="26"/>
  <c r="Y14" i="26"/>
  <c r="X14" i="26"/>
  <c r="W14" i="26"/>
  <c r="V14" i="26"/>
  <c r="U14" i="26"/>
  <c r="T14" i="26"/>
  <c r="S14" i="26"/>
  <c r="R14" i="26"/>
  <c r="Q14" i="26"/>
  <c r="P14" i="26"/>
  <c r="N14" i="26"/>
  <c r="M14" i="26"/>
  <c r="L14" i="26"/>
  <c r="K14" i="26"/>
  <c r="J14" i="26"/>
  <c r="I14" i="26"/>
  <c r="H14" i="26"/>
  <c r="G14" i="26"/>
  <c r="F14" i="26"/>
  <c r="E14" i="26"/>
  <c r="D14" i="26"/>
  <c r="C14" i="26"/>
  <c r="BD12" i="26"/>
  <c r="BC12" i="26"/>
  <c r="BA12" i="26"/>
  <c r="AZ12" i="26"/>
  <c r="AY12" i="26"/>
  <c r="AX12" i="26"/>
  <c r="AW12" i="26"/>
  <c r="AV12" i="26"/>
  <c r="AU12" i="26"/>
  <c r="AT12" i="26"/>
  <c r="AS12" i="26"/>
  <c r="AR12" i="26"/>
  <c r="AQ12" i="26"/>
  <c r="AP12" i="26"/>
  <c r="AO12" i="26"/>
  <c r="AN12" i="26"/>
  <c r="AM12" i="26"/>
  <c r="AL12" i="26"/>
  <c r="AK12" i="26"/>
  <c r="AJ12" i="26"/>
  <c r="AI12" i="26"/>
  <c r="AH12" i="26"/>
  <c r="AG12" i="26"/>
  <c r="AF12" i="26"/>
  <c r="AE12" i="26"/>
  <c r="AD12" i="26"/>
  <c r="AC12" i="26"/>
  <c r="AB12" i="26"/>
  <c r="AA12" i="26"/>
  <c r="Z12" i="26"/>
  <c r="Y12" i="26"/>
  <c r="X12" i="26"/>
  <c r="W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H12" i="26"/>
  <c r="G12" i="26"/>
  <c r="F12" i="26"/>
  <c r="E12" i="26"/>
  <c r="D12" i="26"/>
  <c r="C12" i="26"/>
  <c r="BD11" i="26"/>
  <c r="BC11" i="26"/>
  <c r="BA11" i="26"/>
  <c r="AZ11" i="26"/>
  <c r="AY11" i="26"/>
  <c r="AX11" i="26"/>
  <c r="AW11" i="26"/>
  <c r="AV11" i="26"/>
  <c r="AU11" i="26"/>
  <c r="AT11" i="26"/>
  <c r="AS11" i="26"/>
  <c r="AR11" i="26"/>
  <c r="AQ11" i="26"/>
  <c r="AP11" i="26"/>
  <c r="AO11" i="26"/>
  <c r="AN11" i="26"/>
  <c r="AM11" i="26"/>
  <c r="AL11" i="26"/>
  <c r="AK11" i="26"/>
  <c r="AJ11" i="26"/>
  <c r="AI11" i="26"/>
  <c r="AH11" i="26"/>
  <c r="AG11" i="26"/>
  <c r="AF11" i="26"/>
  <c r="AE11" i="26"/>
  <c r="AD11" i="26"/>
  <c r="AC11" i="26"/>
  <c r="AB11" i="26"/>
  <c r="AA11" i="26"/>
  <c r="Z11" i="26"/>
  <c r="Y11" i="26"/>
  <c r="X11" i="26"/>
  <c r="W11" i="26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I11" i="26"/>
  <c r="H11" i="26"/>
  <c r="G11" i="26"/>
  <c r="F11" i="26"/>
  <c r="E11" i="26"/>
  <c r="D11" i="26"/>
  <c r="C11" i="26"/>
  <c r="BC9" i="26"/>
  <c r="BA9" i="26"/>
  <c r="AZ9" i="26"/>
  <c r="AY9" i="26"/>
  <c r="AX9" i="26"/>
  <c r="AW9" i="26"/>
  <c r="AV9" i="26"/>
  <c r="AU9" i="26"/>
  <c r="AT9" i="26"/>
  <c r="AS9" i="26"/>
  <c r="AR9" i="26"/>
  <c r="AQ9" i="26"/>
  <c r="AP9" i="26"/>
  <c r="AO9" i="26"/>
  <c r="AN9" i="26"/>
  <c r="AM9" i="26"/>
  <c r="AL9" i="26"/>
  <c r="AK9" i="26"/>
  <c r="AJ9" i="26"/>
  <c r="AI9" i="26"/>
  <c r="AH9" i="26"/>
  <c r="AG9" i="26"/>
  <c r="AF9" i="26"/>
  <c r="AE9" i="26"/>
  <c r="AD9" i="26"/>
  <c r="AC9" i="26"/>
  <c r="AB9" i="26"/>
  <c r="AA9" i="26"/>
  <c r="Z9" i="26"/>
  <c r="Y9" i="26"/>
  <c r="X9" i="26"/>
  <c r="W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G9" i="26"/>
  <c r="F9" i="26"/>
  <c r="E9" i="26"/>
  <c r="D9" i="26"/>
  <c r="C9" i="26"/>
  <c r="BD8" i="26"/>
  <c r="BC8" i="26"/>
  <c r="BA8" i="26"/>
  <c r="AZ8" i="26"/>
  <c r="AY8" i="26"/>
  <c r="AX8" i="26"/>
  <c r="AW8" i="26"/>
  <c r="AV8" i="26"/>
  <c r="AU8" i="26"/>
  <c r="AT8" i="26"/>
  <c r="AS8" i="26"/>
  <c r="AR8" i="26"/>
  <c r="AQ8" i="26"/>
  <c r="AP8" i="26"/>
  <c r="AO8" i="26"/>
  <c r="AN8" i="26"/>
  <c r="AM8" i="26"/>
  <c r="AL8" i="26"/>
  <c r="AK8" i="26"/>
  <c r="AJ8" i="26"/>
  <c r="AI8" i="26"/>
  <c r="AH8" i="26"/>
  <c r="AG8" i="26"/>
  <c r="AF8" i="26"/>
  <c r="AE8" i="26"/>
  <c r="AD8" i="26"/>
  <c r="AB8" i="26"/>
  <c r="AA8" i="26"/>
  <c r="Z8" i="26"/>
  <c r="Y8" i="26"/>
  <c r="X8" i="26"/>
  <c r="W8" i="26"/>
  <c r="V8" i="26"/>
  <c r="U8" i="26"/>
  <c r="T8" i="26"/>
  <c r="S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K5" i="26"/>
  <c r="AL5" i="26"/>
  <c r="AM5" i="26"/>
  <c r="AN5" i="26"/>
  <c r="AO5" i="26"/>
  <c r="AP5" i="26"/>
  <c r="AQ5" i="26"/>
  <c r="AR5" i="26"/>
  <c r="AS5" i="26"/>
  <c r="AT5" i="26"/>
  <c r="AU5" i="26"/>
  <c r="AV5" i="26"/>
  <c r="AW5" i="26"/>
  <c r="AX5" i="26"/>
  <c r="AY5" i="26"/>
  <c r="AZ5" i="26"/>
  <c r="BA5" i="26"/>
  <c r="BC5" i="26"/>
  <c r="BD5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K6" i="26"/>
  <c r="AL6" i="26"/>
  <c r="AM6" i="26"/>
  <c r="AN6" i="26"/>
  <c r="AO6" i="26"/>
  <c r="AP6" i="26"/>
  <c r="AQ6" i="26"/>
  <c r="AR6" i="26"/>
  <c r="AS6" i="26"/>
  <c r="AT6" i="26"/>
  <c r="AU6" i="26"/>
  <c r="AV6" i="26"/>
  <c r="AW6" i="26"/>
  <c r="AX6" i="26"/>
  <c r="AY6" i="26"/>
  <c r="AZ6" i="26"/>
  <c r="BA6" i="26"/>
  <c r="BC6" i="26"/>
  <c r="BD6" i="26"/>
  <c r="B5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4" i="26"/>
  <c r="J4" i="26"/>
  <c r="K4" i="26"/>
  <c r="L4" i="26"/>
  <c r="M4" i="26"/>
  <c r="N4" i="26"/>
  <c r="O4" i="26"/>
  <c r="P4" i="26"/>
  <c r="Q4" i="26"/>
  <c r="S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K4" i="26"/>
  <c r="AL4" i="26"/>
  <c r="AM4" i="26"/>
  <c r="AN4" i="26"/>
  <c r="AO4" i="26"/>
  <c r="AP4" i="26"/>
  <c r="AQ4" i="26"/>
  <c r="AR4" i="26"/>
  <c r="AS4" i="26"/>
  <c r="AT4" i="26"/>
  <c r="AU4" i="26"/>
  <c r="AV4" i="26"/>
  <c r="AW4" i="26"/>
  <c r="AX4" i="26"/>
  <c r="AY4" i="26"/>
  <c r="AZ4" i="26"/>
  <c r="BA4" i="26"/>
  <c r="J7" i="26"/>
  <c r="K7" i="26"/>
  <c r="L7" i="26"/>
  <c r="M7" i="26"/>
  <c r="N7" i="26"/>
  <c r="O7" i="26"/>
  <c r="P7" i="26"/>
  <c r="Q7" i="26"/>
  <c r="S7" i="26"/>
  <c r="T7" i="26"/>
  <c r="U7" i="26"/>
  <c r="W7" i="26"/>
  <c r="X7" i="26"/>
  <c r="Y7" i="26"/>
  <c r="Z7" i="26"/>
  <c r="AA7" i="26"/>
  <c r="AB7" i="26"/>
  <c r="AD7" i="26"/>
  <c r="AE7" i="26"/>
  <c r="AF7" i="26"/>
  <c r="AG7" i="26"/>
  <c r="AH7" i="26"/>
  <c r="AI7" i="26"/>
  <c r="AJ7" i="26"/>
  <c r="AK7" i="26"/>
  <c r="AL7" i="26"/>
  <c r="AM7" i="26"/>
  <c r="AN7" i="26"/>
  <c r="AO7" i="26"/>
  <c r="AP7" i="26"/>
  <c r="AQ7" i="26"/>
  <c r="AR7" i="26"/>
  <c r="AS7" i="26"/>
  <c r="AT7" i="26"/>
  <c r="AU7" i="26"/>
  <c r="AV7" i="26"/>
  <c r="AW7" i="26"/>
  <c r="AX7" i="26"/>
  <c r="AY7" i="26"/>
  <c r="AZ7" i="26"/>
  <c r="BA7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K10" i="26"/>
  <c r="AL10" i="26"/>
  <c r="AM10" i="26"/>
  <c r="AN10" i="26"/>
  <c r="AO10" i="26"/>
  <c r="AP10" i="26"/>
  <c r="AQ10" i="26"/>
  <c r="AR10" i="26"/>
  <c r="AS10" i="26"/>
  <c r="AT10" i="26"/>
  <c r="AU10" i="26"/>
  <c r="AV10" i="26"/>
  <c r="AW10" i="26"/>
  <c r="AX10" i="26"/>
  <c r="AY10" i="26"/>
  <c r="AZ10" i="26"/>
  <c r="BA10" i="26"/>
  <c r="J13" i="26"/>
  <c r="K13" i="26"/>
  <c r="L13" i="26"/>
  <c r="M13" i="26"/>
  <c r="N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K13" i="26"/>
  <c r="AL13" i="26"/>
  <c r="AM13" i="26"/>
  <c r="AN13" i="26"/>
  <c r="AO13" i="26"/>
  <c r="AP13" i="26"/>
  <c r="AQ13" i="26"/>
  <c r="AR13" i="26"/>
  <c r="AS13" i="26"/>
  <c r="AT13" i="26"/>
  <c r="AU13" i="26"/>
  <c r="AV13" i="26"/>
  <c r="AW13" i="26"/>
  <c r="AX13" i="26"/>
  <c r="AY13" i="26"/>
  <c r="AZ13" i="26"/>
  <c r="BA13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D18" i="26"/>
  <c r="AE18" i="26"/>
  <c r="AF18" i="26"/>
  <c r="AG18" i="26"/>
  <c r="AH18" i="26"/>
  <c r="AI18" i="26"/>
  <c r="AJ18" i="26"/>
  <c r="AK18" i="26"/>
  <c r="AL18" i="26"/>
  <c r="AM18" i="26"/>
  <c r="AN18" i="26"/>
  <c r="AO18" i="26"/>
  <c r="AP18" i="26"/>
  <c r="AQ18" i="26"/>
  <c r="AR18" i="26"/>
  <c r="AS18" i="26"/>
  <c r="AT18" i="26"/>
  <c r="AU18" i="26"/>
  <c r="AV18" i="26"/>
  <c r="AW18" i="26"/>
  <c r="AX18" i="26"/>
  <c r="AY18" i="26"/>
  <c r="AZ18" i="26"/>
  <c r="BA18" i="26"/>
  <c r="J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K22" i="26"/>
  <c r="AL22" i="26"/>
  <c r="AM22" i="26"/>
  <c r="AN22" i="26"/>
  <c r="AO22" i="26"/>
  <c r="AP22" i="26"/>
  <c r="AQ22" i="26"/>
  <c r="AR22" i="26"/>
  <c r="AS22" i="26"/>
  <c r="AT22" i="26"/>
  <c r="AU22" i="26"/>
  <c r="AV22" i="26"/>
  <c r="AW22" i="26"/>
  <c r="AX22" i="26"/>
  <c r="AY22" i="26"/>
  <c r="AZ22" i="26"/>
  <c r="BA22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E25" i="26"/>
  <c r="AF25" i="26"/>
  <c r="AG25" i="26"/>
  <c r="AH25" i="26"/>
  <c r="AI25" i="26"/>
  <c r="AJ25" i="26"/>
  <c r="AK25" i="26"/>
  <c r="AL25" i="26"/>
  <c r="AM25" i="26"/>
  <c r="AN25" i="26"/>
  <c r="AO25" i="26"/>
  <c r="AP25" i="26"/>
  <c r="AQ25" i="26"/>
  <c r="AR25" i="26"/>
  <c r="AS25" i="26"/>
  <c r="AT25" i="26"/>
  <c r="AU25" i="26"/>
  <c r="AV25" i="26"/>
  <c r="AW25" i="26"/>
  <c r="AX25" i="26"/>
  <c r="AY25" i="26"/>
  <c r="AZ25" i="26"/>
  <c r="BA25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K29" i="26"/>
  <c r="AL29" i="26"/>
  <c r="AM29" i="26"/>
  <c r="AN29" i="26"/>
  <c r="AO29" i="26"/>
  <c r="AP29" i="26"/>
  <c r="AQ29" i="26"/>
  <c r="AR29" i="26"/>
  <c r="AS29" i="26"/>
  <c r="AT29" i="26"/>
  <c r="AU29" i="26"/>
  <c r="AV29" i="26"/>
  <c r="AW29" i="26"/>
  <c r="AX29" i="26"/>
  <c r="AY29" i="26"/>
  <c r="AZ29" i="26"/>
  <c r="BA29" i="26"/>
  <c r="J33" i="26"/>
  <c r="K33" i="26"/>
  <c r="L33" i="26"/>
  <c r="M33" i="26"/>
  <c r="N33" i="26"/>
  <c r="O33" i="26"/>
  <c r="P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K33" i="26"/>
  <c r="AL33" i="26"/>
  <c r="AM33" i="26"/>
  <c r="AN33" i="26"/>
  <c r="AO33" i="26"/>
  <c r="AP33" i="26"/>
  <c r="AQ33" i="26"/>
  <c r="AR33" i="26"/>
  <c r="AS33" i="26"/>
  <c r="AT33" i="26"/>
  <c r="AU33" i="26"/>
  <c r="AV33" i="26"/>
  <c r="AW33" i="26"/>
  <c r="AX33" i="26"/>
  <c r="AY33" i="26"/>
  <c r="AZ33" i="26"/>
  <c r="BA33" i="26"/>
  <c r="J36" i="26"/>
  <c r="K36" i="26"/>
  <c r="L36" i="26"/>
  <c r="M36" i="26"/>
  <c r="N36" i="26"/>
  <c r="O36" i="26"/>
  <c r="P36" i="26"/>
  <c r="Q36" i="26"/>
  <c r="R36" i="26"/>
  <c r="S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K36" i="26"/>
  <c r="AL36" i="26"/>
  <c r="AM36" i="26"/>
  <c r="AN36" i="26"/>
  <c r="AO36" i="26"/>
  <c r="AP36" i="26"/>
  <c r="AQ36" i="26"/>
  <c r="AR36" i="26"/>
  <c r="AS36" i="26"/>
  <c r="AT36" i="26"/>
  <c r="AU36" i="26"/>
  <c r="AV36" i="26"/>
  <c r="AW36" i="26"/>
  <c r="AX36" i="26"/>
  <c r="AY36" i="26"/>
  <c r="AZ36" i="26"/>
  <c r="BA36" i="26"/>
  <c r="J39" i="26"/>
  <c r="K39" i="26"/>
  <c r="L39" i="26"/>
  <c r="M39" i="26"/>
  <c r="N39" i="26"/>
  <c r="O39" i="26"/>
  <c r="P39" i="26"/>
  <c r="Q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K39" i="26"/>
  <c r="AL39" i="26"/>
  <c r="AM39" i="26"/>
  <c r="AN39" i="26"/>
  <c r="AO39" i="26"/>
  <c r="AP39" i="26"/>
  <c r="AQ39" i="26"/>
  <c r="AR39" i="26"/>
  <c r="AS39" i="26"/>
  <c r="AT39" i="26"/>
  <c r="AU39" i="26"/>
  <c r="AV39" i="26"/>
  <c r="AW39" i="26"/>
  <c r="AX39" i="26"/>
  <c r="AY39" i="26"/>
  <c r="AZ39" i="26"/>
  <c r="BA39" i="26"/>
  <c r="J42" i="26"/>
  <c r="K42" i="26"/>
  <c r="O42" i="26"/>
  <c r="P42" i="26"/>
  <c r="Q42" i="26"/>
  <c r="R42" i="26"/>
  <c r="T42" i="26"/>
  <c r="U42" i="26"/>
  <c r="V42" i="26"/>
  <c r="W42" i="26"/>
  <c r="X42" i="26"/>
  <c r="Y42" i="26"/>
  <c r="Z42" i="26"/>
  <c r="AB42" i="26"/>
  <c r="AC42" i="26"/>
  <c r="AD42" i="26"/>
  <c r="AE42" i="26"/>
  <c r="AF42" i="26"/>
  <c r="AG42" i="26"/>
  <c r="AH42" i="26"/>
  <c r="AI42" i="26"/>
  <c r="AJ42" i="26"/>
  <c r="AK42" i="26"/>
  <c r="AL42" i="26"/>
  <c r="AM42" i="26"/>
  <c r="AN42" i="26"/>
  <c r="AO42" i="26"/>
  <c r="AP42" i="26"/>
  <c r="AQ42" i="26"/>
  <c r="AR42" i="26"/>
  <c r="AS42" i="26"/>
  <c r="AT42" i="26"/>
  <c r="AU42" i="26"/>
  <c r="AV42" i="26"/>
  <c r="AW42" i="26"/>
  <c r="AX42" i="26"/>
  <c r="AY42" i="26"/>
  <c r="AZ42" i="26"/>
  <c r="BA42" i="26"/>
  <c r="J48" i="26"/>
  <c r="K48" i="26"/>
  <c r="L48" i="26"/>
  <c r="M48" i="26"/>
  <c r="N48" i="26"/>
  <c r="O48" i="26"/>
  <c r="P48" i="26"/>
  <c r="Q48" i="26"/>
  <c r="R48" i="26"/>
  <c r="S48" i="26"/>
  <c r="W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K48" i="26"/>
  <c r="AL48" i="26"/>
  <c r="AM48" i="26"/>
  <c r="AN48" i="26"/>
  <c r="AO48" i="26"/>
  <c r="AP48" i="26"/>
  <c r="AQ48" i="26"/>
  <c r="AR48" i="26"/>
  <c r="AS48" i="26"/>
  <c r="AT48" i="26"/>
  <c r="AU48" i="26"/>
  <c r="AV48" i="26"/>
  <c r="AW48" i="26"/>
  <c r="AX48" i="26"/>
  <c r="AY48" i="26"/>
  <c r="AZ48" i="26"/>
  <c r="BA48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K53" i="26"/>
  <c r="AL53" i="26"/>
  <c r="AM53" i="26"/>
  <c r="AN53" i="26"/>
  <c r="AO53" i="26"/>
  <c r="AP53" i="26"/>
  <c r="AQ53" i="26"/>
  <c r="AR53" i="26"/>
  <c r="AS53" i="26"/>
  <c r="AT53" i="26"/>
  <c r="AU53" i="26"/>
  <c r="AV53" i="26"/>
  <c r="AW53" i="26"/>
  <c r="AX53" i="26"/>
  <c r="AY53" i="26"/>
  <c r="AZ53" i="26"/>
  <c r="BA53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AA56" i="26"/>
  <c r="AB56" i="26"/>
  <c r="AC56" i="26"/>
  <c r="AD56" i="26"/>
  <c r="AE56" i="26"/>
  <c r="AF56" i="26"/>
  <c r="AG56" i="26"/>
  <c r="AH56" i="26"/>
  <c r="AI56" i="26"/>
  <c r="AJ56" i="26"/>
  <c r="AK56" i="26"/>
  <c r="AL56" i="26"/>
  <c r="AM56" i="26"/>
  <c r="AN56" i="26"/>
  <c r="AO56" i="26"/>
  <c r="AP56" i="26"/>
  <c r="AQ56" i="26"/>
  <c r="AR56" i="26"/>
  <c r="AS56" i="26"/>
  <c r="AT56" i="26"/>
  <c r="AU56" i="26"/>
  <c r="AV56" i="26"/>
  <c r="AW56" i="26"/>
  <c r="AX56" i="26"/>
  <c r="AY56" i="26"/>
  <c r="AZ56" i="26"/>
  <c r="BA56" i="26"/>
  <c r="J61" i="26"/>
  <c r="K61" i="26"/>
  <c r="L61" i="26"/>
  <c r="M61" i="26"/>
  <c r="N61" i="26"/>
  <c r="O61" i="26"/>
  <c r="Q61" i="26"/>
  <c r="R61" i="26"/>
  <c r="S61" i="26"/>
  <c r="T61" i="26"/>
  <c r="U61" i="26"/>
  <c r="V61" i="26"/>
  <c r="W61" i="26"/>
  <c r="Y61" i="26"/>
  <c r="Z61" i="26"/>
  <c r="AA61" i="26"/>
  <c r="AC61" i="26"/>
  <c r="AD61" i="26"/>
  <c r="AE61" i="26"/>
  <c r="AF61" i="26"/>
  <c r="AG61" i="26"/>
  <c r="AH61" i="26"/>
  <c r="AI61" i="26"/>
  <c r="AJ61" i="26"/>
  <c r="AK61" i="26"/>
  <c r="AL61" i="26"/>
  <c r="AM61" i="26"/>
  <c r="AN61" i="26"/>
  <c r="AO61" i="26"/>
  <c r="AP61" i="26"/>
  <c r="AQ61" i="26"/>
  <c r="AR61" i="26"/>
  <c r="AS61" i="26"/>
  <c r="AT61" i="26"/>
  <c r="AU61" i="26"/>
  <c r="AV61" i="26"/>
  <c r="AW61" i="26"/>
  <c r="AY61" i="26"/>
  <c r="AZ61" i="26"/>
  <c r="BA61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X65" i="26"/>
  <c r="Y65" i="26"/>
  <c r="Z65" i="26"/>
  <c r="AA65" i="26"/>
  <c r="AC65" i="26"/>
  <c r="AD65" i="26"/>
  <c r="AE65" i="26"/>
  <c r="AF65" i="26"/>
  <c r="AG65" i="26"/>
  <c r="AH65" i="26"/>
  <c r="AI65" i="26"/>
  <c r="AJ65" i="26"/>
  <c r="AK65" i="26"/>
  <c r="AL65" i="26"/>
  <c r="AM65" i="26"/>
  <c r="AN65" i="26"/>
  <c r="AO65" i="26"/>
  <c r="AP65" i="26"/>
  <c r="AQ65" i="26"/>
  <c r="AR65" i="26"/>
  <c r="AS65" i="26"/>
  <c r="AT65" i="26"/>
  <c r="AU65" i="26"/>
  <c r="AV65" i="26"/>
  <c r="AW65" i="26"/>
  <c r="AX65" i="26"/>
  <c r="AY65" i="26"/>
  <c r="AZ65" i="26"/>
  <c r="BA65" i="26"/>
  <c r="J68" i="26"/>
  <c r="K68" i="26"/>
  <c r="O68" i="26"/>
  <c r="P68" i="26"/>
  <c r="Q68" i="26"/>
  <c r="R68" i="26"/>
  <c r="T68" i="26"/>
  <c r="U68" i="26"/>
  <c r="V68" i="26"/>
  <c r="W68" i="26"/>
  <c r="X68" i="26"/>
  <c r="Y68" i="26"/>
  <c r="Z68" i="26"/>
  <c r="AB68" i="26"/>
  <c r="AC68" i="26"/>
  <c r="AD68" i="26"/>
  <c r="AE68" i="26"/>
  <c r="AG68" i="26"/>
  <c r="AH68" i="26"/>
  <c r="AI68" i="26"/>
  <c r="AJ68" i="26"/>
  <c r="AK68" i="26"/>
  <c r="AL68" i="26"/>
  <c r="AM68" i="26"/>
  <c r="AP68" i="26"/>
  <c r="AQ68" i="26"/>
  <c r="AR68" i="26"/>
  <c r="AS68" i="26"/>
  <c r="AV68" i="26"/>
  <c r="AW68" i="26"/>
  <c r="AX68" i="26"/>
  <c r="J73" i="26"/>
  <c r="K73" i="26"/>
  <c r="L73" i="26"/>
  <c r="M73" i="26"/>
  <c r="N73" i="26"/>
  <c r="O73" i="26"/>
  <c r="P73" i="26"/>
  <c r="Q73" i="26"/>
  <c r="R73" i="26"/>
  <c r="S73" i="26"/>
  <c r="W73" i="26"/>
  <c r="Y73" i="26"/>
  <c r="Z73" i="26"/>
  <c r="AA73" i="26"/>
  <c r="AB73" i="26"/>
  <c r="AC73" i="26"/>
  <c r="AD73" i="26"/>
  <c r="AE73" i="26"/>
  <c r="AF73" i="26"/>
  <c r="AG73" i="26"/>
  <c r="AH73" i="26"/>
  <c r="AJ73" i="26"/>
  <c r="AL73" i="26"/>
  <c r="AN73" i="26"/>
  <c r="AO73" i="26"/>
  <c r="AP73" i="26"/>
  <c r="AQ73" i="26"/>
  <c r="AR73" i="26"/>
  <c r="AS73" i="26"/>
  <c r="AT73" i="26"/>
  <c r="AU73" i="26"/>
  <c r="AV73" i="26"/>
  <c r="AW73" i="26"/>
  <c r="AX73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K78" i="26"/>
  <c r="AL78" i="26"/>
  <c r="AM78" i="26"/>
  <c r="AN78" i="26"/>
  <c r="AO78" i="26"/>
  <c r="AP78" i="26"/>
  <c r="AQ78" i="26"/>
  <c r="AR78" i="26"/>
  <c r="AS78" i="26"/>
  <c r="AT78" i="26"/>
  <c r="AU78" i="26"/>
  <c r="AV78" i="26"/>
  <c r="AW78" i="26"/>
  <c r="AX78" i="26"/>
  <c r="AZ78" i="26"/>
  <c r="BA78" i="26"/>
  <c r="J81" i="26"/>
  <c r="K81" i="26"/>
  <c r="L81" i="26"/>
  <c r="M81" i="26"/>
  <c r="N81" i="26"/>
  <c r="O81" i="26"/>
  <c r="Q81" i="26"/>
  <c r="R81" i="26"/>
  <c r="S81" i="26"/>
  <c r="T81" i="26"/>
  <c r="U81" i="26"/>
  <c r="V81" i="26"/>
  <c r="W81" i="26"/>
  <c r="X81" i="26"/>
  <c r="AA81" i="26"/>
  <c r="AB81" i="26"/>
  <c r="AC81" i="26"/>
  <c r="AD81" i="26"/>
  <c r="AE81" i="26"/>
  <c r="AF81" i="26"/>
  <c r="AG81" i="26"/>
  <c r="AI81" i="26"/>
  <c r="AJ81" i="26"/>
  <c r="AK81" i="26"/>
  <c r="AL81" i="26"/>
  <c r="AM81" i="26"/>
  <c r="AN81" i="26"/>
  <c r="AO81" i="26"/>
  <c r="AR81" i="26"/>
  <c r="AS81" i="26"/>
  <c r="AT81" i="26"/>
  <c r="AU81" i="26"/>
  <c r="AX81" i="26"/>
  <c r="AY81" i="26"/>
  <c r="J86" i="26"/>
  <c r="K86" i="26"/>
  <c r="L86" i="26"/>
  <c r="M86" i="26"/>
  <c r="N86" i="26"/>
  <c r="O86" i="26"/>
  <c r="Q86" i="26"/>
  <c r="R86" i="26"/>
  <c r="S86" i="26"/>
  <c r="T86" i="26"/>
  <c r="U86" i="26"/>
  <c r="V86" i="26"/>
  <c r="W86" i="26"/>
  <c r="Y86" i="26"/>
  <c r="Z86" i="26"/>
  <c r="AC86" i="26"/>
  <c r="AD86" i="26"/>
  <c r="AF86" i="26"/>
  <c r="AH86" i="26"/>
  <c r="AI86" i="26"/>
  <c r="AJ86" i="26"/>
  <c r="AK86" i="26"/>
  <c r="AL86" i="26"/>
  <c r="AM86" i="26"/>
  <c r="AN86" i="26"/>
  <c r="AO86" i="26"/>
  <c r="AP86" i="26"/>
  <c r="AQ86" i="26"/>
  <c r="AT86" i="26"/>
  <c r="AU86" i="26"/>
  <c r="AV86" i="26"/>
  <c r="AW86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X92" i="26"/>
  <c r="Y92" i="26"/>
  <c r="Z92" i="26"/>
  <c r="AA92" i="26"/>
  <c r="AC92" i="26"/>
  <c r="AD92" i="26"/>
  <c r="AE92" i="26"/>
  <c r="AF92" i="26"/>
  <c r="AG92" i="26"/>
  <c r="AH92" i="26"/>
  <c r="AI92" i="26"/>
  <c r="AJ92" i="26"/>
  <c r="AK92" i="26"/>
  <c r="AM92" i="26"/>
  <c r="AN92" i="26"/>
  <c r="AO92" i="26"/>
  <c r="AP92" i="26"/>
  <c r="AQ92" i="26"/>
  <c r="AR92" i="26"/>
  <c r="AS92" i="26"/>
  <c r="AT92" i="26"/>
  <c r="AU92" i="26"/>
  <c r="AV92" i="26"/>
  <c r="AW92" i="26"/>
  <c r="AX92" i="26"/>
  <c r="AY92" i="26"/>
  <c r="AZ92" i="26"/>
  <c r="D4" i="26"/>
  <c r="E4" i="26"/>
  <c r="F4" i="26"/>
  <c r="G4" i="26"/>
  <c r="H4" i="26"/>
  <c r="I4" i="26"/>
  <c r="D7" i="26"/>
  <c r="E7" i="26"/>
  <c r="F7" i="26"/>
  <c r="G7" i="26"/>
  <c r="H7" i="26"/>
  <c r="I7" i="26"/>
  <c r="D10" i="26"/>
  <c r="E10" i="26"/>
  <c r="F10" i="26"/>
  <c r="G10" i="26"/>
  <c r="H10" i="26"/>
  <c r="I10" i="26"/>
  <c r="D13" i="26"/>
  <c r="F13" i="26"/>
  <c r="G13" i="26"/>
  <c r="H13" i="26"/>
  <c r="I13" i="26"/>
  <c r="E18" i="26"/>
  <c r="F18" i="26"/>
  <c r="G18" i="26"/>
  <c r="H18" i="26"/>
  <c r="I18" i="26"/>
  <c r="D22" i="26"/>
  <c r="E22" i="26"/>
  <c r="F22" i="26"/>
  <c r="G22" i="26"/>
  <c r="H22" i="26"/>
  <c r="I22" i="26"/>
  <c r="D25" i="26"/>
  <c r="E25" i="26"/>
  <c r="F25" i="26"/>
  <c r="H25" i="26"/>
  <c r="I25" i="26"/>
  <c r="D29" i="26"/>
  <c r="E29" i="26"/>
  <c r="G29" i="26"/>
  <c r="H29" i="26"/>
  <c r="I29" i="26"/>
  <c r="D33" i="26"/>
  <c r="E33" i="26"/>
  <c r="F33" i="26"/>
  <c r="G33" i="26"/>
  <c r="H33" i="26"/>
  <c r="I33" i="26"/>
  <c r="D36" i="26"/>
  <c r="E36" i="26"/>
  <c r="F36" i="26"/>
  <c r="G36" i="26"/>
  <c r="H36" i="26"/>
  <c r="I36" i="26"/>
  <c r="D39" i="26"/>
  <c r="E39" i="26"/>
  <c r="F39" i="26"/>
  <c r="G39" i="26"/>
  <c r="H39" i="26"/>
  <c r="I39" i="26"/>
  <c r="D42" i="26"/>
  <c r="E42" i="26"/>
  <c r="F42" i="26"/>
  <c r="G42" i="26"/>
  <c r="H42" i="26"/>
  <c r="I42" i="26"/>
  <c r="D48" i="26"/>
  <c r="E48" i="26"/>
  <c r="F48" i="26"/>
  <c r="G48" i="26"/>
  <c r="H48" i="26"/>
  <c r="I48" i="26"/>
  <c r="D53" i="26"/>
  <c r="E53" i="26"/>
  <c r="F53" i="26"/>
  <c r="G53" i="26"/>
  <c r="H53" i="26"/>
  <c r="I53" i="26"/>
  <c r="D56" i="26"/>
  <c r="E56" i="26"/>
  <c r="F56" i="26"/>
  <c r="G56" i="26"/>
  <c r="D61" i="26"/>
  <c r="E61" i="26"/>
  <c r="F61" i="26"/>
  <c r="G61" i="26"/>
  <c r="H61" i="26"/>
  <c r="I61" i="26"/>
  <c r="D65" i="26"/>
  <c r="E65" i="26"/>
  <c r="F65" i="26"/>
  <c r="G65" i="26"/>
  <c r="H65" i="26"/>
  <c r="I65" i="26"/>
  <c r="D68" i="26"/>
  <c r="E68" i="26"/>
  <c r="F68" i="26"/>
  <c r="G68" i="26"/>
  <c r="H68" i="26"/>
  <c r="I68" i="26"/>
  <c r="D73" i="26"/>
  <c r="E73" i="26"/>
  <c r="F73" i="26"/>
  <c r="G73" i="26"/>
  <c r="H73" i="26"/>
  <c r="I73" i="26"/>
  <c r="D78" i="26"/>
  <c r="E78" i="26"/>
  <c r="F78" i="26"/>
  <c r="G78" i="26"/>
  <c r="H78" i="26"/>
  <c r="I78" i="26"/>
  <c r="D81" i="26"/>
  <c r="E81" i="26"/>
  <c r="F81" i="26"/>
  <c r="G81" i="26"/>
  <c r="D86" i="26"/>
  <c r="E86" i="26"/>
  <c r="F86" i="26"/>
  <c r="G86" i="26"/>
  <c r="H86" i="26"/>
  <c r="I86" i="26"/>
  <c r="D92" i="26"/>
  <c r="E92" i="26"/>
  <c r="F92" i="26"/>
  <c r="G92" i="26"/>
  <c r="H92" i="26"/>
  <c r="I92" i="26"/>
  <c r="C7" i="26"/>
  <c r="C10" i="26"/>
  <c r="C13" i="26"/>
  <c r="C18" i="26"/>
  <c r="C22" i="26"/>
  <c r="C25" i="26"/>
  <c r="C29" i="26"/>
  <c r="C33" i="26"/>
  <c r="C36" i="26"/>
  <c r="C39" i="26"/>
  <c r="C42" i="26"/>
  <c r="C48" i="26"/>
  <c r="C53" i="26"/>
  <c r="C56" i="26"/>
  <c r="C61" i="26"/>
  <c r="C65" i="26"/>
  <c r="C68" i="26"/>
  <c r="C73" i="26"/>
  <c r="C78" i="26"/>
  <c r="C81" i="26"/>
  <c r="C86" i="26"/>
  <c r="C92" i="26"/>
  <c r="BF21" i="26" l="1"/>
  <c r="BF9" i="26"/>
  <c r="BB4" i="26"/>
  <c r="C2" i="27"/>
  <c r="C4" i="27" s="1" a="1"/>
  <c r="G2" i="27"/>
  <c r="R55" i="27"/>
  <c r="Q55" i="27"/>
  <c r="P55" i="27"/>
  <c r="O55" i="27"/>
  <c r="N55" i="27"/>
  <c r="M55" i="27"/>
  <c r="L55" i="27"/>
  <c r="K55" i="27"/>
  <c r="A8" i="27"/>
  <c r="A9" i="27"/>
  <c r="A10" i="27"/>
  <c r="A11" i="27"/>
  <c r="A12" i="27"/>
  <c r="A13" i="27"/>
  <c r="A14" i="27"/>
  <c r="S55" i="27"/>
  <c r="AI55" i="27"/>
  <c r="AH55" i="27"/>
  <c r="AF55" i="27"/>
  <c r="AE55" i="27"/>
  <c r="AD55" i="27"/>
  <c r="AC55" i="27"/>
  <c r="AB55" i="27"/>
  <c r="AA55" i="27"/>
  <c r="Z55" i="27"/>
  <c r="Y55" i="27"/>
  <c r="X55" i="27"/>
  <c r="W55" i="27"/>
  <c r="V55" i="27"/>
  <c r="U55" i="27"/>
  <c r="T55" i="27"/>
  <c r="AG54" i="27"/>
  <c r="I54" i="27"/>
  <c r="AI54" i="27" s="1"/>
  <c r="AG53" i="27"/>
  <c r="I53" i="27"/>
  <c r="AI53" i="27" s="1"/>
  <c r="AG52" i="27"/>
  <c r="AG51" i="27"/>
  <c r="I51" i="27"/>
  <c r="AI51" i="27" s="1"/>
  <c r="AG50" i="27"/>
  <c r="I50" i="27"/>
  <c r="AI50" i="27" s="1"/>
  <c r="AG49" i="27"/>
  <c r="AG48" i="27"/>
  <c r="I48" i="27"/>
  <c r="AI48" i="27" s="1"/>
  <c r="AG47" i="27"/>
  <c r="I47" i="27"/>
  <c r="AH47" i="27" s="1"/>
  <c r="AG46" i="27"/>
  <c r="AG45" i="27"/>
  <c r="I45" i="27"/>
  <c r="AI45" i="27" s="1"/>
  <c r="AG44" i="27"/>
  <c r="I44" i="27"/>
  <c r="AI44" i="27" s="1"/>
  <c r="AG43" i="27"/>
  <c r="I43" i="27"/>
  <c r="AI43" i="27" s="1"/>
  <c r="AG42" i="27"/>
  <c r="AG41" i="27"/>
  <c r="I41" i="27"/>
  <c r="AI41" i="27" s="1"/>
  <c r="AG40" i="27"/>
  <c r="I40" i="27"/>
  <c r="AI40" i="27" s="1"/>
  <c r="AG39" i="27"/>
  <c r="AG38" i="27"/>
  <c r="I38" i="27"/>
  <c r="AI38" i="27" s="1"/>
  <c r="AG37" i="27"/>
  <c r="I37" i="27"/>
  <c r="AI37" i="27" s="1"/>
  <c r="AG36" i="27"/>
  <c r="I36" i="27"/>
  <c r="AH36" i="27" s="1"/>
  <c r="AG35" i="27"/>
  <c r="AG34" i="27"/>
  <c r="I34" i="27"/>
  <c r="AH34" i="27" s="1"/>
  <c r="AG33" i="27"/>
  <c r="I33" i="27"/>
  <c r="AI33" i="27" s="1"/>
  <c r="AG32" i="27"/>
  <c r="AG31" i="27"/>
  <c r="I31" i="27"/>
  <c r="AH31" i="27" s="1"/>
  <c r="AG30" i="27"/>
  <c r="I30" i="27"/>
  <c r="AI30" i="27" s="1"/>
  <c r="AG29" i="27"/>
  <c r="AG28" i="27"/>
  <c r="I28" i="27"/>
  <c r="AH28" i="27" s="1"/>
  <c r="AG27" i="27"/>
  <c r="I27" i="27"/>
  <c r="AI27" i="27" s="1"/>
  <c r="AG26" i="27"/>
  <c r="AG25" i="27"/>
  <c r="I25" i="27"/>
  <c r="AI25" i="27" s="1"/>
  <c r="AG24" i="27"/>
  <c r="I24" i="27"/>
  <c r="AI24" i="27" s="1"/>
  <c r="AG23" i="27"/>
  <c r="AG22" i="27"/>
  <c r="I22" i="27"/>
  <c r="AH22" i="27" s="1"/>
  <c r="AG21" i="27"/>
  <c r="I21" i="27"/>
  <c r="AI21" i="27" s="1"/>
  <c r="AG20" i="27"/>
  <c r="AG19" i="27"/>
  <c r="I19" i="27"/>
  <c r="AH19" i="27" s="1"/>
  <c r="AG18" i="27"/>
  <c r="I18" i="27"/>
  <c r="AH18" i="27" s="1"/>
  <c r="AG17" i="27"/>
  <c r="AG16" i="27"/>
  <c r="I16" i="27"/>
  <c r="AI16" i="27" s="1"/>
  <c r="AG15" i="27"/>
  <c r="I15" i="27"/>
  <c r="AH15" i="27" s="1"/>
  <c r="AG14" i="27"/>
  <c r="AG13" i="27"/>
  <c r="I13" i="27"/>
  <c r="AH13" i="27" s="1"/>
  <c r="AG12" i="27"/>
  <c r="I12" i="27"/>
  <c r="AI12" i="27" s="1"/>
  <c r="AG11" i="27"/>
  <c r="AI10" i="27"/>
  <c r="AH10" i="27"/>
  <c r="AG10" i="27"/>
  <c r="AI9" i="27"/>
  <c r="AH9" i="27"/>
  <c r="AG9" i="27"/>
  <c r="AG8" i="27"/>
  <c r="AI7" i="27"/>
  <c r="AH7" i="27"/>
  <c r="AG7" i="27"/>
  <c r="AI6" i="27"/>
  <c r="AH6" i="27"/>
  <c r="AG6" i="27"/>
  <c r="AG5" i="27"/>
  <c r="BE4" i="26"/>
  <c r="H5" i="27" l="1"/>
  <c r="B9" i="27"/>
  <c r="E9" i="27" s="1"/>
  <c r="B8" i="27"/>
  <c r="E8" i="27" s="1"/>
  <c r="H14" i="27"/>
  <c r="D8" i="27"/>
  <c r="F8" i="27" s="1"/>
  <c r="G8" i="27" s="1"/>
  <c r="H13" i="27"/>
  <c r="H12" i="27"/>
  <c r="H11" i="27"/>
  <c r="H10" i="27"/>
  <c r="H9" i="27"/>
  <c r="B14" i="27"/>
  <c r="E14" i="27" s="1"/>
  <c r="H8" i="27"/>
  <c r="H7" i="27"/>
  <c r="H6" i="27"/>
  <c r="D7" i="27"/>
  <c r="F7" i="27" s="1"/>
  <c r="G7" i="27" s="1"/>
  <c r="B10" i="27"/>
  <c r="E10" i="27" s="1"/>
  <c r="B12" i="27"/>
  <c r="E12" i="27" s="1"/>
  <c r="D14" i="27"/>
  <c r="F14" i="27" s="1"/>
  <c r="G14" i="27" s="1"/>
  <c r="D13" i="27"/>
  <c r="F13" i="27" s="1"/>
  <c r="G13" i="27" s="1"/>
  <c r="B13" i="27"/>
  <c r="E13" i="27" s="1"/>
  <c r="D12" i="27"/>
  <c r="F12" i="27" s="1"/>
  <c r="G12" i="27" s="1"/>
  <c r="B11" i="27"/>
  <c r="E11" i="27" s="1"/>
  <c r="D11" i="27"/>
  <c r="F11" i="27" s="1"/>
  <c r="G11" i="27" s="1"/>
  <c r="D10" i="27"/>
  <c r="F10" i="27" s="1"/>
  <c r="G10" i="27" s="1"/>
  <c r="D9" i="27"/>
  <c r="F9" i="27" s="1"/>
  <c r="G9" i="27" s="1"/>
  <c r="D6" i="27"/>
  <c r="F6" i="27" s="1"/>
  <c r="G6" i="27" s="1"/>
  <c r="A6" i="27"/>
  <c r="B6" i="27" s="1"/>
  <c r="A7" i="27"/>
  <c r="B7" i="27" s="1"/>
  <c r="A5" i="27"/>
  <c r="B5" i="27" s="1"/>
  <c r="D5" i="27"/>
  <c r="G4" i="27"/>
  <c r="C4" i="27"/>
  <c r="H4" i="27" s="1"/>
  <c r="AI34" i="27"/>
  <c r="AI15" i="27"/>
  <c r="AH30" i="27"/>
  <c r="AI22" i="27"/>
  <c r="AH24" i="27"/>
  <c r="AI13" i="27"/>
  <c r="AI36" i="27"/>
  <c r="AI31" i="27"/>
  <c r="AI19" i="27"/>
  <c r="AH51" i="27"/>
  <c r="AG55" i="27"/>
  <c r="AI47" i="27"/>
  <c r="AH40" i="27"/>
  <c r="AH44" i="27"/>
  <c r="AH12" i="27"/>
  <c r="AH16" i="27"/>
  <c r="AI28" i="27"/>
  <c r="AH48" i="27"/>
  <c r="AH21" i="27"/>
  <c r="AH33" i="27"/>
  <c r="AH25" i="27"/>
  <c r="AH37" i="27"/>
  <c r="AH53" i="27"/>
  <c r="AH41" i="27"/>
  <c r="AH45" i="27"/>
  <c r="AH50" i="27"/>
  <c r="AH38" i="27"/>
  <c r="AH54" i="27"/>
  <c r="AH27" i="27"/>
  <c r="BD22" i="26"/>
  <c r="BC22" i="26"/>
  <c r="BD18" i="26"/>
  <c r="BD10" i="26"/>
  <c r="BC10" i="26"/>
  <c r="BC7" i="26"/>
  <c r="BD92" i="26"/>
  <c r="BD81" i="26"/>
  <c r="BD78" i="26"/>
  <c r="BC68" i="26"/>
  <c r="BD65" i="26"/>
  <c r="BD56" i="26"/>
  <c r="BC53" i="26"/>
  <c r="BC42" i="26"/>
  <c r="BD39" i="26"/>
  <c r="BC33" i="26"/>
  <c r="BD29" i="26"/>
  <c r="F5" i="27" l="1"/>
  <c r="G5" i="27" s="1"/>
  <c r="A4" i="27"/>
  <c r="B4" i="27" s="1"/>
  <c r="D4" i="27"/>
  <c r="F4" i="27" s="1"/>
  <c r="E6" i="27"/>
  <c r="E7" i="27"/>
  <c r="E5" i="27"/>
  <c r="BC92" i="26"/>
  <c r="BC78" i="26"/>
  <c r="BC81" i="26"/>
  <c r="BD68" i="26"/>
  <c r="BC65" i="26"/>
  <c r="BC56" i="26"/>
  <c r="BC39" i="26"/>
  <c r="BD42" i="26"/>
  <c r="BC29" i="26"/>
  <c r="BD33" i="26"/>
  <c r="BF4" i="26"/>
  <c r="E4" i="2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<sst xmlns="http://schemas.openxmlformats.org/spreadsheetml/2006/main" count="1941" uniqueCount="420">
  <si>
    <t>Индекс</t>
  </si>
  <si>
    <t>Б1.О.01</t>
  </si>
  <si>
    <t>Деловые коммуникации (билингвальный курс)</t>
  </si>
  <si>
    <t>Б1.О.02</t>
  </si>
  <si>
    <t>Психологические основы интеллектуально-личностного развития</t>
  </si>
  <si>
    <t>Б1.О.03</t>
  </si>
  <si>
    <t>Проектно-процессное управление</t>
  </si>
  <si>
    <t>Б1.О.04</t>
  </si>
  <si>
    <t>Правовое обеспечение транспортных процессов</t>
  </si>
  <si>
    <t>Б1.О.05</t>
  </si>
  <si>
    <t>Стратегические решения в функциональных областях организации</t>
  </si>
  <si>
    <t>Б1.О.06</t>
  </si>
  <si>
    <t>Научно-техническое обеспечение технологических процессов на транспорте</t>
  </si>
  <si>
    <t>Б1.О.07</t>
  </si>
  <si>
    <t>Экономика транспортных систем</t>
  </si>
  <si>
    <t>Б1.О.08</t>
  </si>
  <si>
    <t>Математическое моделирование в профессиональной деятельности</t>
  </si>
  <si>
    <t>Б1.О.09.01</t>
  </si>
  <si>
    <t>Системы искусственного интеллекта</t>
  </si>
  <si>
    <t>Б1.О.09.02</t>
  </si>
  <si>
    <t>Цифровые технологии в науке и на транспорте</t>
  </si>
  <si>
    <t>Б1.В.01</t>
  </si>
  <si>
    <t>Коммерческая деятельность на транспорте</t>
  </si>
  <si>
    <t>Б1.В.02</t>
  </si>
  <si>
    <t>Управление процессами перевозок</t>
  </si>
  <si>
    <t>Б1.В.ДВ.01.01</t>
  </si>
  <si>
    <t>Технология работы единой транспортной системы</t>
  </si>
  <si>
    <t>Б1.В.ДВ.01.02</t>
  </si>
  <si>
    <t>Организация мультимодальных и интермодальных перевозок</t>
  </si>
  <si>
    <t>Б1.В.ДВ.02.01</t>
  </si>
  <si>
    <t>Транспортное и складское обеспечение логистики</t>
  </si>
  <si>
    <t>Б1.В.ДВ.02.02</t>
  </si>
  <si>
    <t>Мультимодальные транспортно-логистические центры</t>
  </si>
  <si>
    <t>Б1.В.ДВ.03.01</t>
  </si>
  <si>
    <t>Актово-претензионное дело</t>
  </si>
  <si>
    <t>Б1.В.ДВ.03.02</t>
  </si>
  <si>
    <t>Стандартизация и сертификация транспортных услуг</t>
  </si>
  <si>
    <t>Б2.О.01(У)</t>
  </si>
  <si>
    <t>Учебная практика (ознакомительная практика)</t>
  </si>
  <si>
    <t>Б2.О.02(Н)</t>
  </si>
  <si>
    <t>Производственная практика (научно-исследовательская работа)</t>
  </si>
  <si>
    <t>Б2.В.01(П)</t>
  </si>
  <si>
    <t>Производственная практика (технологическая (производственно-технологическая) практика)</t>
  </si>
  <si>
    <t>Б2.В.02(П)</t>
  </si>
  <si>
    <t>Производственная практика (эксплуатационная практика)</t>
  </si>
  <si>
    <t>ФТД.01</t>
  </si>
  <si>
    <t>Клиентоориентированность на транспорте</t>
  </si>
  <si>
    <t>ФТД.02</t>
  </si>
  <si>
    <t>Развитие семейного сознания личности</t>
  </si>
  <si>
    <t>Содержание</t>
  </si>
  <si>
    <t>УК-1</t>
  </si>
  <si>
    <t>Способен осуществлять критический анализ проблемных ситуаций на основе системного подхода, вырабатывать стратегию действий</t>
  </si>
  <si>
    <t>УК-1.1</t>
  </si>
  <si>
    <t>Анализирует проблемную ситуацию, выявляя ее составляющие и связи между ними. Критические оценивает имеющиеся факты проблемных ситуаций, проверяет их логическую непротиворечивость, подтверждаемость и воспроизводимость</t>
  </si>
  <si>
    <t>УК-1.2</t>
  </si>
  <si>
    <t>Разрабатывает стратегию решения проблемной ситуации на основе системного подхода, сценарных условий, оценки рисков</t>
  </si>
  <si>
    <t>УК-2</t>
  </si>
  <si>
    <t>Способен управлять проектом на всех этапах его жизненного цикла</t>
  </si>
  <si>
    <t>УК-2.1</t>
  </si>
  <si>
    <t>Инициирует, разрабатывает концепцию, формулирует цель, задачи,  ожидаемые результаты в стратегическом управлении проектом</t>
  </si>
  <si>
    <t>УК-2.2</t>
  </si>
  <si>
    <t>Осуществляет организационное, финансовое, инвестиционное, экспертное сопровождение проектов, решает оперативные задачи на всех этапах жизненного цикла проекта</t>
  </si>
  <si>
    <t>УК-3</t>
  </si>
  <si>
    <t>Способен организовывать и руководить работой команды, вырабатывая командную стратегию для достижения поставленной цели</t>
  </si>
  <si>
    <t>Вырабатывает стратегию и тактику, мотивирует работу команды, выработку коллегиальных решений средствами технологий лидерства</t>
  </si>
  <si>
    <t>Организует и корректирует рабочие процессы в соответствии с функциональными и проектными задачами команды</t>
  </si>
  <si>
    <t>УК-4</t>
  </si>
  <si>
    <t>Способен применять современные коммуникативные технологии, в том числе на иностранном(ых) языке(ах), для академического и профессионального взаимодействия</t>
  </si>
  <si>
    <t>Формирует в соответствии с фонетическими, графическими, лексическими, грамматическими, стилистическими нормами языка, в том числе иностранного (ых), деловую коммуникацию в устной и письменной формах</t>
  </si>
  <si>
    <t>Обеспечивает обсуждение результатов профессионального взаимодействия на публичных мероприятиях, в деловой переписке, в дискуссии, в иных форматах коммуникации</t>
  </si>
  <si>
    <t>УК-5</t>
  </si>
  <si>
    <t>Способен анализировать и учитывать разнообразие культур в процессе межкультурного взаимодействия</t>
  </si>
  <si>
    <t>УК-5.1</t>
  </si>
  <si>
    <t>Осуществляет профессиональное взаимодействие с учетом разнообразия культур, принятых норм, правил, стандартов, личностных и профессиональных ценностей и убеждений</t>
  </si>
  <si>
    <t>Анализирует причины разногласий в межкультурной коммуникации, разрешает конфликты, устраняет условия их возникновения</t>
  </si>
  <si>
    <t>УК-6</t>
  </si>
  <si>
    <t>Способен определять и реализовывать приоритеты собственной деятельности и способы ее совершенствования на основе самооценки</t>
  </si>
  <si>
    <t>Определяет приоритеты профессионального роста и способы совершенствования собственной деятельности на основе самооценки</t>
  </si>
  <si>
    <t>Выстраивает гибкую профессиональную траекторию, используя инструменты непрерывного образования. Целесообразно использует собственные интеллектуальные и физические ресурсы</t>
  </si>
  <si>
    <t>ОПК-1</t>
  </si>
  <si>
    <t>Способен ставить и решать научно-технические задачи в сфере своей профессиональной деятельности и новых междисциплинарных направлений с использованием естественно-научных и математических моделей с учетом последних достижений науки и техники</t>
  </si>
  <si>
    <t>Решает научно-технические задачи в сфере транспорта с учетом последних достижений науки и техники</t>
  </si>
  <si>
    <t>ОПК-1.2</t>
  </si>
  <si>
    <t>Использует естественно-научные и математические модели для решения научно-технических задач в сфере своей профессиональной деятельности</t>
  </si>
  <si>
    <t>ОПК-2</t>
  </si>
  <si>
    <t>Способен принимать обоснованные решения в области проектного и финансового менеджмента в сфере своей профессиональной деятельности</t>
  </si>
  <si>
    <t>Предлагает механизм приобретения конкурентных преимуществ в условиях высокой степени изменчивости и непредсказуемости среды</t>
  </si>
  <si>
    <t>Использует инструментарий стратегического анализа и обосновывает принимаемые решения в рамках будущей профессиональной деятельности</t>
  </si>
  <si>
    <t>ОПК-3</t>
  </si>
  <si>
    <t>Способен управлять жизненным циклом инженерных продуктов с учетом экономических, экологических и социальных ограничений</t>
  </si>
  <si>
    <t xml:space="preserve">Анализирует стадии жизненного цикла инженерных продуктов и подходы к экономической оценке их стоимости </t>
  </si>
  <si>
    <t>Разрабатывает продуктовую стратегию развития организации с целью повышения конкурентоспособности на базе усовершенствования производимой продукции и действующей технологии производства, создания принципиально новых продуктов</t>
  </si>
  <si>
    <t>ОПК-4</t>
  </si>
  <si>
    <t>Способен проводить исследования, организовывать самостоятельную и коллективную научно-исследовательскую деятельность при решении инженерных и научно-технических задач, включающих планирование и постановку эксперимента, критическую оценку и интерпретацию результатов</t>
  </si>
  <si>
    <t>Планирует и организует научно-исследовательскую деятельность для решения инженерных и научно-технических задач</t>
  </si>
  <si>
    <t>Осуществляет исследовательскую деятельность технологических процессов на транспорте</t>
  </si>
  <si>
    <t>ОПК-5</t>
  </si>
  <si>
    <t>Способен применять инструментарий формализации научно-технических задач, использовать прикладное программное обеспечение для моделирования и проектирования систем и процессов</t>
  </si>
  <si>
    <t xml:space="preserve">Идентифицирует и анализирует методы и инструментарии для формализации научно-технических задач в сфере логистики и транспорта </t>
  </si>
  <si>
    <t>Предлагает алгоритм оценки и выбора прикладного программного обеспечения для моделирования и проектирования систем и процессов на транспорте</t>
  </si>
  <si>
    <t>ОПК-5.3</t>
  </si>
  <si>
    <t>Использует методы искусственного интеллекта (машинного обучения) и анализа больших данных для решения прикладных задач</t>
  </si>
  <si>
    <t>ОПК-6</t>
  </si>
  <si>
    <t>Способен оценивать социальные, правовые и общекультурные последствия принимаемых решений при осуществлении профессиональной деятельности</t>
  </si>
  <si>
    <t>ОПК-6.1</t>
  </si>
  <si>
    <t>Проводит управленческие мероприятия по достижению запланированных результатов в своей профессиональной деятельности</t>
  </si>
  <si>
    <t>Оценивает условия и последствия, принимаемых стратегических организационно-управленческих решений при осуществлении профессиональной деятельности</t>
  </si>
  <si>
    <t>ПК-1</t>
  </si>
  <si>
    <t>Способен осуществлять контроль ключевых операционных показателей эффективности логистической деятельности по перевозке груза в цепи поставок</t>
  </si>
  <si>
    <t>ПК-1.1</t>
  </si>
  <si>
    <t>Решает задачи по расчету показателей работы транспорта по перевозке груза в цепи поставок</t>
  </si>
  <si>
    <t>ПК-1.2</t>
  </si>
  <si>
    <t>Идентифицирует и анализирует показатели проекта, направленные на снижение себестоимости операций, повышение производительности труда и эффективности операционной деятельности</t>
  </si>
  <si>
    <t>ПК-1.3</t>
  </si>
  <si>
    <t>Составляет графики грузопотоков, определяет способы доставки и вида транспорта по перевозке груза в цепи поставок</t>
  </si>
  <si>
    <t>ПК-2</t>
  </si>
  <si>
    <t>Способен осуществлять контроль ключевых финансовых показателей логистической деятельности по перевозке груза в цепи поставок</t>
  </si>
  <si>
    <t>Анализирует финансовую информацию и разрабатывает план мероприятий по достижению финансовых показателей деятельности по перевозке грузов в рамках цепей поставок</t>
  </si>
  <si>
    <t>Контролирует финансовые показатели логистической деятельности</t>
  </si>
  <si>
    <t>ПК-3</t>
  </si>
  <si>
    <t>Способен осуществлять разработку коммерческой политики по оказанию логистической услуги перевозки груза в цепи поставок</t>
  </si>
  <si>
    <t>Анализирует взаимосвязи между функциональными стратегиями компаний с целью подготовки сбалансированных управленческих решений по оказанию логистической услуги перевозки груза в цепи поставок</t>
  </si>
  <si>
    <t>Планирует мероприятия по управлению запасами грузовладельцев распределительной транспортной сети</t>
  </si>
  <si>
    <t>ПК-4</t>
  </si>
  <si>
    <t>Способен осуществлять разработку системы управления рисками при оказании логистических услуг по перевозке грузов в цепи поставок</t>
  </si>
  <si>
    <t>Идентифицирует и оценивает логистические риски, разрабатывает мероприятия по их управлению при оказании логистических услуг</t>
  </si>
  <si>
    <t>Разрабатывает и проводит мероприятия по управлению рисками при оказании услуг по перевозке грузов</t>
  </si>
  <si>
    <t>УК-4.1; УК-4.2; УК-5.1; УК-5.2</t>
  </si>
  <si>
    <t>УК-1.1; УК-1.2; УК-6.1; УК-6.2</t>
  </si>
  <si>
    <t>УК-2.1; УК-2.2; УК-3.1; УК-3.2</t>
  </si>
  <si>
    <t>ОПК-2.1; ОПК-2.2; ОПК-3.2; ОПК-6.2</t>
  </si>
  <si>
    <t>ОПК-1.1; ОПК-4.1; ОПК-4.2</t>
  </si>
  <si>
    <t>ОПК-3.1; ПК-2.1; ПК-2.2</t>
  </si>
  <si>
    <t>ОПК-5.1; ОПК-5.2</t>
  </si>
  <si>
    <t>ПК-3.1; ПК-3.2</t>
  </si>
  <si>
    <t>ПК-4.1; ПК-4.2</t>
  </si>
  <si>
    <t>ОПК-3.1; ПК-1.1</t>
  </si>
  <si>
    <t>ОПК-4.1; ПК-2.1</t>
  </si>
  <si>
    <t>ПК-1.2; ПК-1.3; ПК-4.1; ПК-4.2</t>
  </si>
  <si>
    <t>ПК-2.2; ПК-3.1; ПК-3.2</t>
  </si>
  <si>
    <t/>
  </si>
  <si>
    <t>Итого без учета факультативов</t>
  </si>
  <si>
    <t xml:space="preserve">Итого </t>
  </si>
  <si>
    <t>Итого для факультативов</t>
  </si>
  <si>
    <t>Итого по дисциплине</t>
  </si>
  <si>
    <t>Философия</t>
  </si>
  <si>
    <t>История (история России, всеобщая история)</t>
  </si>
  <si>
    <t>Иностранный язык</t>
  </si>
  <si>
    <t>Безопасность жизнедеятельности</t>
  </si>
  <si>
    <t>Физическая культура и спорт</t>
  </si>
  <si>
    <t>Информатика</t>
  </si>
  <si>
    <t>Цифровые технологии самообразования</t>
  </si>
  <si>
    <t>Религии мира</t>
  </si>
  <si>
    <t>Тренинг-практикум по самоорганизации и саморазвитию</t>
  </si>
  <si>
    <t>Физика</t>
  </si>
  <si>
    <t>Химия</t>
  </si>
  <si>
    <t>Математика</t>
  </si>
  <si>
    <t>Русский язык и деловые коммуникации</t>
  </si>
  <si>
    <t>Общий курс транспорта</t>
  </si>
  <si>
    <t>Организация доступной среды</t>
  </si>
  <si>
    <t>Правовое обеспечение профессиональной деятельности</t>
  </si>
  <si>
    <t>Инженерная и компьютерная графика</t>
  </si>
  <si>
    <t>Экономика</t>
  </si>
  <si>
    <t>Экология</t>
  </si>
  <si>
    <t>Менеджмент</t>
  </si>
  <si>
    <t>Метрология, стандартизация и сертификация</t>
  </si>
  <si>
    <t>Транспортно-технологические системы</t>
  </si>
  <si>
    <t>Информационные технологии на транспорте. Цифровизация технологических процессов</t>
  </si>
  <si>
    <t>Математическое моделирование транспортных процессов</t>
  </si>
  <si>
    <t>Менеджмент качества и эффективность технических и технологических мероприятий в транспортных процессах</t>
  </si>
  <si>
    <t>История России</t>
  </si>
  <si>
    <t>Элективные курсы по физической культуре и спорту</t>
  </si>
  <si>
    <t>Теория и практика логистики</t>
  </si>
  <si>
    <t>Управление грузовой и коммерческой работой. Грузоведение</t>
  </si>
  <si>
    <t>Транспортная логистика</t>
  </si>
  <si>
    <t>Промышленный транспорт</t>
  </si>
  <si>
    <t>Организация движения на железнодорожном транспорте</t>
  </si>
  <si>
    <t>Железнодорожная транспортная инфраструктура</t>
  </si>
  <si>
    <t>Управление эксплуатационной работой</t>
  </si>
  <si>
    <t>Организация логистики пассажирских перевозок</t>
  </si>
  <si>
    <t>Обеспечение безопасности на транспорте</t>
  </si>
  <si>
    <t>Хладотранспорт и основы теплотехники</t>
  </si>
  <si>
    <t>Организация перевозок скоропортящихся грузов</t>
  </si>
  <si>
    <t>Основы транспортного бизнеса</t>
  </si>
  <si>
    <t>Аутсорсинг на транспорте</t>
  </si>
  <si>
    <t>Организация контейнерных и пакетных перевозок</t>
  </si>
  <si>
    <t>Терминальные системы транспорта</t>
  </si>
  <si>
    <t>Организация перевозок и тарифы в международных сообщениях</t>
  </si>
  <si>
    <t>Организация мультимодальных перевозок</t>
  </si>
  <si>
    <t>Организация работы экспедиторских фирм</t>
  </si>
  <si>
    <t>Сервис на транспорте</t>
  </si>
  <si>
    <t>Производственная практика (преддипломная практика)</t>
  </si>
  <si>
    <t>История религиозной культуры</t>
  </si>
  <si>
    <t>Построение бизнес-модели</t>
  </si>
  <si>
    <t>УК-1.1; УК-1.2</t>
  </si>
  <si>
    <t>УК-5.1; УК-5.2</t>
  </si>
  <si>
    <t>УК-4.3; УК-4.4</t>
  </si>
  <si>
    <t>УК-8.1; УК-8.2; УК-8.3</t>
  </si>
  <si>
    <t>УК-7.1; УК-7.2</t>
  </si>
  <si>
    <t>ОПК-4.1</t>
  </si>
  <si>
    <t>ОПК-4.2</t>
  </si>
  <si>
    <t>УК-5.3</t>
  </si>
  <si>
    <t>УК-6.1; УК-6.2</t>
  </si>
  <si>
    <t>ОПК-1.2; ОПК-1.3</t>
  </si>
  <si>
    <t>ОПК-1.1</t>
  </si>
  <si>
    <t>УК-4.1; УК-4.2</t>
  </si>
  <si>
    <t>УК-9.1; УК-9.2</t>
  </si>
  <si>
    <t>УК-2.1; УК-11.1; УК-11.2</t>
  </si>
  <si>
    <t>ОПК-1.4</t>
  </si>
  <si>
    <t>УК-10.1; УК-10.2; ОПК-2.2</t>
  </si>
  <si>
    <t>ОПК-2.1</t>
  </si>
  <si>
    <t>УК-2.2; УК-3.1; УК-3.2; ОПК-2.3</t>
  </si>
  <si>
    <t>ОПК-3.1; ОПК-3.2; ОПК-6.2</t>
  </si>
  <si>
    <t>ОПК-2.4; ОПК-5.2</t>
  </si>
  <si>
    <t>ОПК-4.4</t>
  </si>
  <si>
    <t>ОПК-4.2; ОПК-4.3</t>
  </si>
  <si>
    <t>ОПК-1.5; ПК-5.1</t>
  </si>
  <si>
    <t>ОПК-5.1; ОПК-6.1; ПК-5.3</t>
  </si>
  <si>
    <t>УК-2.1; УК-5.1; УК-5.2</t>
  </si>
  <si>
    <t>УК-7.3</t>
  </si>
  <si>
    <t>ПК-5.5</t>
  </si>
  <si>
    <t>ПК-1.1; ПК-1.2</t>
  </si>
  <si>
    <t>ПК-5.2</t>
  </si>
  <si>
    <t>ПК-4.2</t>
  </si>
  <si>
    <t>ПК-2.4</t>
  </si>
  <si>
    <t>ПК-2.1</t>
  </si>
  <si>
    <t>ПК-6.1; ПК-6.2</t>
  </si>
  <si>
    <t>ПК-2.2; ПК-2.3</t>
  </si>
  <si>
    <t>ПК-4.3; ПК-4.4</t>
  </si>
  <si>
    <t>ПК-5.4</t>
  </si>
  <si>
    <t>ПК-1.4</t>
  </si>
  <si>
    <t>ПК-4.1</t>
  </si>
  <si>
    <t>ОПК-5.3; ПК-5.5</t>
  </si>
  <si>
    <t>ПК-1.2; ПК-2.1; ПК-3.1; ПК-3.2; ПК-5.2</t>
  </si>
  <si>
    <t>ПК-1.1; ПК-1.3; ПК-2.4; ПК-4.1; ПК-4.4; ПК-5.4; ПК-5.5</t>
  </si>
  <si>
    <t>ПК-1.4; ПК-2.2; ПК-2.3; ПК-4.2; ПК-4.3; ПК-5.1; ПК-5.3; ПК-6.1; ПК-6.2</t>
  </si>
  <si>
    <t>Б1.О.06.01</t>
  </si>
  <si>
    <t>Б1.О.06.02</t>
  </si>
  <si>
    <t>Б1.О.09</t>
  </si>
  <si>
    <t>Б1.О.10</t>
  </si>
  <si>
    <t>Б1.О.11</t>
  </si>
  <si>
    <t>Б1.О.12</t>
  </si>
  <si>
    <t>Б1.О.13</t>
  </si>
  <si>
    <t>Б1.О.14</t>
  </si>
  <si>
    <t>Б1.О.15</t>
  </si>
  <si>
    <t>Б1.О.16</t>
  </si>
  <si>
    <t>Б1.О.17</t>
  </si>
  <si>
    <t>Б1.О.18</t>
  </si>
  <si>
    <t>Б1.О.19</t>
  </si>
  <si>
    <t>Б1.О.20</t>
  </si>
  <si>
    <t>Б1.О.21</t>
  </si>
  <si>
    <t>Б1.О.22.01</t>
  </si>
  <si>
    <t>Б1.О.22.02</t>
  </si>
  <si>
    <t>Б1.О.23</t>
  </si>
  <si>
    <t>Б1.О.24</t>
  </si>
  <si>
    <t>Б1.О.25</t>
  </si>
  <si>
    <t>Б1.В.01.01</t>
  </si>
  <si>
    <t>Б1.В.03</t>
  </si>
  <si>
    <t>Б1.В.04</t>
  </si>
  <si>
    <t>Б1.В.05</t>
  </si>
  <si>
    <t>Б1.В.06</t>
  </si>
  <si>
    <t>Б1.В.07</t>
  </si>
  <si>
    <t>Б1.В.08</t>
  </si>
  <si>
    <t>Б1.В.09</t>
  </si>
  <si>
    <t>Б1.В.10</t>
  </si>
  <si>
    <t>Б1.В.ДВ.04.01</t>
  </si>
  <si>
    <t>Б1.В.ДВ.04.02</t>
  </si>
  <si>
    <t>Б1.В.ДВ.05.01</t>
  </si>
  <si>
    <t>Б1.В.ДВ.05.02</t>
  </si>
  <si>
    <t>Б2.В.03(Пд)</t>
  </si>
  <si>
    <t>УК-7</t>
  </si>
  <si>
    <t>УК-8</t>
  </si>
  <si>
    <t>УК-9</t>
  </si>
  <si>
    <t>УК-10</t>
  </si>
  <si>
    <t>УК-11</t>
  </si>
  <si>
    <t>ПК-5</t>
  </si>
  <si>
    <t>ПК-6</t>
  </si>
  <si>
    <t>Способен осуществлять поиск, критический анализ и синтез информации, применять системный подход для решения поставленных задач</t>
  </si>
  <si>
    <t>Осуществляет поиск информации, критически оценивает надежность источников информации, работает с противоречивой информацией из разных источников</t>
  </si>
  <si>
    <t>Выполнение, подготовка к процедуре защиты и защита выпускной квалификационной работы</t>
  </si>
  <si>
    <t>Анализирует проблемную ситуацию, выявляет ее составляющие и связи между ними, формулирует и аргументирует выводы и суждения</t>
  </si>
  <si>
    <t>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</t>
  </si>
  <si>
    <t>Решает ситуационные задачи с учетом трудовых и социальных факторов в рамках нормативно-правового регулирования</t>
  </si>
  <si>
    <t>Формулирует проектную задачу, определяет способы ее решения средствами проектного управления</t>
  </si>
  <si>
    <t>Способен осуществлять социальное взаимодействие и реализовывать свою роль в команде</t>
  </si>
  <si>
    <t>УК-3.1</t>
  </si>
  <si>
    <t>Организует и координирует работу команды с учетом интересов, особенностей поведения и мнения её членов</t>
  </si>
  <si>
    <t>УК-3.2</t>
  </si>
  <si>
    <t>Вырабатывает командную стратегию для достижения поставленной цели</t>
  </si>
  <si>
    <t>Способен осуществлять деловую коммуникацию в устной и письменной формах на государственном языке Российской Федерации и иностранном(ых) языке(ах)</t>
  </si>
  <si>
    <t>УК-4.1</t>
  </si>
  <si>
    <t>Отбирает и использует средства русского языка в соответствии с языковыми нормами в целях построения эффективной академической и профессиональной коммуникации</t>
  </si>
  <si>
    <t>УК-4.2</t>
  </si>
  <si>
    <t>Осуществляет академическое и деловое взаимодействие в различных жанрах и формах с использованием современных коммуникативных технологий</t>
  </si>
  <si>
    <t>УК-4.3</t>
  </si>
  <si>
    <t>Применяет современные коммуникативные технологии для академического взаимодействия на иностранном(ых) языке(ах)</t>
  </si>
  <si>
    <t>УК-4.4</t>
  </si>
  <si>
    <t>Применяет современные коммуникативные технологии для профессионального взаимодействия на иностранном(ых) языке(ах)</t>
  </si>
  <si>
    <t>Способен воспринимать межкультурное разнообразие общества в социально-историческом, этическом и философском контекстах</t>
  </si>
  <si>
    <t xml:space="preserve">Анализирует идеологические и ценностные системы в контексте исторического развития общества, обосновывает актуальность их использования при социальном и профессиональном взаимодействии </t>
  </si>
  <si>
    <t>УК-5.2</t>
  </si>
  <si>
    <t>Выявляет современные тенденции исторического развития России с учетом геополитической обстановки</t>
  </si>
  <si>
    <t>Выстраивает социальное и профессиональное взаимодействие с учетом особенностей основных форм научного и религиозного сознания, деловой и общей культуры представителей различных социальных групп, этносов и конфессий</t>
  </si>
  <si>
    <t>Способен управлять своим временем, выстраивать и реализовывать траекторию саморазвития на основе принципов образования в течение всей жизни</t>
  </si>
  <si>
    <t>УК-6.1</t>
  </si>
  <si>
    <t>Определяет цели и задачи саморазвития и профессионального роста на основе оценки временных и личностных ресурсов</t>
  </si>
  <si>
    <t>УК-6.2</t>
  </si>
  <si>
    <t>Использует основные возможности и инструменты непрерывного образования (образования в течение всей жизни) для реализации траектории саморазвития</t>
  </si>
  <si>
    <t>Способен поддерживать должный уровень физической подготовленности для обеспечения полноценной социальной и профессиональной деятельности</t>
  </si>
  <si>
    <t>УК-7.1</t>
  </si>
  <si>
    <t>Идентифицирует и анализирует социально-биологические и методические основы физического воспитания, здорового образа жизни, профессионально-прикладной физической подготовки</t>
  </si>
  <si>
    <t>УК-7.2</t>
  </si>
  <si>
    <t>Выбирает способы оценки и контроля уровня физического развития, физической и профессионально-прикладной подготовленности, показателей работоспособности и здоровья, с учетом физиологических особенностей организма</t>
  </si>
  <si>
    <t>Соблюдает нормы здорового образа жизни, поддерживает должный уровень физической подготовленности для обеспечения полноценной социальной и профессиональной деятельности</t>
  </si>
  <si>
    <t>Способен создавать и поддерживать в повседневной жизни и в профессиональной деятельности безопасные условия жизнедеятельности для сохранения природной среды, обеспечения устойчивого развития общества, в том числе при угрозе и возникновении чрезвычайных ситуаций и военных конфликтов</t>
  </si>
  <si>
    <t>УК-8.1</t>
  </si>
  <si>
    <t>Идентифицирует и анализирует факторы вредного влияния элементов среды обитания (технических средств, технологических процессов, материалов, зданий и сооружений, природных и социальных явлений)</t>
  </si>
  <si>
    <t>УК-8.2</t>
  </si>
  <si>
    <t>Определяет алгоритм действий по обеспечению безопасных условий жизнедеятельности при угрозе и возникновении чрезвычайных ситуаций и военных конфликтов</t>
  </si>
  <si>
    <t>УК-8.3</t>
  </si>
  <si>
    <t>Планирует мероприятия по организации безопасных условий труда на предприятии</t>
  </si>
  <si>
    <t>Способен использовать базовые дефектологические знания в социальной и профессиональной сферах</t>
  </si>
  <si>
    <t>УК-9.1</t>
  </si>
  <si>
    <t>Осуществляет взаимодействие в социальной и профессиональной сферах с лицами с ограниченными возможностями здоровья и инвалидами</t>
  </si>
  <si>
    <t>УК-9.2</t>
  </si>
  <si>
    <t>Планирует мероприятия по организации доступной среды на объектах транспорта для безбарьерного обслуживания пассажиров из числа инвалидов и лиц с ограниченными возможностями здоровья</t>
  </si>
  <si>
    <t>Способен принимать обоснованные экономические решения в различных областях жизнедеятельности</t>
  </si>
  <si>
    <t>УК-10.1</t>
  </si>
  <si>
    <t>Анализирует и критически оценивает информацию, необходимую для принятия обоснованных экономических решений</t>
  </si>
  <si>
    <t>УК-10.2</t>
  </si>
  <si>
    <t>Применяет методы личного экономического и финансового планирования для достижения текущих и долгосрочных финансовых целей, использует финансовые инструменты для управления личными финансами (личным бюджетом), контролирует собственные экономические и финансовые риски</t>
  </si>
  <si>
    <t>Способен формировать нетерпимое отношение к проявлениям экстремизма, терроризма, коррупционному поведению и противодействовать им в профессиональной деятельности</t>
  </si>
  <si>
    <t>УК-11.1</t>
  </si>
  <si>
    <t>Раскрывает механизм проявления коррупционного поведения и определяет способы противодействия ему в профессиональной деятельности</t>
  </si>
  <si>
    <t>УК-11.2</t>
  </si>
  <si>
    <t>Обосновывает правовыми средствами свою гражданскую позицию в отношении терроризма и экстремизма и применяет способы противодействия им в профессиональной сфере</t>
  </si>
  <si>
    <t>Способен применять естественнонаучные и общеинженерные знания, методы математического анализа и моделирования в профессиональной деятельности</t>
  </si>
  <si>
    <t>Применяет методы высшей математики для решения задач профессиональной деятельности</t>
  </si>
  <si>
    <t>Применяет основные понятия и законы естественных наук для решения предметно-профильных задач</t>
  </si>
  <si>
    <t>ОПК-1.3</t>
  </si>
  <si>
    <t>Применяет естественнонаучные методы теоретического и экспериментального исследования объектов, процессов, явлений, проводит эксперименты по заданной методике и анализирует результаты</t>
  </si>
  <si>
    <t>Разрабатывает графическую техническую документацию в соответствии с требованиями ЕСКД, в том числе с использованием пакетов прикладных программ для автоматизированного построения модели деталей техники</t>
  </si>
  <si>
    <t>ОПК-1.5</t>
  </si>
  <si>
    <t>Применяет методы математического анализа и моделирования для решения прикладных задач</t>
  </si>
  <si>
    <t>Способен осуществлять профессиональную деятельность с учетом экономических, экологических и социальных ограничений на всех этапах жизненного цикла транспортно-технологических машин и комплексов</t>
  </si>
  <si>
    <t>Осуществляет мониторинг, прогнозирование и оценку экологической безопасности действующих, вновь строящихся и реконструируемых объектов</t>
  </si>
  <si>
    <t>ОПК-2.2</t>
  </si>
  <si>
    <t>Решает задачи профессиональной деятельности с учетом экономических ограничений на всех этапах жизненного цикла транспортно-технологических машин и комплексов</t>
  </si>
  <si>
    <t>ОПК-2.3</t>
  </si>
  <si>
    <t>Применяет теоретические основы менеджмента при решении профессиональных задач</t>
  </si>
  <si>
    <t>ОПК-2.4</t>
  </si>
  <si>
    <t>Предлагает решение проблем, связанных с формированием или развитием транспортно-технологических систем (в том числе машин и комплексов)</t>
  </si>
  <si>
    <t>Способен в сфере своей профессиональной деятельности проводить измерения и наблюдения, обрабатывать и представлять экспериментальные данные и результаты испытаний</t>
  </si>
  <si>
    <t>ОПК-3.1</t>
  </si>
  <si>
    <t>Проводит измерения и наблюдения с использованием технических средств с учетом правовых норм метрологии</t>
  </si>
  <si>
    <t>ОПК-3.2</t>
  </si>
  <si>
    <t>Обрабатывает и представляет результаты измерений в ходе выполнения экспериментальных испытаний в соответствии с требованиями действующих стандартов</t>
  </si>
  <si>
    <t>Способен понимать принципы работы современных информационных технологий и использовать их для решения задач профессиональной деятельности</t>
  </si>
  <si>
    <t>Применяет основные методы представления информации и алгоритмы обработки данных в профессиональной деятельности</t>
  </si>
  <si>
    <t>Модуль "Введение в информационные технологии"</t>
  </si>
  <si>
    <t>Использует ресурсы электронной образовательной среды в рамках своей образовательной деятельности</t>
  </si>
  <si>
    <t>ОПК-4.3</t>
  </si>
  <si>
    <t>Использует в своей профессиональной деятельности автоматизированные информационно-управляющие и аналитические системы, применяемые на транспорте</t>
  </si>
  <si>
    <t>Модуль "Системы искусственного интеллекта"</t>
  </si>
  <si>
    <t>Способен принимать обоснованные технические решения, выбирать эффективные и безопасные технические средства и технологии при решении задач профессиональной деятельности</t>
  </si>
  <si>
    <t>ОПК-5.1</t>
  </si>
  <si>
    <t>Обосновывает технические решения, выбирает эффективные и безопасные технические средства и технологии при решении задач профессиональной деятельности</t>
  </si>
  <si>
    <t>ОПК-5.2</t>
  </si>
  <si>
    <t>Выбирает эффективные и безопасные технические средства и технологии погрузочно-разгрузочных работ</t>
  </si>
  <si>
    <t>Обосновывает выбор эффективных и безопасных технических средств и технологий при решении задач профессиональной деятельности</t>
  </si>
  <si>
    <t>Способен участвовать в разработке технической документации с использованием стандартов, норм и правил, связанных с профессиональной деятельностью</t>
  </si>
  <si>
    <t>Использует стандарты, нормы и правила, связанные с профессиональной деятельностью, при разработке технических и технологических мероприятий в организации перевозочного процесса и оказании логистических услуг</t>
  </si>
  <si>
    <t>ОПК-6.2</t>
  </si>
  <si>
    <t>Разрабатывает технические и технологические мероприятия производственной деятельности с учетом действующих международных, российских, отраслевых стандартов, норм и правил</t>
  </si>
  <si>
    <t>Способен выполнять комплекс услуг по транспортному обслуживанию грузоотправителей и грузополучателей при перевозке грузов, в том числе скоропортящихся, на основе принципов логистики с учетом эффективного и рационального взаимодействия видов транспорта, составляющих единую транспортную систему</t>
  </si>
  <si>
    <t>Планирует работу предприятия транспортной отрасли по оказанию комплекса услуг грузовладельцам</t>
  </si>
  <si>
    <t>Идентифицирует и анализирует свойства грузов, характеристики подвижного состава, требования к размещению и креплению грузов в вагонах и контейнерах</t>
  </si>
  <si>
    <t>Определяет перечень транспортных услуг, связанных с перевозкой скоропортящихся грузов</t>
  </si>
  <si>
    <t>Разрабатывает комплекс услуг по транспортно-логистическому обслуживанию для эффективной мультимодальной перевозки грузов</t>
  </si>
  <si>
    <t>Способен осуществлять контроль и управление перевозочным процессом, оперативное планирование и управление эксплуатационной работой с учетом технического состояния, контроль безопасности движения и эксплуатации на железнодорожном транспорте</t>
  </si>
  <si>
    <t>Осуществляет оперативное планирование, управление, контроль перевозочного процесса с учетом технического состояния и безопасности</t>
  </si>
  <si>
    <t>ПК-2.2</t>
  </si>
  <si>
    <t>Использует технические средства для обеспечения безопасности на железнодорожном транспорте</t>
  </si>
  <si>
    <t>ПК-2.3</t>
  </si>
  <si>
    <t>Определяет последовательность действий в соответствии с правилами технической эксплуатации и требованиями техники безопасности при организации и проведении работ</t>
  </si>
  <si>
    <t>Осуществляет контроль и управление движением поездов, принимает решения по организации движения поездов по участку в изменяющейся поездной обстановке</t>
  </si>
  <si>
    <t>Способен проектировать железнодорожные линии, станции и узлы,  разрабатывать и корректировать нормативную технологическую документацию с учетом технического оснащения и перспективного развития объектов железнодорожной инфраструктуры</t>
  </si>
  <si>
    <t>ПК-3.1</t>
  </si>
  <si>
    <t>Использует техническую и нормативную документацию по проектированию объектов транспортной инфраструктуры, устройств и технического оснащения раздельных пунктов и транспортных узлов; методы расчета основных элементов; способы увязки проектных решений с передовой технологией работы станций и железнодорожных узлов; методы выполнения технико-экономических расчетов по выбору наиболее эффективных решений</t>
  </si>
  <si>
    <t>ПК-3.2</t>
  </si>
  <si>
    <t>Использует методы технико-экономического обоснования при принятии решения о необходимости развития железнодорожной станции и узла; проектирования и расчетов, включая применение автоматизированного проектирования</t>
  </si>
  <si>
    <t>Способен осуществлять организацию работы с подрядчиками на рынке транспортных услуг</t>
  </si>
  <si>
    <t>Решает задачи по организации работы экспедиторских фирм, оформляет необходимые документы для заключения договоров с юридическими и физическими лицами на транспортно-экспедиционное обслуживание грузовладельцев</t>
  </si>
  <si>
    <t>Разрабатывает эффективные схемы взаимоотношения промышленного и магистрального транспорта в процессе оказания логистической услуги перевозки груза в цепи поставок</t>
  </si>
  <si>
    <t>ПК-4.3</t>
  </si>
  <si>
    <t>Анализирует информацию о планируемых мероприятиях, разрабатывает эффективные схемы взаимоотношений в процессе оказания логистической услуги перевозки груза, организует планирование услуг, этапов, сроков доставки</t>
  </si>
  <si>
    <t>ПК-4.4</t>
  </si>
  <si>
    <t>Определяет перечень необходимых услуг на транспортном рынке, выбирает подрядчика на основе критериального анализа, проверяет договор на содержание, полноту и соответствие услуг, организует работу с подрядчиками на рынке транспортных услуг</t>
  </si>
  <si>
    <t>Способен осуществлять организацию перевозочного процесса и улучшения качества оказания логистических услуг</t>
  </si>
  <si>
    <t>ПК-5.1</t>
  </si>
  <si>
    <t>Разрабатывает математические модели для решения транспортных задач и улучшения качества оказания логистических услуг</t>
  </si>
  <si>
    <t>Планирует деятельность по продвижению транспортно-логистических услуг и выбору оптимальных схем доставки грузов в цепи поставок</t>
  </si>
  <si>
    <t>ПК-5.3</t>
  </si>
  <si>
    <t>Решает задачи по повышению эффективности технических и технологических мероприятий при организации перевозочного процесса и оказании логистических услуг</t>
  </si>
  <si>
    <t>Планирует логистические мероприятия по организации контейнерных и пакетных перевозок в технологии работы терминальных систем транспорта</t>
  </si>
  <si>
    <t>Планирует логистические операции, распределяет задачи в процессе реализации ключевых и поддерживающих функций логистики</t>
  </si>
  <si>
    <t>Способен осуществлять контроль и управление системой организации пассажирских перевозок на железнодорожном транспорте</t>
  </si>
  <si>
    <t>ПК-6.1</t>
  </si>
  <si>
    <t>Решает задачи, направленные на организацию пассажирских перевозок на железнодорожном транспорте</t>
  </si>
  <si>
    <t>ПК-6.2</t>
  </si>
  <si>
    <t>Решает задачи, направленные на организацию работы и эксплуатацию вокзальных комплексов, транспортно-пересадочных узлов</t>
  </si>
  <si>
    <t>Компетенция (код)</t>
  </si>
  <si>
    <t>Компетенция (расшифровка)</t>
  </si>
  <si>
    <t>Все индикаторы дисциплины</t>
  </si>
  <si>
    <t>Индикатор (код)</t>
  </si>
  <si>
    <t>Индикатор (расшифровка)</t>
  </si>
  <si>
    <t>Компетенция (объединенная)</t>
  </si>
  <si>
    <t>Индикатор (объединенный)</t>
  </si>
  <si>
    <t>Название дисциплины</t>
  </si>
  <si>
    <t>Количество вопросов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</si>
</sst>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  <family val="2"/>
      <scheme val="minor"/>
    </font>
    <font>
      <sz val="8"/>
      <color rgb="FF000000"/>
      <name val="Tahoma"/>
      <family val="2"/>
      <charset val="204"/>
    </font>
    <font>
      <b/>
      <sz val="8"/>
      <color rgb="FF000000"/>
      <name val="Tahoma"/>
      <family val="2"/>
      <charset val="204"/>
    </font>
    <font>
      <sz val="8"/>
      <name val="Tahoma"/>
      <family val="2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NumberFormat="1" applyFont="1" applyFill="1" applyBorder="1" applyAlignment="1">
      <alignment horizontal="left" vertical="center" shrinkToFit="1" readingOrder="1"/>
    </xf>
    <xf numFmtId="0" fontId="1" fillId="2" borderId="6" xfId="0" applyNumberFormat="1" applyFont="1" applyFill="1" applyBorder="1" applyAlignment="1">
      <alignment horizontal="left" vertical="center" shrinkToFit="1" readingOrder="1"/>
    </xf>
    <xf numFmtId="0" fontId="1" fillId="2" borderId="7" xfId="0" applyNumberFormat="1" applyFont="1" applyFill="1" applyBorder="1" applyAlignment="1">
      <alignment horizontal="left" vertical="center" shrinkToFit="1" readingOrder="1"/>
    </xf>
    <xf numFmtId="0" fontId="1" fillId="2" borderId="11" xfId="0" applyNumberFormat="1" applyFont="1" applyFill="1" applyBorder="1" applyAlignment="1">
      <alignment horizontal="left" vertical="center" wrapText="1" shrinkToFit="1" readingOrder="1"/>
    </xf>
    <xf numFmtId="0" fontId="1" fillId="2" borderId="12" xfId="0" applyNumberFormat="1" applyFont="1" applyFill="1" applyBorder="1" applyAlignment="1">
      <alignment horizontal="left" vertical="center" wrapText="1" shrinkToFit="1" readingOrder="1"/>
    </xf>
    <xf numFmtId="0" fontId="1" fillId="2" borderId="13" xfId="0" applyNumberFormat="1" applyFont="1" applyFill="1" applyBorder="1" applyAlignment="1">
      <alignment horizontal="left" vertical="center" wrapText="1" shrinkToFit="1" readingOrder="1"/>
    </xf>
    <xf numFmtId="0" fontId="3" fillId="2" borderId="3" xfId="0" applyNumberFormat="1" applyFont="1" applyFill="1" applyBorder="1" applyAlignment="1">
      <alignment horizontal="left" vertical="center" wrapText="1" shrinkToFit="1" readingOrder="1"/>
    </xf>
    <xf numFmtId="0" fontId="3" fillId="2" borderId="14" xfId="0" applyNumberFormat="1" applyFont="1" applyFill="1" applyBorder="1" applyAlignment="1">
      <alignment horizontal="left" vertical="center" wrapText="1" shrinkToFit="1" readingOrder="1"/>
    </xf>
    <xf numFmtId="0" fontId="3" fillId="2" borderId="15" xfId="0" applyNumberFormat="1" applyFont="1" applyFill="1" applyBorder="1" applyAlignment="1">
      <alignment horizontal="left" vertical="center" wrapText="1" shrinkToFit="1" readingOrder="1"/>
    </xf>
    <xf numFmtId="0" fontId="0" fillId="0" borderId="0" xfId="0" applyFill="1"/>
    <xf numFmtId="0" fontId="1" fillId="0" borderId="4" xfId="0" applyNumberFormat="1" applyFont="1" applyFill="1" applyBorder="1" applyAlignment="1">
      <alignment horizontal="right" vertical="center" wrapText="1" shrinkToFit="1" readingOrder="1"/>
    </xf>
    <xf numFmtId="49" fontId="1" fillId="0" borderId="18" xfId="0" applyNumberFormat="1" applyFont="1" applyFill="1" applyBorder="1" applyAlignment="1" applyProtection="1">
      <alignment horizontal="left" vertical="center" wrapText="1" shrinkToFit="1" readingOrder="1"/>
    </xf>
    <xf numFmtId="0" fontId="1" fillId="0" borderId="7" xfId="0" applyNumberFormat="1" applyFont="1" applyFill="1" applyBorder="1" applyAlignment="1">
      <alignment horizontal="center" vertical="center" wrapText="1" shrinkToFit="1" readingOrder="1"/>
    </xf>
    <xf numFmtId="0" fontId="1" fillId="0" borderId="1" xfId="0" applyNumberFormat="1" applyFont="1" applyFill="1" applyBorder="1" applyAlignment="1">
      <alignment horizontal="center" vertical="center" wrapText="1" shrinkToFit="1" readingOrder="1"/>
    </xf>
    <xf numFmtId="0" fontId="1" fillId="0" borderId="6" xfId="0" applyNumberFormat="1" applyFont="1" applyFill="1" applyBorder="1" applyAlignment="1">
      <alignment horizontal="center" vertical="center" wrapText="1" shrinkToFit="1" readingOrder="1"/>
    </xf>
    <xf numFmtId="0" fontId="1" fillId="0" borderId="10" xfId="0" applyNumberFormat="1" applyFont="1" applyFill="1" applyBorder="1" applyAlignment="1">
      <alignment horizontal="center" vertical="center" wrapText="1" shrinkToFit="1" readingOrder="1"/>
    </xf>
    <xf numFmtId="0" fontId="2" fillId="3" borderId="17" xfId="0" applyNumberFormat="1" applyFont="1" applyFill="1" applyBorder="1" applyAlignment="1">
      <alignment horizontal="left" vertical="center" wrapText="1" shrinkToFit="1" readingOrder="1"/>
    </xf>
    <xf numFmtId="0" fontId="2" fillId="3" borderId="9" xfId="0" applyNumberFormat="1" applyFont="1" applyFill="1" applyBorder="1" applyAlignment="1">
      <alignment horizontal="center" vertical="center" wrapText="1" shrinkToFit="1" readingOrder="1"/>
    </xf>
    <xf numFmtId="0" fontId="2" fillId="3" borderId="5" xfId="0" applyNumberFormat="1" applyFont="1" applyFill="1" applyBorder="1" applyAlignment="1">
      <alignment horizontal="center" vertical="center" wrapText="1" shrinkToFit="1" readingOrder="1"/>
    </xf>
    <xf numFmtId="0" fontId="2" fillId="3" borderId="8" xfId="0" applyNumberFormat="1" applyFont="1" applyFill="1" applyBorder="1" applyAlignment="1">
      <alignment horizontal="center" vertical="center" wrapText="1" shrinkToFit="1" readingOrder="1"/>
    </xf>
    <xf numFmtId="0" fontId="2" fillId="3" borderId="16" xfId="0" applyNumberFormat="1" applyFont="1" applyFill="1" applyBorder="1" applyAlignment="1">
      <alignment horizontal="center" vertical="center" wrapText="1" shrinkToFit="1" readingOrder="1"/>
    </xf>
    <xf numFmtId="0" fontId="2" fillId="3" borderId="4" xfId="0" applyNumberFormat="1" applyFont="1" applyFill="1" applyBorder="1" applyAlignment="1">
      <alignment horizontal="left" vertical="center" wrapText="1" shrinkToFit="1" readingOrder="1"/>
    </xf>
    <xf numFmtId="0" fontId="2" fillId="3" borderId="2" xfId="0" applyNumberFormat="1" applyFont="1" applyFill="1" applyBorder="1" applyAlignment="1">
      <alignment horizontal="left" vertical="center" wrapText="1" shrinkToFit="1" readingOrder="1"/>
    </xf>
    <xf numFmtId="0" fontId="2" fillId="3" borderId="7" xfId="0" applyNumberFormat="1" applyFont="1" applyFill="1" applyBorder="1" applyAlignment="1">
      <alignment horizontal="center" vertical="center" wrapText="1" shrinkToFit="1" readingOrder="1"/>
    </xf>
    <xf numFmtId="0" fontId="2" fillId="3" borderId="1" xfId="0" applyNumberFormat="1" applyFont="1" applyFill="1" applyBorder="1" applyAlignment="1">
      <alignment horizontal="center" vertical="center" wrapText="1" shrinkToFit="1" readingOrder="1"/>
    </xf>
    <xf numFmtId="0" fontId="2" fillId="3" borderId="6" xfId="0" applyNumberFormat="1" applyFont="1" applyFill="1" applyBorder="1" applyAlignment="1">
      <alignment horizontal="center" vertical="center" wrapText="1" shrinkToFit="1" readingOrder="1"/>
    </xf>
    <xf numFmtId="0" fontId="2" fillId="3" borderId="10" xfId="0" applyNumberFormat="1" applyFont="1" applyFill="1" applyBorder="1" applyAlignment="1">
      <alignment horizontal="center" vertical="center" wrapText="1" shrinkToFit="1" readingOrder="1"/>
    </xf>
    <xf numFmtId="0" fontId="1" fillId="4" borderId="1" xfId="0" applyNumberFormat="1" applyFont="1" applyFill="1" applyBorder="1" applyAlignment="1">
      <alignment horizontal="center" vertical="center" wrapText="1" shrinkToFit="1" readingOrder="1"/>
    </xf>
    <xf numFmtId="0" fontId="0" fillId="0" borderId="0" xfId="0" applyAlignment="1">
      <alignment wrapText="1"/>
    </xf>
    <xf numFmtId="0" fontId="0" fillId="5" borderId="0" xfId="0" applyFill="1"/>
    <xf numFmtId="0" fontId="2" fillId="0" borderId="1" xfId="0" applyNumberFormat="1" applyFont="1" applyFill="1" applyBorder="1" applyAlignment="1">
      <alignment horizontal="center" vertical="center" wrapText="1" shrinkToFit="1" readingOrder="1"/>
    </xf>
    <xf numFmtId="0" fontId="0" fillId="0" borderId="0" xfId="0" applyFill="1" applyAlignment="1">
      <alignment wrapText="1"/>
    </xf>
    <xf numFmtId="0" fontId="1" fillId="0" borderId="1" xfId="0" applyNumberFormat="1" applyFont="1" applyFill="1" applyBorder="1" applyAlignment="1">
      <alignment horizontal="left" vertical="center" wrapText="1" shrinkToFit="1" readingOrder="1"/>
    </xf>
    <xf numFmtId="0" fontId="1" fillId="0" borderId="1" xfId="0" applyNumberFormat="1" applyFont="1" applyFill="1" applyBorder="1" applyAlignment="1">
      <alignment horizontal="left" vertical="center" shrinkToFit="1" readingOrder="1"/>
    </xf>
    <xf numFmtId="0" fontId="5" fillId="0" borderId="0" xfId="0" applyFont="1" applyFill="1"/>
    <xf numFmtId="0" fontId="2" fillId="6" borderId="1" xfId="0" applyNumberFormat="1" applyFont="1" applyFill="1" applyBorder="1" applyAlignment="1">
      <alignment horizontal="left" vertical="center" wrapText="1" shrinkToFit="1" readingOrder="1"/>
    </xf>
    <xf numFmtId="0" fontId="2" fillId="6" borderId="1" xfId="0" applyNumberFormat="1" applyFont="1" applyFill="1" applyBorder="1" applyAlignment="1">
      <alignment horizontal="center" vertical="center" wrapText="1" shrinkToFit="1" readingOrder="1"/>
    </xf>
    <xf numFmtId="0" fontId="4" fillId="6" borderId="0" xfId="0" applyFont="1" applyFill="1"/>
    <xf numFmtId="0" fontId="1" fillId="0" borderId="1" xfId="0" applyNumberFormat="1" applyFont="1" applyFill="1" applyBorder="1" applyAlignment="1">
      <alignment horizontal="right" vertical="center" wrapText="1" shrinkToFit="1" readingOrder="1"/>
    </xf>
    <xf numFmtId="0" fontId="2" fillId="7" borderId="1" xfId="0" applyNumberFormat="1" applyFont="1" applyFill="1" applyBorder="1" applyAlignment="1">
      <alignment horizontal="center" vertical="center" wrapText="1" shrinkToFit="1" readingOrder="1"/>
    </xf>
    <xf numFmtId="0" fontId="1" fillId="0" borderId="1" xfId="0" applyNumberFormat="1" applyFont="1" applyFill="1" applyBorder="1" applyAlignment="1">
      <alignment horizontal="center" vertical="center" wrapText="1" shrinkToFit="1" readingOrder="1"/>
    </xf>
    <xf numFmtId="0" fontId="1" fillId="2" borderId="19" xfId="0" applyNumberFormat="1" applyFont="1" applyFill="1" applyBorder="1" applyAlignment="1">
      <alignment horizontal="center" vertical="center" wrapText="1" shrinkToFit="1" readingOrder="1"/>
    </xf>
    <xf numFmtId="0" fontId="1" fillId="2" borderId="20" xfId="0" applyNumberFormat="1" applyFont="1" applyFill="1" applyBorder="1" applyAlignment="1">
      <alignment horizontal="center" vertical="center" wrapText="1" shrinkToFit="1" readingOrder="1"/>
    </xf>
    <xf numFmtId="0" fontId="1" fillId="2" borderId="21" xfId="0" applyNumberFormat="1" applyFont="1" applyFill="1" applyBorder="1" applyAlignment="1">
      <alignment horizontal="center" vertical="center" wrapText="1" shrinkToFit="1" readingOrder="1"/>
    </xf>
    <xf numFmtId="0" fontId="1" fillId="2" borderId="22" xfId="0" applyNumberFormat="1" applyFont="1" applyFill="1" applyBorder="1" applyAlignment="1">
      <alignment horizontal="center" vertical="center" wrapText="1" shrinkToFit="1" readingOrder="1"/>
    </xf>
    <xf numFmtId="0" fontId="1" fillId="2" borderId="23" xfId="0" applyNumberFormat="1" applyFont="1" applyFill="1" applyBorder="1" applyAlignment="1">
      <alignment horizontal="center" vertical="center" wrapText="1" shrinkToFit="1" readingOrder="1"/>
    </xf>
    <xf numFmtId="0" fontId="1" fillId="2" borderId="24" xfId="0" applyNumberFormat="1" applyFont="1" applyFill="1" applyBorder="1" applyAlignment="1">
      <alignment horizontal="center" vertical="center" wrapText="1" shrinkToFit="1" readingOrder="1"/>
    </xf>
    <xf numFmtId="0" fontId="1" fillId="2" borderId="25" xfId="0" applyNumberFormat="1" applyFont="1" applyFill="1" applyBorder="1" applyAlignment="1">
      <alignment horizontal="center" vertical="center" wrapText="1" shrinkToFit="1" readingOrder="1"/>
    </xf>
    <xf numFmtId="0" fontId="1" fillId="2" borderId="26" xfId="0" applyNumberFormat="1" applyFont="1" applyFill="1" applyBorder="1" applyAlignment="1">
      <alignment horizontal="center" vertical="center" wrapText="1" shrinkToFit="1" readingOrder="1"/>
    </xf>
    <xf numFmtId="0" fontId="1" fillId="2" borderId="27" xfId="0" applyNumberFormat="1" applyFont="1" applyFill="1" applyBorder="1" applyAlignment="1">
      <alignment horizontal="center" vertical="center" wrapText="1" shrinkToFit="1" readingOrder="1"/>
    </xf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2" fillId="3" borderId="9" xfId="0" applyNumberFormat="1" applyFont="1" applyFill="1" applyBorder="1" applyAlignment="1">
      <alignment horizontal="left" vertical="center" wrapText="1" shrinkToFit="1" readingOrder="1"/>
    </xf>
    <xf numFmtId="0" fontId="1" fillId="0" borderId="7" xfId="0" applyNumberFormat="1" applyFont="1" applyFill="1" applyBorder="1" applyAlignment="1">
      <alignment horizontal="right" vertical="center" wrapText="1" shrinkToFit="1" readingOrder="1"/>
    </xf>
    <xf numFmtId="0" fontId="2" fillId="3" borderId="7" xfId="0" applyNumberFormat="1" applyFont="1" applyFill="1" applyBorder="1" applyAlignment="1">
      <alignment horizontal="left" vertical="center" wrapText="1" shrinkToFit="1" readingOrder="1"/>
    </xf>
  </cellXfs>
  <cellStyles count="1">
    <cellStyle name="Обычный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Spin" dx="22" fmlaLink="$G$1" max="50" page="10" val="7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114300</xdr:colOff>
          <xdr:row>0</xdr:row>
          <xdr:rowOff>85725</xdr:rowOff>
        </xdr:from>
        <xdr:to>
          <xdr:col>7</xdr:col>
          <xdr:colOff>457200</xdr:colOff>
          <xdr:row>1</xdr:row>
          <xdr:rowOff>419100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A0FD-C209-4C33-ABF2-C9433E33967D}">
  <dimension ref="A1:BF95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83" sqref="B83"/>
    </sheetView>
    <sheetView workbookViewId="1">
      <selection sqref="A1:A3"/>
    </sheetView>
  </sheetViews>
  <sheetFormatPr defaultRowHeight="15" x14ac:dyDescent="0.25"/>
  <cols>
    <col min="1" max="1" width="9.140625" style="35"/>
    <col min="2" max="2" width="63.5703125" style="35" customWidth="1"/>
    <col min="3" max="25" width="9.140625" style="10"/>
    <col min="26" max="26" width="12.42578125" style="10" customWidth="1"/>
    <col min="27" max="27" width="9.140625" style="10"/>
    <col min="28" max="28" width="12.85546875" style="10" customWidth="1"/>
    <col min="29" max="30" width="9.140625" style="10"/>
    <col min="31" max="50" width="9.140625" style="10" customWidth="1"/>
    <col min="51" max="51" width="14" style="10" customWidth="1"/>
    <col min="52" max="53" width="9.140625" style="10" customWidth="1"/>
    <col min="54" max="16384" width="9.140625" style="10"/>
  </cols>
  <sheetData>
    <row r="1" spans="1:58" ht="94.5" x14ac:dyDescent="0.25">
      <c r="A1" s="41" t="s">
        <v>0</v>
      </c>
      <c r="B1" s="41" t="s">
        <v>49</v>
      </c>
      <c r="C1" s="33" t="s">
        <v>145</v>
      </c>
      <c r="D1" s="33" t="s">
        <v>146</v>
      </c>
      <c r="E1" s="33" t="s">
        <v>147</v>
      </c>
      <c r="F1" s="33" t="s">
        <v>148</v>
      </c>
      <c r="G1" s="33" t="s">
        <v>149</v>
      </c>
      <c r="H1" s="33" t="s">
        <v>150</v>
      </c>
      <c r="I1" s="33" t="s">
        <v>151</v>
      </c>
      <c r="J1" s="33" t="s">
        <v>152</v>
      </c>
      <c r="K1" s="33" t="s">
        <v>153</v>
      </c>
      <c r="L1" s="33" t="s">
        <v>154</v>
      </c>
      <c r="M1" s="33" t="s">
        <v>155</v>
      </c>
      <c r="N1" s="33" t="s">
        <v>156</v>
      </c>
      <c r="O1" s="33" t="s">
        <v>157</v>
      </c>
      <c r="P1" s="33" t="s">
        <v>158</v>
      </c>
      <c r="Q1" s="33" t="s">
        <v>159</v>
      </c>
      <c r="R1" s="33" t="s">
        <v>160</v>
      </c>
      <c r="S1" s="33" t="s">
        <v>161</v>
      </c>
      <c r="T1" s="33" t="s">
        <v>162</v>
      </c>
      <c r="U1" s="33" t="s">
        <v>163</v>
      </c>
      <c r="V1" s="33" t="s">
        <v>164</v>
      </c>
      <c r="W1" s="33" t="s">
        <v>165</v>
      </c>
      <c r="X1" s="33" t="s">
        <v>166</v>
      </c>
      <c r="Y1" s="33" t="s">
        <v>18</v>
      </c>
      <c r="Z1" s="33" t="s">
        <v>167</v>
      </c>
      <c r="AA1" s="33" t="s">
        <v>168</v>
      </c>
      <c r="AB1" s="33" t="s">
        <v>169</v>
      </c>
      <c r="AC1" s="33" t="s">
        <v>170</v>
      </c>
      <c r="AD1" s="33" t="s">
        <v>171</v>
      </c>
      <c r="AE1" s="33" t="s">
        <v>172</v>
      </c>
      <c r="AF1" s="33" t="s">
        <v>173</v>
      </c>
      <c r="AG1" s="33" t="s">
        <v>174</v>
      </c>
      <c r="AH1" s="33" t="s">
        <v>175</v>
      </c>
      <c r="AI1" s="33" t="s">
        <v>176</v>
      </c>
      <c r="AJ1" s="33" t="s">
        <v>177</v>
      </c>
      <c r="AK1" s="33" t="s">
        <v>178</v>
      </c>
      <c r="AL1" s="33" t="s">
        <v>179</v>
      </c>
      <c r="AM1" s="33" t="s">
        <v>180</v>
      </c>
      <c r="AN1" s="33" t="s">
        <v>181</v>
      </c>
      <c r="AO1" s="33" t="s">
        <v>182</v>
      </c>
      <c r="AP1" s="33" t="s">
        <v>183</v>
      </c>
      <c r="AQ1" s="33" t="s">
        <v>184</v>
      </c>
      <c r="AR1" s="33" t="s">
        <v>185</v>
      </c>
      <c r="AS1" s="33" t="s">
        <v>186</v>
      </c>
      <c r="AT1" s="33" t="s">
        <v>187</v>
      </c>
      <c r="AU1" s="33" t="s">
        <v>188</v>
      </c>
      <c r="AV1" s="33" t="s">
        <v>189</v>
      </c>
      <c r="AW1" s="33" t="s">
        <v>190</v>
      </c>
      <c r="AX1" s="33" t="s">
        <v>38</v>
      </c>
      <c r="AY1" s="33" t="s">
        <v>42</v>
      </c>
      <c r="AZ1" s="33" t="s">
        <v>44</v>
      </c>
      <c r="BA1" s="33" t="s">
        <v>191</v>
      </c>
      <c r="BB1" s="41" t="s">
        <v>141</v>
      </c>
      <c r="BC1" s="33" t="s">
        <v>192</v>
      </c>
      <c r="BD1" s="33" t="s">
        <v>193</v>
      </c>
      <c r="BE1" s="41" t="s">
        <v>143</v>
      </c>
      <c r="BF1" s="41" t="s">
        <v>142</v>
      </c>
    </row>
    <row r="2" spans="1:58" x14ac:dyDescent="0.25">
      <c r="A2" s="41"/>
      <c r="B2" s="41"/>
      <c r="C2" s="34" t="s">
        <v>1</v>
      </c>
      <c r="D2" s="34" t="s">
        <v>3</v>
      </c>
      <c r="E2" s="34" t="s">
        <v>5</v>
      </c>
      <c r="F2" s="34" t="s">
        <v>7</v>
      </c>
      <c r="G2" s="34" t="s">
        <v>9</v>
      </c>
      <c r="H2" s="34" t="s">
        <v>236</v>
      </c>
      <c r="I2" s="34" t="s">
        <v>237</v>
      </c>
      <c r="J2" s="34" t="s">
        <v>13</v>
      </c>
      <c r="K2" s="34" t="s">
        <v>15</v>
      </c>
      <c r="L2" s="34" t="s">
        <v>238</v>
      </c>
      <c r="M2" s="34" t="s">
        <v>239</v>
      </c>
      <c r="N2" s="34" t="s">
        <v>240</v>
      </c>
      <c r="O2" s="34" t="s">
        <v>241</v>
      </c>
      <c r="P2" s="34" t="s">
        <v>242</v>
      </c>
      <c r="Q2" s="34" t="s">
        <v>243</v>
      </c>
      <c r="R2" s="34" t="s">
        <v>244</v>
      </c>
      <c r="S2" s="34" t="s">
        <v>245</v>
      </c>
      <c r="T2" s="34" t="s">
        <v>246</v>
      </c>
      <c r="U2" s="34" t="s">
        <v>247</v>
      </c>
      <c r="V2" s="34" t="s">
        <v>248</v>
      </c>
      <c r="W2" s="34" t="s">
        <v>249</v>
      </c>
      <c r="X2" s="34" t="s">
        <v>250</v>
      </c>
      <c r="Y2" s="34" t="s">
        <v>251</v>
      </c>
      <c r="Z2" s="34" t="s">
        <v>252</v>
      </c>
      <c r="AA2" s="34" t="s">
        <v>253</v>
      </c>
      <c r="AB2" s="34" t="s">
        <v>254</v>
      </c>
      <c r="AC2" s="34" t="s">
        <v>255</v>
      </c>
      <c r="AD2" s="34" t="s">
        <v>256</v>
      </c>
      <c r="AE2" s="34" t="s">
        <v>23</v>
      </c>
      <c r="AF2" s="34" t="s">
        <v>257</v>
      </c>
      <c r="AG2" s="34" t="s">
        <v>258</v>
      </c>
      <c r="AH2" s="34" t="s">
        <v>259</v>
      </c>
      <c r="AI2" s="34" t="s">
        <v>260</v>
      </c>
      <c r="AJ2" s="34" t="s">
        <v>261</v>
      </c>
      <c r="AK2" s="34" t="s">
        <v>262</v>
      </c>
      <c r="AL2" s="34" t="s">
        <v>263</v>
      </c>
      <c r="AM2" s="34" t="s">
        <v>264</v>
      </c>
      <c r="AN2" s="34" t="s">
        <v>25</v>
      </c>
      <c r="AO2" s="34" t="s">
        <v>27</v>
      </c>
      <c r="AP2" s="34" t="s">
        <v>29</v>
      </c>
      <c r="AQ2" s="34" t="s">
        <v>31</v>
      </c>
      <c r="AR2" s="34" t="s">
        <v>33</v>
      </c>
      <c r="AS2" s="34" t="s">
        <v>35</v>
      </c>
      <c r="AT2" s="34" t="s">
        <v>265</v>
      </c>
      <c r="AU2" s="34" t="s">
        <v>266</v>
      </c>
      <c r="AV2" s="34" t="s">
        <v>267</v>
      </c>
      <c r="AW2" s="34" t="s">
        <v>268</v>
      </c>
      <c r="AX2" s="34" t="s">
        <v>37</v>
      </c>
      <c r="AY2" s="34" t="s">
        <v>41</v>
      </c>
      <c r="AZ2" s="34" t="s">
        <v>43</v>
      </c>
      <c r="BA2" s="34" t="s">
        <v>269</v>
      </c>
      <c r="BB2" s="41"/>
      <c r="BC2" s="34" t="s">
        <v>45</v>
      </c>
      <c r="BD2" s="34" t="s">
        <v>47</v>
      </c>
      <c r="BE2" s="41"/>
      <c r="BF2" s="41"/>
    </row>
    <row r="3" spans="1:58" s="32" customFormat="1" ht="84" x14ac:dyDescent="0.25">
      <c r="A3" s="41"/>
      <c r="B3" s="41"/>
      <c r="C3" s="33" t="s">
        <v>194</v>
      </c>
      <c r="D3" s="33" t="s">
        <v>195</v>
      </c>
      <c r="E3" s="33" t="s">
        <v>196</v>
      </c>
      <c r="F3" s="33" t="s">
        <v>197</v>
      </c>
      <c r="G3" s="33" t="s">
        <v>198</v>
      </c>
      <c r="H3" s="33" t="s">
        <v>199</v>
      </c>
      <c r="I3" s="33" t="s">
        <v>200</v>
      </c>
      <c r="J3" s="33" t="s">
        <v>201</v>
      </c>
      <c r="K3" s="33" t="s">
        <v>202</v>
      </c>
      <c r="L3" s="33" t="s">
        <v>203</v>
      </c>
      <c r="M3" s="33" t="s">
        <v>203</v>
      </c>
      <c r="N3" s="33" t="s">
        <v>204</v>
      </c>
      <c r="O3" s="33" t="s">
        <v>205</v>
      </c>
      <c r="P3" s="33" t="s">
        <v>100</v>
      </c>
      <c r="Q3" s="33" t="s">
        <v>206</v>
      </c>
      <c r="R3" s="33" t="s">
        <v>207</v>
      </c>
      <c r="S3" s="33" t="s">
        <v>208</v>
      </c>
      <c r="T3" s="33" t="s">
        <v>209</v>
      </c>
      <c r="U3" s="33" t="s">
        <v>210</v>
      </c>
      <c r="V3" s="33" t="s">
        <v>211</v>
      </c>
      <c r="W3" s="33" t="s">
        <v>212</v>
      </c>
      <c r="X3" s="33" t="s">
        <v>213</v>
      </c>
      <c r="Y3" s="33" t="s">
        <v>214</v>
      </c>
      <c r="Z3" s="33" t="s">
        <v>215</v>
      </c>
      <c r="AA3" s="33" t="s">
        <v>216</v>
      </c>
      <c r="AB3" s="33" t="s">
        <v>217</v>
      </c>
      <c r="AC3" s="33" t="s">
        <v>218</v>
      </c>
      <c r="AD3" s="33" t="s">
        <v>219</v>
      </c>
      <c r="AE3" s="33" t="s">
        <v>220</v>
      </c>
      <c r="AF3" s="33" t="s">
        <v>221</v>
      </c>
      <c r="AG3" s="33" t="s">
        <v>222</v>
      </c>
      <c r="AH3" s="33" t="s">
        <v>223</v>
      </c>
      <c r="AI3" s="33" t="s">
        <v>224</v>
      </c>
      <c r="AJ3" s="33" t="s">
        <v>134</v>
      </c>
      <c r="AK3" s="33" t="s">
        <v>225</v>
      </c>
      <c r="AL3" s="33" t="s">
        <v>226</v>
      </c>
      <c r="AM3" s="33" t="s">
        <v>227</v>
      </c>
      <c r="AN3" s="33" t="s">
        <v>113</v>
      </c>
      <c r="AO3" s="33" t="s">
        <v>113</v>
      </c>
      <c r="AP3" s="33" t="s">
        <v>228</v>
      </c>
      <c r="AQ3" s="33" t="s">
        <v>228</v>
      </c>
      <c r="AR3" s="33" t="s">
        <v>229</v>
      </c>
      <c r="AS3" s="33" t="s">
        <v>229</v>
      </c>
      <c r="AT3" s="33" t="s">
        <v>230</v>
      </c>
      <c r="AU3" s="33" t="s">
        <v>230</v>
      </c>
      <c r="AV3" s="33" t="s">
        <v>231</v>
      </c>
      <c r="AW3" s="33" t="s">
        <v>231</v>
      </c>
      <c r="AX3" s="33" t="s">
        <v>232</v>
      </c>
      <c r="AY3" s="33" t="s">
        <v>233</v>
      </c>
      <c r="AZ3" s="33" t="s">
        <v>234</v>
      </c>
      <c r="BA3" s="33" t="s">
        <v>235</v>
      </c>
      <c r="BB3" s="41"/>
      <c r="BC3" s="33" t="s">
        <v>201</v>
      </c>
      <c r="BD3" s="33" t="s">
        <v>60</v>
      </c>
      <c r="BE3" s="41"/>
      <c r="BF3" s="41"/>
    </row>
    <row r="4" spans="1:58" s="38" customFormat="1" ht="31.5" x14ac:dyDescent="0.25">
      <c r="A4" s="36" t="s">
        <v>50</v>
      </c>
      <c r="B4" s="36" t="str">
        <f>VLOOKUP(A4,Лист1!B:C,2,0)</f>
        <v>Способен осуществлять поиск, критический анализ и синтез информации, применять системный подход для решения поставленных задач</v>
      </c>
      <c r="C4" s="37">
        <v>18</v>
      </c>
      <c r="D4" s="37" t="str">
        <f t="shared" ref="D4:BA22" si="0">IFERROR(IF(SEARCH($A4,D$3)&lt;&gt;0,1,""),"")</f>
        <v/>
      </c>
      <c r="E4" s="37" t="str">
        <f t="shared" si="0"/>
        <v/>
      </c>
      <c r="F4" s="37" t="str">
        <f t="shared" si="0"/>
        <v/>
      </c>
      <c r="G4" s="37" t="str">
        <f t="shared" si="0"/>
        <v/>
      </c>
      <c r="H4" s="37" t="str">
        <f t="shared" si="0"/>
        <v/>
      </c>
      <c r="I4" s="37" t="str">
        <f t="shared" si="0"/>
        <v/>
      </c>
      <c r="J4" s="37" t="str">
        <f t="shared" si="0"/>
        <v/>
      </c>
      <c r="K4" s="37" t="str">
        <f t="shared" si="0"/>
        <v/>
      </c>
      <c r="L4" s="37" t="str">
        <f t="shared" si="0"/>
        <v/>
      </c>
      <c r="M4" s="37" t="str">
        <f t="shared" si="0"/>
        <v/>
      </c>
      <c r="N4" s="37" t="str">
        <f t="shared" si="0"/>
        <v/>
      </c>
      <c r="O4" s="37" t="str">
        <f t="shared" si="0"/>
        <v/>
      </c>
      <c r="P4" s="37" t="str">
        <f t="shared" si="0"/>
        <v/>
      </c>
      <c r="Q4" s="37" t="str">
        <f t="shared" si="0"/>
        <v/>
      </c>
      <c r="R4" s="37"/>
      <c r="S4" s="37" t="str">
        <f t="shared" si="0"/>
        <v/>
      </c>
      <c r="T4" s="37"/>
      <c r="U4" s="37" t="str">
        <f t="shared" si="0"/>
        <v/>
      </c>
      <c r="V4" s="37" t="str">
        <f t="shared" si="0"/>
        <v/>
      </c>
      <c r="W4" s="37" t="str">
        <f t="shared" si="0"/>
        <v/>
      </c>
      <c r="X4" s="37" t="str">
        <f t="shared" si="0"/>
        <v/>
      </c>
      <c r="Y4" s="37" t="str">
        <f t="shared" si="0"/>
        <v/>
      </c>
      <c r="Z4" s="37" t="str">
        <f t="shared" si="0"/>
        <v/>
      </c>
      <c r="AA4" s="37" t="str">
        <f t="shared" si="0"/>
        <v/>
      </c>
      <c r="AB4" s="37" t="str">
        <f t="shared" si="0"/>
        <v/>
      </c>
      <c r="AC4" s="37" t="str">
        <f t="shared" si="0"/>
        <v/>
      </c>
      <c r="AD4" s="37" t="str">
        <f t="shared" si="0"/>
        <v/>
      </c>
      <c r="AE4" s="37" t="str">
        <f t="shared" si="0"/>
        <v/>
      </c>
      <c r="AF4" s="37" t="str">
        <f t="shared" si="0"/>
        <v/>
      </c>
      <c r="AG4" s="37" t="str">
        <f t="shared" si="0"/>
        <v/>
      </c>
      <c r="AH4" s="37" t="str">
        <f t="shared" si="0"/>
        <v/>
      </c>
      <c r="AI4" s="37" t="str">
        <f t="shared" si="0"/>
        <v/>
      </c>
      <c r="AJ4" s="37" t="str">
        <f t="shared" si="0"/>
        <v/>
      </c>
      <c r="AK4" s="37" t="str">
        <f t="shared" si="0"/>
        <v/>
      </c>
      <c r="AL4" s="37" t="str">
        <f t="shared" si="0"/>
        <v/>
      </c>
      <c r="AM4" s="37" t="str">
        <f t="shared" si="0"/>
        <v/>
      </c>
      <c r="AN4" s="37" t="str">
        <f t="shared" si="0"/>
        <v/>
      </c>
      <c r="AO4" s="37" t="str">
        <f t="shared" si="0"/>
        <v/>
      </c>
      <c r="AP4" s="37" t="str">
        <f t="shared" si="0"/>
        <v/>
      </c>
      <c r="AQ4" s="37" t="str">
        <f t="shared" si="0"/>
        <v/>
      </c>
      <c r="AR4" s="37" t="str">
        <f t="shared" si="0"/>
        <v/>
      </c>
      <c r="AS4" s="37" t="str">
        <f t="shared" si="0"/>
        <v/>
      </c>
      <c r="AT4" s="37" t="str">
        <f t="shared" si="0"/>
        <v/>
      </c>
      <c r="AU4" s="37" t="str">
        <f t="shared" si="0"/>
        <v/>
      </c>
      <c r="AV4" s="37" t="str">
        <f t="shared" si="0"/>
        <v/>
      </c>
      <c r="AW4" s="37" t="str">
        <f t="shared" si="0"/>
        <v/>
      </c>
      <c r="AX4" s="37" t="str">
        <f t="shared" si="0"/>
        <v/>
      </c>
      <c r="AY4" s="37" t="str">
        <f t="shared" si="0"/>
        <v/>
      </c>
      <c r="AZ4" s="37" t="str">
        <f t="shared" si="0"/>
        <v/>
      </c>
      <c r="BA4" s="37" t="str">
        <f t="shared" si="0"/>
        <v/>
      </c>
      <c r="BB4" s="37">
        <f>SUM(C4:BA4)</f>
        <v>18</v>
      </c>
      <c r="BC4" s="37" t="s">
        <v>140</v>
      </c>
      <c r="BD4" s="37" t="s">
        <v>140</v>
      </c>
      <c r="BE4" s="37">
        <f>SUM(BC4:BD4)</f>
        <v>0</v>
      </c>
      <c r="BF4" s="37">
        <f>BB4+BE4</f>
        <v>18</v>
      </c>
    </row>
    <row r="5" spans="1:58" ht="21" x14ac:dyDescent="0.25">
      <c r="A5" s="39" t="s">
        <v>52</v>
      </c>
      <c r="B5" s="33" t="str">
        <f>VLOOKUP(A5,Лист1!B:C,2,0)</f>
        <v>Осуществляет поиск информации, критически оценивает надежность источников информации, работает с противоречивой информацией из разных источников</v>
      </c>
      <c r="C5" s="40">
        <v>9</v>
      </c>
      <c r="D5" s="31" t="str">
        <f t="shared" ref="D5:BD11" si="1">IFERROR(SEARCH($A5,D$3),"")</f>
        <v/>
      </c>
      <c r="E5" s="31" t="str">
        <f t="shared" si="1"/>
        <v/>
      </c>
      <c r="F5" s="31" t="str">
        <f t="shared" si="1"/>
        <v/>
      </c>
      <c r="G5" s="31" t="str">
        <f t="shared" si="1"/>
        <v/>
      </c>
      <c r="H5" s="31" t="str">
        <f t="shared" si="1"/>
        <v/>
      </c>
      <c r="I5" s="31" t="str">
        <f t="shared" si="1"/>
        <v/>
      </c>
      <c r="J5" s="31" t="str">
        <f t="shared" si="1"/>
        <v/>
      </c>
      <c r="K5" s="31" t="str">
        <f t="shared" si="1"/>
        <v/>
      </c>
      <c r="L5" s="31" t="str">
        <f t="shared" si="1"/>
        <v/>
      </c>
      <c r="M5" s="31" t="str">
        <f t="shared" si="1"/>
        <v/>
      </c>
      <c r="N5" s="31" t="str">
        <f t="shared" si="1"/>
        <v/>
      </c>
      <c r="O5" s="31" t="str">
        <f t="shared" si="1"/>
        <v/>
      </c>
      <c r="P5" s="31" t="str">
        <f t="shared" si="1"/>
        <v/>
      </c>
      <c r="Q5" s="31" t="str">
        <f t="shared" si="1"/>
        <v/>
      </c>
      <c r="R5" s="31" t="str">
        <f t="shared" si="1"/>
        <v/>
      </c>
      <c r="S5" s="31" t="str">
        <f t="shared" si="1"/>
        <v/>
      </c>
      <c r="T5" s="31" t="str">
        <f t="shared" si="1"/>
        <v/>
      </c>
      <c r="U5" s="31" t="str">
        <f t="shared" si="1"/>
        <v/>
      </c>
      <c r="V5" s="31" t="str">
        <f t="shared" si="1"/>
        <v/>
      </c>
      <c r="W5" s="31" t="str">
        <f t="shared" si="1"/>
        <v/>
      </c>
      <c r="X5" s="31" t="str">
        <f t="shared" si="1"/>
        <v/>
      </c>
      <c r="Y5" s="31" t="str">
        <f t="shared" si="1"/>
        <v/>
      </c>
      <c r="Z5" s="31" t="str">
        <f t="shared" si="1"/>
        <v/>
      </c>
      <c r="AA5" s="31" t="str">
        <f t="shared" si="1"/>
        <v/>
      </c>
      <c r="AB5" s="31" t="str">
        <f t="shared" si="1"/>
        <v/>
      </c>
      <c r="AC5" s="31" t="str">
        <f t="shared" si="1"/>
        <v/>
      </c>
      <c r="AD5" s="31" t="str">
        <f t="shared" si="1"/>
        <v/>
      </c>
      <c r="AE5" s="31" t="str">
        <f t="shared" si="1"/>
        <v/>
      </c>
      <c r="AF5" s="31" t="str">
        <f t="shared" si="1"/>
        <v/>
      </c>
      <c r="AG5" s="31" t="str">
        <f t="shared" si="1"/>
        <v/>
      </c>
      <c r="AH5" s="31" t="str">
        <f t="shared" si="1"/>
        <v/>
      </c>
      <c r="AI5" s="31" t="str">
        <f t="shared" si="1"/>
        <v/>
      </c>
      <c r="AJ5" s="31" t="str">
        <f t="shared" si="1"/>
        <v/>
      </c>
      <c r="AK5" s="31" t="str">
        <f t="shared" si="1"/>
        <v/>
      </c>
      <c r="AL5" s="31" t="str">
        <f t="shared" si="1"/>
        <v/>
      </c>
      <c r="AM5" s="31" t="str">
        <f t="shared" si="1"/>
        <v/>
      </c>
      <c r="AN5" s="31" t="str">
        <f t="shared" si="1"/>
        <v/>
      </c>
      <c r="AO5" s="31" t="str">
        <f t="shared" si="1"/>
        <v/>
      </c>
      <c r="AP5" s="31" t="str">
        <f t="shared" si="1"/>
        <v/>
      </c>
      <c r="AQ5" s="31" t="str">
        <f t="shared" si="1"/>
        <v/>
      </c>
      <c r="AR5" s="31" t="str">
        <f t="shared" si="1"/>
        <v/>
      </c>
      <c r="AS5" s="31" t="str">
        <f t="shared" si="1"/>
        <v/>
      </c>
      <c r="AT5" s="31" t="str">
        <f t="shared" si="1"/>
        <v/>
      </c>
      <c r="AU5" s="31" t="str">
        <f t="shared" si="1"/>
        <v/>
      </c>
      <c r="AV5" s="31" t="str">
        <f t="shared" si="1"/>
        <v/>
      </c>
      <c r="AW5" s="31" t="str">
        <f t="shared" si="1"/>
        <v/>
      </c>
      <c r="AX5" s="31" t="str">
        <f t="shared" si="1"/>
        <v/>
      </c>
      <c r="AY5" s="31" t="str">
        <f t="shared" si="1"/>
        <v/>
      </c>
      <c r="AZ5" s="31" t="str">
        <f t="shared" si="1"/>
        <v/>
      </c>
      <c r="BA5" s="31" t="str">
        <f t="shared" si="1"/>
        <v/>
      </c>
      <c r="BB5" s="31">
        <f t="shared" ref="BB5:BB68" si="2">SUM(C5:BA5)</f>
        <v>9</v>
      </c>
      <c r="BC5" s="31" t="str">
        <f t="shared" si="1"/>
        <v/>
      </c>
      <c r="BD5" s="31" t="str">
        <f t="shared" si="1"/>
        <v/>
      </c>
      <c r="BE5" s="31">
        <f t="shared" ref="BE5:BE68" si="3">SUM(BC5:BD5)</f>
        <v>0</v>
      </c>
      <c r="BF5" s="31">
        <f t="shared" ref="BF5:BF68" si="4">BB5+BE5</f>
        <v>9</v>
      </c>
    </row>
    <row r="6" spans="1:58" ht="21" x14ac:dyDescent="0.25">
      <c r="A6" s="39" t="s">
        <v>54</v>
      </c>
      <c r="B6" s="33" t="str">
        <f>VLOOKUP(A6,Лист1!B:C,2,0)</f>
        <v>Анализирует проблемную ситуацию, выявляет ее составляющие и связи между ними, формулирует и аргументирует выводы и суждения</v>
      </c>
      <c r="C6" s="40">
        <v>9</v>
      </c>
      <c r="D6" s="31" t="str">
        <f t="shared" si="1"/>
        <v/>
      </c>
      <c r="E6" s="31" t="str">
        <f t="shared" si="1"/>
        <v/>
      </c>
      <c r="F6" s="31" t="str">
        <f t="shared" si="1"/>
        <v/>
      </c>
      <c r="G6" s="31" t="str">
        <f t="shared" si="1"/>
        <v/>
      </c>
      <c r="H6" s="31" t="str">
        <f t="shared" si="1"/>
        <v/>
      </c>
      <c r="I6" s="31" t="str">
        <f t="shared" si="1"/>
        <v/>
      </c>
      <c r="J6" s="31" t="str">
        <f t="shared" si="1"/>
        <v/>
      </c>
      <c r="K6" s="31" t="str">
        <f t="shared" si="1"/>
        <v/>
      </c>
      <c r="L6" s="31" t="str">
        <f t="shared" si="1"/>
        <v/>
      </c>
      <c r="M6" s="31" t="str">
        <f t="shared" si="1"/>
        <v/>
      </c>
      <c r="N6" s="31" t="str">
        <f t="shared" si="1"/>
        <v/>
      </c>
      <c r="O6" s="31" t="str">
        <f t="shared" si="1"/>
        <v/>
      </c>
      <c r="P6" s="31" t="str">
        <f t="shared" si="1"/>
        <v/>
      </c>
      <c r="Q6" s="31" t="str">
        <f t="shared" si="1"/>
        <v/>
      </c>
      <c r="R6" s="31" t="str">
        <f t="shared" si="1"/>
        <v/>
      </c>
      <c r="S6" s="31" t="str">
        <f t="shared" si="1"/>
        <v/>
      </c>
      <c r="T6" s="31" t="str">
        <f t="shared" si="1"/>
        <v/>
      </c>
      <c r="U6" s="31" t="str">
        <f t="shared" si="1"/>
        <v/>
      </c>
      <c r="V6" s="31" t="str">
        <f t="shared" si="1"/>
        <v/>
      </c>
      <c r="W6" s="31" t="str">
        <f t="shared" si="1"/>
        <v/>
      </c>
      <c r="X6" s="31" t="str">
        <f t="shared" si="1"/>
        <v/>
      </c>
      <c r="Y6" s="31" t="str">
        <f t="shared" si="1"/>
        <v/>
      </c>
      <c r="Z6" s="31" t="str">
        <f t="shared" si="1"/>
        <v/>
      </c>
      <c r="AA6" s="31" t="str">
        <f t="shared" si="1"/>
        <v/>
      </c>
      <c r="AB6" s="31" t="str">
        <f t="shared" si="1"/>
        <v/>
      </c>
      <c r="AC6" s="31" t="str">
        <f t="shared" si="1"/>
        <v/>
      </c>
      <c r="AD6" s="31" t="str">
        <f t="shared" si="1"/>
        <v/>
      </c>
      <c r="AE6" s="31" t="str">
        <f t="shared" si="1"/>
        <v/>
      </c>
      <c r="AF6" s="31" t="str">
        <f t="shared" si="1"/>
        <v/>
      </c>
      <c r="AG6" s="31" t="str">
        <f t="shared" si="1"/>
        <v/>
      </c>
      <c r="AH6" s="31" t="str">
        <f t="shared" si="1"/>
        <v/>
      </c>
      <c r="AI6" s="31" t="str">
        <f t="shared" si="1"/>
        <v/>
      </c>
      <c r="AJ6" s="31" t="str">
        <f t="shared" si="1"/>
        <v/>
      </c>
      <c r="AK6" s="31" t="str">
        <f t="shared" si="1"/>
        <v/>
      </c>
      <c r="AL6" s="31" t="str">
        <f t="shared" si="1"/>
        <v/>
      </c>
      <c r="AM6" s="31" t="str">
        <f t="shared" si="1"/>
        <v/>
      </c>
      <c r="AN6" s="31" t="str">
        <f t="shared" si="1"/>
        <v/>
      </c>
      <c r="AO6" s="31" t="str">
        <f t="shared" si="1"/>
        <v/>
      </c>
      <c r="AP6" s="31" t="str">
        <f t="shared" si="1"/>
        <v/>
      </c>
      <c r="AQ6" s="31" t="str">
        <f t="shared" si="1"/>
        <v/>
      </c>
      <c r="AR6" s="31" t="str">
        <f t="shared" si="1"/>
        <v/>
      </c>
      <c r="AS6" s="31" t="str">
        <f t="shared" si="1"/>
        <v/>
      </c>
      <c r="AT6" s="31" t="str">
        <f t="shared" si="1"/>
        <v/>
      </c>
      <c r="AU6" s="31" t="str">
        <f t="shared" si="1"/>
        <v/>
      </c>
      <c r="AV6" s="31" t="str">
        <f t="shared" si="1"/>
        <v/>
      </c>
      <c r="AW6" s="31" t="str">
        <f t="shared" si="1"/>
        <v/>
      </c>
      <c r="AX6" s="31" t="str">
        <f t="shared" si="1"/>
        <v/>
      </c>
      <c r="AY6" s="31" t="str">
        <f t="shared" si="1"/>
        <v/>
      </c>
      <c r="AZ6" s="31" t="str">
        <f t="shared" si="1"/>
        <v/>
      </c>
      <c r="BA6" s="31" t="str">
        <f t="shared" si="1"/>
        <v/>
      </c>
      <c r="BB6" s="31">
        <f t="shared" si="2"/>
        <v>9</v>
      </c>
      <c r="BC6" s="31" t="str">
        <f t="shared" si="1"/>
        <v/>
      </c>
      <c r="BD6" s="31" t="str">
        <f t="shared" si="1"/>
        <v/>
      </c>
      <c r="BE6" s="31">
        <f t="shared" si="3"/>
        <v>0</v>
      </c>
      <c r="BF6" s="31">
        <f t="shared" si="4"/>
        <v>9</v>
      </c>
    </row>
    <row r="7" spans="1:58" s="38" customFormat="1" ht="31.5" x14ac:dyDescent="0.25">
      <c r="A7" s="36" t="s">
        <v>56</v>
      </c>
      <c r="B7" s="36" t="str">
        <f>VLOOKUP(A7,Лист1!B:C,2,0)</f>
        <v>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</v>
      </c>
      <c r="C7" s="37" t="str">
        <f t="shared" ref="C7:Q92" si="5">IFERROR(IF(SEARCH($A7,C$3)&lt;&gt;0,1,""),"")</f>
        <v/>
      </c>
      <c r="D7" s="37" t="str">
        <f t="shared" si="5"/>
        <v/>
      </c>
      <c r="E7" s="37" t="str">
        <f t="shared" si="5"/>
        <v/>
      </c>
      <c r="F7" s="37" t="str">
        <f t="shared" si="5"/>
        <v/>
      </c>
      <c r="G7" s="37" t="str">
        <f t="shared" si="5"/>
        <v/>
      </c>
      <c r="H7" s="37" t="str">
        <f t="shared" si="5"/>
        <v/>
      </c>
      <c r="I7" s="37" t="str">
        <f t="shared" si="5"/>
        <v/>
      </c>
      <c r="J7" s="37" t="str">
        <f t="shared" si="5"/>
        <v/>
      </c>
      <c r="K7" s="37" t="str">
        <f t="shared" si="5"/>
        <v/>
      </c>
      <c r="L7" s="37" t="str">
        <f t="shared" si="5"/>
        <v/>
      </c>
      <c r="M7" s="37" t="str">
        <f t="shared" si="5"/>
        <v/>
      </c>
      <c r="N7" s="37" t="str">
        <f t="shared" si="5"/>
        <v/>
      </c>
      <c r="O7" s="37" t="str">
        <f t="shared" si="5"/>
        <v/>
      </c>
      <c r="P7" s="37" t="str">
        <f t="shared" si="5"/>
        <v/>
      </c>
      <c r="Q7" s="37" t="str">
        <f t="shared" si="5"/>
        <v/>
      </c>
      <c r="R7" s="37">
        <v>2</v>
      </c>
      <c r="S7" s="37" t="str">
        <f t="shared" si="0"/>
        <v/>
      </c>
      <c r="T7" s="37" t="str">
        <f t="shared" si="0"/>
        <v/>
      </c>
      <c r="U7" s="37" t="str">
        <f t="shared" si="0"/>
        <v/>
      </c>
      <c r="V7" s="37">
        <v>2</v>
      </c>
      <c r="W7" s="37" t="str">
        <f t="shared" si="0"/>
        <v/>
      </c>
      <c r="X7" s="37" t="str">
        <f t="shared" si="0"/>
        <v/>
      </c>
      <c r="Y7" s="37" t="str">
        <f t="shared" si="0"/>
        <v/>
      </c>
      <c r="Z7" s="37" t="str">
        <f t="shared" si="0"/>
        <v/>
      </c>
      <c r="AA7" s="37" t="str">
        <f t="shared" si="0"/>
        <v/>
      </c>
      <c r="AB7" s="37" t="str">
        <f t="shared" si="0"/>
        <v/>
      </c>
      <c r="AC7" s="37">
        <v>14</v>
      </c>
      <c r="AD7" s="37" t="str">
        <f t="shared" si="0"/>
        <v/>
      </c>
      <c r="AE7" s="37" t="str">
        <f t="shared" si="0"/>
        <v/>
      </c>
      <c r="AF7" s="37" t="str">
        <f t="shared" si="0"/>
        <v/>
      </c>
      <c r="AG7" s="37" t="str">
        <f t="shared" si="0"/>
        <v/>
      </c>
      <c r="AH7" s="37" t="str">
        <f t="shared" si="0"/>
        <v/>
      </c>
      <c r="AI7" s="37" t="str">
        <f t="shared" si="0"/>
        <v/>
      </c>
      <c r="AJ7" s="37" t="str">
        <f t="shared" si="0"/>
        <v/>
      </c>
      <c r="AK7" s="37" t="str">
        <f t="shared" si="0"/>
        <v/>
      </c>
      <c r="AL7" s="37" t="str">
        <f t="shared" si="0"/>
        <v/>
      </c>
      <c r="AM7" s="37" t="str">
        <f t="shared" si="0"/>
        <v/>
      </c>
      <c r="AN7" s="37" t="str">
        <f t="shared" si="0"/>
        <v/>
      </c>
      <c r="AO7" s="37" t="str">
        <f t="shared" si="0"/>
        <v/>
      </c>
      <c r="AP7" s="37" t="str">
        <f t="shared" si="0"/>
        <v/>
      </c>
      <c r="AQ7" s="37" t="str">
        <f t="shared" si="0"/>
        <v/>
      </c>
      <c r="AR7" s="37" t="str">
        <f t="shared" si="0"/>
        <v/>
      </c>
      <c r="AS7" s="37" t="str">
        <f t="shared" si="0"/>
        <v/>
      </c>
      <c r="AT7" s="37" t="str">
        <f t="shared" si="0"/>
        <v/>
      </c>
      <c r="AU7" s="37" t="str">
        <f t="shared" si="0"/>
        <v/>
      </c>
      <c r="AV7" s="37" t="str">
        <f t="shared" si="0"/>
        <v/>
      </c>
      <c r="AW7" s="37" t="str">
        <f t="shared" si="0"/>
        <v/>
      </c>
      <c r="AX7" s="37" t="str">
        <f t="shared" si="0"/>
        <v/>
      </c>
      <c r="AY7" s="37" t="str">
        <f t="shared" si="0"/>
        <v/>
      </c>
      <c r="AZ7" s="37" t="str">
        <f t="shared" si="0"/>
        <v/>
      </c>
      <c r="BA7" s="37" t="str">
        <f t="shared" si="0"/>
        <v/>
      </c>
      <c r="BB7" s="37">
        <f t="shared" si="2"/>
        <v>18</v>
      </c>
      <c r="BC7" s="37" t="str">
        <f>IFERROR(SEARCH(_xlfn.CONCAT(" ",$A7),#REF!),"")</f>
        <v/>
      </c>
      <c r="BD7" s="37">
        <v>18</v>
      </c>
      <c r="BE7" s="37">
        <f t="shared" si="3"/>
        <v>18</v>
      </c>
      <c r="BF7" s="37">
        <f t="shared" si="4"/>
        <v>36</v>
      </c>
    </row>
    <row r="8" spans="1:58" ht="21" x14ac:dyDescent="0.25">
      <c r="A8" s="39" t="s">
        <v>58</v>
      </c>
      <c r="B8" s="33" t="str">
        <f>VLOOKUP(A8,Лист1!B:C,2,0)</f>
        <v>Решает ситуационные задачи с учетом трудовых и социальных факторов в рамках нормативно-правового регулирования</v>
      </c>
      <c r="C8" s="31" t="str">
        <f>IFERROR(SEARCH($A8,C$3),"")</f>
        <v/>
      </c>
      <c r="D8" s="31" t="str">
        <f t="shared" si="1"/>
        <v/>
      </c>
      <c r="E8" s="31" t="str">
        <f t="shared" si="1"/>
        <v/>
      </c>
      <c r="F8" s="31" t="str">
        <f t="shared" si="1"/>
        <v/>
      </c>
      <c r="G8" s="31" t="str">
        <f t="shared" si="1"/>
        <v/>
      </c>
      <c r="H8" s="31" t="str">
        <f t="shared" si="1"/>
        <v/>
      </c>
      <c r="I8" s="31" t="str">
        <f t="shared" si="1"/>
        <v/>
      </c>
      <c r="J8" s="31" t="str">
        <f t="shared" si="1"/>
        <v/>
      </c>
      <c r="K8" s="31" t="str">
        <f t="shared" si="1"/>
        <v/>
      </c>
      <c r="L8" s="31" t="str">
        <f t="shared" si="1"/>
        <v/>
      </c>
      <c r="M8" s="31" t="str">
        <f t="shared" si="1"/>
        <v/>
      </c>
      <c r="N8" s="31" t="str">
        <f t="shared" si="1"/>
        <v/>
      </c>
      <c r="O8" s="31" t="str">
        <f t="shared" si="1"/>
        <v/>
      </c>
      <c r="P8" s="31" t="str">
        <f t="shared" si="1"/>
        <v/>
      </c>
      <c r="Q8" s="31" t="str">
        <f t="shared" si="1"/>
        <v/>
      </c>
      <c r="R8" s="40">
        <v>2</v>
      </c>
      <c r="S8" s="31" t="str">
        <f t="shared" si="1"/>
        <v/>
      </c>
      <c r="T8" s="31" t="str">
        <f t="shared" si="1"/>
        <v/>
      </c>
      <c r="U8" s="31" t="str">
        <f t="shared" si="1"/>
        <v/>
      </c>
      <c r="V8" s="31" t="str">
        <f t="shared" si="1"/>
        <v/>
      </c>
      <c r="W8" s="31" t="str">
        <f t="shared" si="1"/>
        <v/>
      </c>
      <c r="X8" s="31" t="str">
        <f t="shared" si="1"/>
        <v/>
      </c>
      <c r="Y8" s="31" t="str">
        <f t="shared" si="1"/>
        <v/>
      </c>
      <c r="Z8" s="31" t="str">
        <f t="shared" si="1"/>
        <v/>
      </c>
      <c r="AA8" s="31" t="str">
        <f t="shared" si="1"/>
        <v/>
      </c>
      <c r="AB8" s="31" t="str">
        <f t="shared" si="1"/>
        <v/>
      </c>
      <c r="AC8" s="40">
        <v>14</v>
      </c>
      <c r="AD8" s="31" t="str">
        <f t="shared" si="1"/>
        <v/>
      </c>
      <c r="AE8" s="31" t="str">
        <f t="shared" si="1"/>
        <v/>
      </c>
      <c r="AF8" s="31" t="str">
        <f t="shared" si="1"/>
        <v/>
      </c>
      <c r="AG8" s="31" t="str">
        <f t="shared" si="1"/>
        <v/>
      </c>
      <c r="AH8" s="31" t="str">
        <f t="shared" si="1"/>
        <v/>
      </c>
      <c r="AI8" s="31" t="str">
        <f t="shared" si="1"/>
        <v/>
      </c>
      <c r="AJ8" s="31" t="str">
        <f t="shared" si="1"/>
        <v/>
      </c>
      <c r="AK8" s="31" t="str">
        <f t="shared" si="1"/>
        <v/>
      </c>
      <c r="AL8" s="31" t="str">
        <f t="shared" si="1"/>
        <v/>
      </c>
      <c r="AM8" s="31" t="str">
        <f t="shared" si="1"/>
        <v/>
      </c>
      <c r="AN8" s="31" t="str">
        <f t="shared" si="1"/>
        <v/>
      </c>
      <c r="AO8" s="31" t="str">
        <f t="shared" si="1"/>
        <v/>
      </c>
      <c r="AP8" s="31" t="str">
        <f t="shared" si="1"/>
        <v/>
      </c>
      <c r="AQ8" s="31" t="str">
        <f t="shared" si="1"/>
        <v/>
      </c>
      <c r="AR8" s="31" t="str">
        <f t="shared" si="1"/>
        <v/>
      </c>
      <c r="AS8" s="31" t="str">
        <f t="shared" si="1"/>
        <v/>
      </c>
      <c r="AT8" s="31" t="str">
        <f t="shared" si="1"/>
        <v/>
      </c>
      <c r="AU8" s="31" t="str">
        <f t="shared" si="1"/>
        <v/>
      </c>
      <c r="AV8" s="31" t="str">
        <f t="shared" si="1"/>
        <v/>
      </c>
      <c r="AW8" s="31" t="str">
        <f t="shared" si="1"/>
        <v/>
      </c>
      <c r="AX8" s="31" t="str">
        <f t="shared" si="1"/>
        <v/>
      </c>
      <c r="AY8" s="31" t="str">
        <f t="shared" si="1"/>
        <v/>
      </c>
      <c r="AZ8" s="31" t="str">
        <f t="shared" si="1"/>
        <v/>
      </c>
      <c r="BA8" s="31" t="str">
        <f t="shared" si="1"/>
        <v/>
      </c>
      <c r="BB8" s="31">
        <f t="shared" si="2"/>
        <v>16</v>
      </c>
      <c r="BC8" s="31" t="str">
        <f t="shared" si="1"/>
        <v/>
      </c>
      <c r="BD8" s="31" t="str">
        <f t="shared" si="1"/>
        <v/>
      </c>
      <c r="BE8" s="31">
        <f t="shared" si="3"/>
        <v>0</v>
      </c>
      <c r="BF8" s="31">
        <f t="shared" si="4"/>
        <v>16</v>
      </c>
    </row>
    <row r="9" spans="1:58" ht="21" x14ac:dyDescent="0.25">
      <c r="A9" s="39" t="s">
        <v>60</v>
      </c>
      <c r="B9" s="33" t="str">
        <f>VLOOKUP(A9,Лист1!B:C,2,0)</f>
        <v>Формулирует проектную задачу, определяет способы ее решения средствами проектного управления</v>
      </c>
      <c r="C9" s="31" t="str">
        <f>IFERROR(SEARCH($A9,C$3),"")</f>
        <v/>
      </c>
      <c r="D9" s="31" t="str">
        <f t="shared" si="1"/>
        <v/>
      </c>
      <c r="E9" s="31" t="str">
        <f t="shared" si="1"/>
        <v/>
      </c>
      <c r="F9" s="31" t="str">
        <f t="shared" si="1"/>
        <v/>
      </c>
      <c r="G9" s="31" t="str">
        <f t="shared" si="1"/>
        <v/>
      </c>
      <c r="H9" s="31" t="str">
        <f t="shared" si="1"/>
        <v/>
      </c>
      <c r="I9" s="31" t="str">
        <f t="shared" si="1"/>
        <v/>
      </c>
      <c r="J9" s="31" t="str">
        <f t="shared" si="1"/>
        <v/>
      </c>
      <c r="K9" s="31" t="str">
        <f t="shared" si="1"/>
        <v/>
      </c>
      <c r="L9" s="31" t="str">
        <f t="shared" si="1"/>
        <v/>
      </c>
      <c r="M9" s="31" t="str">
        <f t="shared" si="1"/>
        <v/>
      </c>
      <c r="N9" s="31" t="str">
        <f t="shared" si="1"/>
        <v/>
      </c>
      <c r="O9" s="31" t="str">
        <f t="shared" si="1"/>
        <v/>
      </c>
      <c r="P9" s="31" t="str">
        <f t="shared" si="1"/>
        <v/>
      </c>
      <c r="Q9" s="31" t="str">
        <f t="shared" si="1"/>
        <v/>
      </c>
      <c r="R9" s="31" t="str">
        <f t="shared" si="1"/>
        <v/>
      </c>
      <c r="S9" s="31" t="str">
        <f t="shared" si="1"/>
        <v/>
      </c>
      <c r="T9" s="31" t="str">
        <f t="shared" si="1"/>
        <v/>
      </c>
      <c r="U9" s="31" t="str">
        <f t="shared" si="1"/>
        <v/>
      </c>
      <c r="V9" s="40">
        <v>2</v>
      </c>
      <c r="W9" s="31" t="str">
        <f t="shared" si="1"/>
        <v/>
      </c>
      <c r="X9" s="31" t="str">
        <f t="shared" si="1"/>
        <v/>
      </c>
      <c r="Y9" s="31" t="str">
        <f t="shared" si="1"/>
        <v/>
      </c>
      <c r="Z9" s="31" t="str">
        <f t="shared" si="1"/>
        <v/>
      </c>
      <c r="AA9" s="31" t="str">
        <f t="shared" si="1"/>
        <v/>
      </c>
      <c r="AB9" s="31" t="str">
        <f t="shared" si="1"/>
        <v/>
      </c>
      <c r="AC9" s="31" t="str">
        <f t="shared" si="1"/>
        <v/>
      </c>
      <c r="AD9" s="31" t="str">
        <f t="shared" si="1"/>
        <v/>
      </c>
      <c r="AE9" s="31" t="str">
        <f t="shared" si="1"/>
        <v/>
      </c>
      <c r="AF9" s="31" t="str">
        <f t="shared" si="1"/>
        <v/>
      </c>
      <c r="AG9" s="31" t="str">
        <f t="shared" si="1"/>
        <v/>
      </c>
      <c r="AH9" s="31" t="str">
        <f t="shared" si="1"/>
        <v/>
      </c>
      <c r="AI9" s="31" t="str">
        <f t="shared" si="1"/>
        <v/>
      </c>
      <c r="AJ9" s="31" t="str">
        <f t="shared" si="1"/>
        <v/>
      </c>
      <c r="AK9" s="31" t="str">
        <f t="shared" si="1"/>
        <v/>
      </c>
      <c r="AL9" s="31" t="str">
        <f t="shared" si="1"/>
        <v/>
      </c>
      <c r="AM9" s="31" t="str">
        <f t="shared" si="1"/>
        <v/>
      </c>
      <c r="AN9" s="31" t="str">
        <f t="shared" si="1"/>
        <v/>
      </c>
      <c r="AO9" s="31" t="str">
        <f t="shared" si="1"/>
        <v/>
      </c>
      <c r="AP9" s="31" t="str">
        <f t="shared" si="1"/>
        <v/>
      </c>
      <c r="AQ9" s="31" t="str">
        <f t="shared" si="1"/>
        <v/>
      </c>
      <c r="AR9" s="31" t="str">
        <f t="shared" si="1"/>
        <v/>
      </c>
      <c r="AS9" s="31" t="str">
        <f t="shared" si="1"/>
        <v/>
      </c>
      <c r="AT9" s="31" t="str">
        <f t="shared" si="1"/>
        <v/>
      </c>
      <c r="AU9" s="31" t="str">
        <f t="shared" si="1"/>
        <v/>
      </c>
      <c r="AV9" s="31" t="str">
        <f t="shared" si="1"/>
        <v/>
      </c>
      <c r="AW9" s="31" t="str">
        <f t="shared" si="1"/>
        <v/>
      </c>
      <c r="AX9" s="31" t="str">
        <f t="shared" si="1"/>
        <v/>
      </c>
      <c r="AY9" s="31" t="str">
        <f t="shared" si="1"/>
        <v/>
      </c>
      <c r="AZ9" s="31" t="str">
        <f t="shared" si="1"/>
        <v/>
      </c>
      <c r="BA9" s="31" t="str">
        <f t="shared" si="1"/>
        <v/>
      </c>
      <c r="BB9" s="31">
        <f t="shared" si="2"/>
        <v>2</v>
      </c>
      <c r="BC9" s="31" t="str">
        <f t="shared" si="1"/>
        <v/>
      </c>
      <c r="BD9" s="31">
        <v>18</v>
      </c>
      <c r="BE9" s="31">
        <f t="shared" si="3"/>
        <v>18</v>
      </c>
      <c r="BF9" s="31">
        <f t="shared" si="4"/>
        <v>20</v>
      </c>
    </row>
    <row r="10" spans="1:58" s="38" customFormat="1" ht="21" x14ac:dyDescent="0.25">
      <c r="A10" s="36" t="s">
        <v>62</v>
      </c>
      <c r="B10" s="36" t="str">
        <f>VLOOKUP(A10,Лист1!B:C,2,0)</f>
        <v>Способен осуществлять социальное взаимодействие и реализовывать свою роль в команде</v>
      </c>
      <c r="C10" s="37" t="str">
        <f t="shared" si="5"/>
        <v/>
      </c>
      <c r="D10" s="37" t="str">
        <f t="shared" si="5"/>
        <v/>
      </c>
      <c r="E10" s="37" t="str">
        <f t="shared" si="5"/>
        <v/>
      </c>
      <c r="F10" s="37" t="str">
        <f t="shared" si="5"/>
        <v/>
      </c>
      <c r="G10" s="37" t="str">
        <f t="shared" si="5"/>
        <v/>
      </c>
      <c r="H10" s="37" t="str">
        <f t="shared" si="5"/>
        <v/>
      </c>
      <c r="I10" s="37" t="str">
        <f t="shared" si="5"/>
        <v/>
      </c>
      <c r="J10" s="37" t="str">
        <f t="shared" si="0"/>
        <v/>
      </c>
      <c r="K10" s="37" t="str">
        <f t="shared" si="0"/>
        <v/>
      </c>
      <c r="L10" s="37" t="str">
        <f t="shared" si="0"/>
        <v/>
      </c>
      <c r="M10" s="37" t="str">
        <f t="shared" si="0"/>
        <v/>
      </c>
      <c r="N10" s="37" t="str">
        <f t="shared" si="0"/>
        <v/>
      </c>
      <c r="O10" s="37" t="str">
        <f t="shared" si="0"/>
        <v/>
      </c>
      <c r="P10" s="37" t="str">
        <f t="shared" si="0"/>
        <v/>
      </c>
      <c r="Q10" s="37" t="str">
        <f t="shared" si="0"/>
        <v/>
      </c>
      <c r="R10" s="37" t="str">
        <f t="shared" si="0"/>
        <v/>
      </c>
      <c r="S10" s="37" t="str">
        <f t="shared" si="0"/>
        <v/>
      </c>
      <c r="T10" s="37" t="str">
        <f t="shared" si="0"/>
        <v/>
      </c>
      <c r="U10" s="37" t="str">
        <f t="shared" si="0"/>
        <v/>
      </c>
      <c r="V10" s="37">
        <v>18</v>
      </c>
      <c r="W10" s="37" t="str">
        <f t="shared" si="0"/>
        <v/>
      </c>
      <c r="X10" s="37" t="str">
        <f t="shared" si="0"/>
        <v/>
      </c>
      <c r="Y10" s="37" t="str">
        <f t="shared" si="0"/>
        <v/>
      </c>
      <c r="Z10" s="37" t="str">
        <f t="shared" si="0"/>
        <v/>
      </c>
      <c r="AA10" s="37" t="str">
        <f t="shared" si="0"/>
        <v/>
      </c>
      <c r="AB10" s="37" t="str">
        <f t="shared" si="0"/>
        <v/>
      </c>
      <c r="AC10" s="37" t="str">
        <f t="shared" si="0"/>
        <v/>
      </c>
      <c r="AD10" s="37" t="str">
        <f t="shared" si="0"/>
        <v/>
      </c>
      <c r="AE10" s="37" t="str">
        <f t="shared" si="0"/>
        <v/>
      </c>
      <c r="AF10" s="37" t="str">
        <f t="shared" si="0"/>
        <v/>
      </c>
      <c r="AG10" s="37" t="str">
        <f t="shared" si="0"/>
        <v/>
      </c>
      <c r="AH10" s="37" t="str">
        <f t="shared" si="0"/>
        <v/>
      </c>
      <c r="AI10" s="37" t="str">
        <f t="shared" si="0"/>
        <v/>
      </c>
      <c r="AJ10" s="37" t="str">
        <f t="shared" si="0"/>
        <v/>
      </c>
      <c r="AK10" s="37" t="str">
        <f t="shared" si="0"/>
        <v/>
      </c>
      <c r="AL10" s="37" t="str">
        <f t="shared" si="0"/>
        <v/>
      </c>
      <c r="AM10" s="37" t="str">
        <f t="shared" si="0"/>
        <v/>
      </c>
      <c r="AN10" s="37" t="str">
        <f t="shared" si="0"/>
        <v/>
      </c>
      <c r="AO10" s="37" t="str">
        <f t="shared" si="0"/>
        <v/>
      </c>
      <c r="AP10" s="37" t="str">
        <f t="shared" si="0"/>
        <v/>
      </c>
      <c r="AQ10" s="37" t="str">
        <f t="shared" si="0"/>
        <v/>
      </c>
      <c r="AR10" s="37" t="str">
        <f t="shared" si="0"/>
        <v/>
      </c>
      <c r="AS10" s="37" t="str">
        <f t="shared" si="0"/>
        <v/>
      </c>
      <c r="AT10" s="37" t="str">
        <f t="shared" si="0"/>
        <v/>
      </c>
      <c r="AU10" s="37" t="str">
        <f t="shared" si="0"/>
        <v/>
      </c>
      <c r="AV10" s="37" t="str">
        <f t="shared" si="0"/>
        <v/>
      </c>
      <c r="AW10" s="37" t="str">
        <f t="shared" si="0"/>
        <v/>
      </c>
      <c r="AX10" s="37" t="str">
        <f t="shared" si="0"/>
        <v/>
      </c>
      <c r="AY10" s="37" t="str">
        <f t="shared" si="0"/>
        <v/>
      </c>
      <c r="AZ10" s="37" t="str">
        <f t="shared" si="0"/>
        <v/>
      </c>
      <c r="BA10" s="37" t="str">
        <f t="shared" si="0"/>
        <v/>
      </c>
      <c r="BB10" s="37">
        <f t="shared" si="2"/>
        <v>18</v>
      </c>
      <c r="BC10" s="37" t="str">
        <f>IFERROR(SEARCH(_xlfn.CONCAT(" ",$A10),#REF!),"")</f>
        <v/>
      </c>
      <c r="BD10" s="37" t="str">
        <f>IFERROR(SEARCH(_xlfn.CONCAT(" ",$A10),#REF!),"")</f>
        <v/>
      </c>
      <c r="BE10" s="37">
        <f t="shared" si="3"/>
        <v>0</v>
      </c>
      <c r="BF10" s="37">
        <f t="shared" si="4"/>
        <v>18</v>
      </c>
    </row>
    <row r="11" spans="1:58" ht="21" x14ac:dyDescent="0.25">
      <c r="A11" s="39" t="s">
        <v>285</v>
      </c>
      <c r="B11" s="33" t="str">
        <f>VLOOKUP(A11,Лист1!B:C,2,0)</f>
        <v>Организует и координирует работу команды с учетом интересов, особенностей поведения и мнения её членов</v>
      </c>
      <c r="C11" s="31" t="str">
        <f>IFERROR(SEARCH($A11,C$3),"")</f>
        <v/>
      </c>
      <c r="D11" s="31" t="str">
        <f t="shared" si="1"/>
        <v/>
      </c>
      <c r="E11" s="31" t="str">
        <f t="shared" si="1"/>
        <v/>
      </c>
      <c r="F11" s="31" t="str">
        <f t="shared" si="1"/>
        <v/>
      </c>
      <c r="G11" s="31" t="str">
        <f t="shared" si="1"/>
        <v/>
      </c>
      <c r="H11" s="31" t="str">
        <f t="shared" si="1"/>
        <v/>
      </c>
      <c r="I11" s="31" t="str">
        <f t="shared" si="1"/>
        <v/>
      </c>
      <c r="J11" s="31" t="str">
        <f t="shared" si="1"/>
        <v/>
      </c>
      <c r="K11" s="31" t="str">
        <f t="shared" si="1"/>
        <v/>
      </c>
      <c r="L11" s="31" t="str">
        <f t="shared" si="1"/>
        <v/>
      </c>
      <c r="M11" s="31" t="str">
        <f t="shared" si="1"/>
        <v/>
      </c>
      <c r="N11" s="31" t="str">
        <f t="shared" si="1"/>
        <v/>
      </c>
      <c r="O11" s="31" t="str">
        <f t="shared" si="1"/>
        <v/>
      </c>
      <c r="P11" s="31" t="str">
        <f t="shared" si="1"/>
        <v/>
      </c>
      <c r="Q11" s="31" t="str">
        <f t="shared" si="1"/>
        <v/>
      </c>
      <c r="R11" s="31" t="str">
        <f t="shared" si="1"/>
        <v/>
      </c>
      <c r="S11" s="31" t="str">
        <f t="shared" si="1"/>
        <v/>
      </c>
      <c r="T11" s="31" t="str">
        <f t="shared" si="1"/>
        <v/>
      </c>
      <c r="U11" s="31" t="str">
        <f t="shared" si="1"/>
        <v/>
      </c>
      <c r="V11" s="40">
        <f t="shared" si="1"/>
        <v>9</v>
      </c>
      <c r="W11" s="31" t="str">
        <f t="shared" si="1"/>
        <v/>
      </c>
      <c r="X11" s="31" t="str">
        <f t="shared" si="1"/>
        <v/>
      </c>
      <c r="Y11" s="31" t="str">
        <f t="shared" si="1"/>
        <v/>
      </c>
      <c r="Z11" s="31" t="str">
        <f t="shared" si="1"/>
        <v/>
      </c>
      <c r="AA11" s="31" t="str">
        <f t="shared" si="1"/>
        <v/>
      </c>
      <c r="AB11" s="31" t="str">
        <f t="shared" si="1"/>
        <v/>
      </c>
      <c r="AC11" s="31" t="str">
        <f t="shared" si="1"/>
        <v/>
      </c>
      <c r="AD11" s="31" t="str">
        <f t="shared" si="1"/>
        <v/>
      </c>
      <c r="AE11" s="31" t="str">
        <f t="shared" si="1"/>
        <v/>
      </c>
      <c r="AF11" s="31" t="str">
        <f t="shared" si="1"/>
        <v/>
      </c>
      <c r="AG11" s="31" t="str">
        <f t="shared" si="1"/>
        <v/>
      </c>
      <c r="AH11" s="31" t="str">
        <f t="shared" si="1"/>
        <v/>
      </c>
      <c r="AI11" s="31" t="str">
        <f t="shared" si="1"/>
        <v/>
      </c>
      <c r="AJ11" s="31" t="str">
        <f t="shared" si="1"/>
        <v/>
      </c>
      <c r="AK11" s="31" t="str">
        <f t="shared" si="1"/>
        <v/>
      </c>
      <c r="AL11" s="31" t="str">
        <f t="shared" si="1"/>
        <v/>
      </c>
      <c r="AM11" s="31" t="str">
        <f t="shared" ref="AM11:BD11" si="6">IFERROR(SEARCH($A11,AM$3),"")</f>
        <v/>
      </c>
      <c r="AN11" s="31" t="str">
        <f t="shared" si="6"/>
        <v/>
      </c>
      <c r="AO11" s="31" t="str">
        <f t="shared" si="6"/>
        <v/>
      </c>
      <c r="AP11" s="31" t="str">
        <f t="shared" si="6"/>
        <v/>
      </c>
      <c r="AQ11" s="31" t="str">
        <f t="shared" si="6"/>
        <v/>
      </c>
      <c r="AR11" s="31" t="str">
        <f t="shared" si="6"/>
        <v/>
      </c>
      <c r="AS11" s="31" t="str">
        <f t="shared" si="6"/>
        <v/>
      </c>
      <c r="AT11" s="31" t="str">
        <f t="shared" si="6"/>
        <v/>
      </c>
      <c r="AU11" s="31" t="str">
        <f t="shared" si="6"/>
        <v/>
      </c>
      <c r="AV11" s="31" t="str">
        <f t="shared" si="6"/>
        <v/>
      </c>
      <c r="AW11" s="31" t="str">
        <f t="shared" si="6"/>
        <v/>
      </c>
      <c r="AX11" s="31" t="str">
        <f t="shared" si="6"/>
        <v/>
      </c>
      <c r="AY11" s="31" t="str">
        <f t="shared" si="6"/>
        <v/>
      </c>
      <c r="AZ11" s="31" t="str">
        <f t="shared" si="6"/>
        <v/>
      </c>
      <c r="BA11" s="31" t="str">
        <f t="shared" si="6"/>
        <v/>
      </c>
      <c r="BB11" s="31">
        <f t="shared" si="2"/>
        <v>9</v>
      </c>
      <c r="BC11" s="31" t="str">
        <f t="shared" si="6"/>
        <v/>
      </c>
      <c r="BD11" s="31" t="str">
        <f t="shared" si="6"/>
        <v/>
      </c>
      <c r="BE11" s="31">
        <f t="shared" si="3"/>
        <v>0</v>
      </c>
      <c r="BF11" s="31">
        <f t="shared" si="4"/>
        <v>9</v>
      </c>
    </row>
    <row r="12" spans="1:58" x14ac:dyDescent="0.25">
      <c r="A12" s="39" t="s">
        <v>287</v>
      </c>
      <c r="B12" s="33" t="str">
        <f>VLOOKUP(A12,Лист1!B:C,2,0)</f>
        <v>Вырабатывает командную стратегию для достижения поставленной цели</v>
      </c>
      <c r="C12" s="31" t="str">
        <f>IFERROR(SEARCH($A12,C$3),"")</f>
        <v/>
      </c>
      <c r="D12" s="31" t="str">
        <f t="shared" ref="D12:BD12" si="7">IFERROR(SEARCH($A12,D$3),"")</f>
        <v/>
      </c>
      <c r="E12" s="31" t="str">
        <f t="shared" si="7"/>
        <v/>
      </c>
      <c r="F12" s="31" t="str">
        <f t="shared" si="7"/>
        <v/>
      </c>
      <c r="G12" s="31" t="str">
        <f t="shared" si="7"/>
        <v/>
      </c>
      <c r="H12" s="31" t="str">
        <f t="shared" si="7"/>
        <v/>
      </c>
      <c r="I12" s="31" t="str">
        <f t="shared" si="7"/>
        <v/>
      </c>
      <c r="J12" s="31" t="str">
        <f t="shared" si="7"/>
        <v/>
      </c>
      <c r="K12" s="31" t="str">
        <f t="shared" si="7"/>
        <v/>
      </c>
      <c r="L12" s="31" t="str">
        <f t="shared" si="7"/>
        <v/>
      </c>
      <c r="M12" s="31" t="str">
        <f t="shared" si="7"/>
        <v/>
      </c>
      <c r="N12" s="31" t="str">
        <f t="shared" si="7"/>
        <v/>
      </c>
      <c r="O12" s="31" t="str">
        <f t="shared" si="7"/>
        <v/>
      </c>
      <c r="P12" s="31" t="str">
        <f t="shared" si="7"/>
        <v/>
      </c>
      <c r="Q12" s="31" t="str">
        <f t="shared" si="7"/>
        <v/>
      </c>
      <c r="R12" s="31" t="str">
        <f t="shared" si="7"/>
        <v/>
      </c>
      <c r="S12" s="31" t="str">
        <f t="shared" si="7"/>
        <v/>
      </c>
      <c r="T12" s="31" t="str">
        <f t="shared" si="7"/>
        <v/>
      </c>
      <c r="U12" s="31" t="str">
        <f t="shared" si="7"/>
        <v/>
      </c>
      <c r="V12" s="40">
        <v>9</v>
      </c>
      <c r="W12" s="31" t="str">
        <f t="shared" si="7"/>
        <v/>
      </c>
      <c r="X12" s="31" t="str">
        <f t="shared" si="7"/>
        <v/>
      </c>
      <c r="Y12" s="31" t="str">
        <f t="shared" si="7"/>
        <v/>
      </c>
      <c r="Z12" s="31" t="str">
        <f t="shared" si="7"/>
        <v/>
      </c>
      <c r="AA12" s="31" t="str">
        <f t="shared" si="7"/>
        <v/>
      </c>
      <c r="AB12" s="31" t="str">
        <f t="shared" si="7"/>
        <v/>
      </c>
      <c r="AC12" s="31" t="str">
        <f t="shared" si="7"/>
        <v/>
      </c>
      <c r="AD12" s="31" t="str">
        <f t="shared" si="7"/>
        <v/>
      </c>
      <c r="AE12" s="31" t="str">
        <f t="shared" si="7"/>
        <v/>
      </c>
      <c r="AF12" s="31" t="str">
        <f t="shared" si="7"/>
        <v/>
      </c>
      <c r="AG12" s="31" t="str">
        <f t="shared" si="7"/>
        <v/>
      </c>
      <c r="AH12" s="31" t="str">
        <f t="shared" si="7"/>
        <v/>
      </c>
      <c r="AI12" s="31" t="str">
        <f t="shared" si="7"/>
        <v/>
      </c>
      <c r="AJ12" s="31" t="str">
        <f t="shared" si="7"/>
        <v/>
      </c>
      <c r="AK12" s="31" t="str">
        <f t="shared" si="7"/>
        <v/>
      </c>
      <c r="AL12" s="31" t="str">
        <f t="shared" si="7"/>
        <v/>
      </c>
      <c r="AM12" s="31" t="str">
        <f t="shared" si="7"/>
        <v/>
      </c>
      <c r="AN12" s="31" t="str">
        <f t="shared" si="7"/>
        <v/>
      </c>
      <c r="AO12" s="31" t="str">
        <f t="shared" si="7"/>
        <v/>
      </c>
      <c r="AP12" s="31" t="str">
        <f t="shared" si="7"/>
        <v/>
      </c>
      <c r="AQ12" s="31" t="str">
        <f t="shared" si="7"/>
        <v/>
      </c>
      <c r="AR12" s="31" t="str">
        <f t="shared" si="7"/>
        <v/>
      </c>
      <c r="AS12" s="31" t="str">
        <f t="shared" si="7"/>
        <v/>
      </c>
      <c r="AT12" s="31" t="str">
        <f t="shared" si="7"/>
        <v/>
      </c>
      <c r="AU12" s="31" t="str">
        <f t="shared" si="7"/>
        <v/>
      </c>
      <c r="AV12" s="31" t="str">
        <f t="shared" si="7"/>
        <v/>
      </c>
      <c r="AW12" s="31" t="str">
        <f t="shared" si="7"/>
        <v/>
      </c>
      <c r="AX12" s="31" t="str">
        <f t="shared" si="7"/>
        <v/>
      </c>
      <c r="AY12" s="31" t="str">
        <f t="shared" si="7"/>
        <v/>
      </c>
      <c r="AZ12" s="31" t="str">
        <f t="shared" si="7"/>
        <v/>
      </c>
      <c r="BA12" s="31" t="str">
        <f t="shared" si="7"/>
        <v/>
      </c>
      <c r="BB12" s="31">
        <f t="shared" si="2"/>
        <v>9</v>
      </c>
      <c r="BC12" s="31" t="str">
        <f t="shared" si="7"/>
        <v/>
      </c>
      <c r="BD12" s="31" t="str">
        <f t="shared" si="7"/>
        <v/>
      </c>
      <c r="BE12" s="31">
        <f t="shared" si="3"/>
        <v>0</v>
      </c>
      <c r="BF12" s="31">
        <f t="shared" si="4"/>
        <v>9</v>
      </c>
    </row>
    <row r="13" spans="1:58" s="38" customFormat="1" ht="31.5" x14ac:dyDescent="0.25">
      <c r="A13" s="36" t="s">
        <v>66</v>
      </c>
      <c r="B13" s="36" t="str">
        <f>VLOOKUP(A13,Лист1!B:C,2,0)</f>
        <v>Способен осуществлять деловую коммуникацию в устной и письменной формах на государственном языке Российской Федерации и иностранном(ых) языке(ах)</v>
      </c>
      <c r="C13" s="37" t="str">
        <f t="shared" si="5"/>
        <v/>
      </c>
      <c r="D13" s="37" t="str">
        <f t="shared" si="5"/>
        <v/>
      </c>
      <c r="E13" s="37">
        <v>18</v>
      </c>
      <c r="F13" s="37" t="str">
        <f t="shared" si="5"/>
        <v/>
      </c>
      <c r="G13" s="37" t="str">
        <f t="shared" si="5"/>
        <v/>
      </c>
      <c r="H13" s="37" t="str">
        <f t="shared" si="5"/>
        <v/>
      </c>
      <c r="I13" s="37" t="str">
        <f t="shared" si="5"/>
        <v/>
      </c>
      <c r="J13" s="37" t="str">
        <f t="shared" si="0"/>
        <v/>
      </c>
      <c r="K13" s="37" t="str">
        <f t="shared" si="0"/>
        <v/>
      </c>
      <c r="L13" s="37" t="str">
        <f t="shared" si="0"/>
        <v/>
      </c>
      <c r="M13" s="37" t="str">
        <f t="shared" si="0"/>
        <v/>
      </c>
      <c r="N13" s="37" t="str">
        <f t="shared" si="0"/>
        <v/>
      </c>
      <c r="O13" s="37">
        <v>18</v>
      </c>
      <c r="P13" s="37" t="str">
        <f t="shared" si="0"/>
        <v/>
      </c>
      <c r="Q13" s="37" t="str">
        <f t="shared" si="0"/>
        <v/>
      </c>
      <c r="R13" s="37" t="str">
        <f t="shared" si="0"/>
        <v/>
      </c>
      <c r="S13" s="37" t="str">
        <f t="shared" si="0"/>
        <v/>
      </c>
      <c r="T13" s="37" t="str">
        <f t="shared" si="0"/>
        <v/>
      </c>
      <c r="U13" s="37" t="str">
        <f t="shared" si="0"/>
        <v/>
      </c>
      <c r="V13" s="37" t="str">
        <f t="shared" si="0"/>
        <v/>
      </c>
      <c r="W13" s="37" t="str">
        <f t="shared" si="0"/>
        <v/>
      </c>
      <c r="X13" s="37" t="str">
        <f t="shared" si="0"/>
        <v/>
      </c>
      <c r="Y13" s="37" t="str">
        <f t="shared" si="0"/>
        <v/>
      </c>
      <c r="Z13" s="37" t="str">
        <f t="shared" si="0"/>
        <v/>
      </c>
      <c r="AA13" s="37" t="str">
        <f t="shared" si="0"/>
        <v/>
      </c>
      <c r="AB13" s="37" t="str">
        <f t="shared" si="0"/>
        <v/>
      </c>
      <c r="AC13" s="37" t="str">
        <f t="shared" si="0"/>
        <v/>
      </c>
      <c r="AD13" s="37" t="str">
        <f t="shared" si="0"/>
        <v/>
      </c>
      <c r="AE13" s="37" t="str">
        <f t="shared" si="0"/>
        <v/>
      </c>
      <c r="AF13" s="37" t="str">
        <f t="shared" si="0"/>
        <v/>
      </c>
      <c r="AG13" s="37" t="str">
        <f t="shared" si="0"/>
        <v/>
      </c>
      <c r="AH13" s="37" t="str">
        <f t="shared" si="0"/>
        <v/>
      </c>
      <c r="AI13" s="37" t="str">
        <f t="shared" si="0"/>
        <v/>
      </c>
      <c r="AJ13" s="37" t="str">
        <f t="shared" si="0"/>
        <v/>
      </c>
      <c r="AK13" s="37" t="str">
        <f t="shared" si="0"/>
        <v/>
      </c>
      <c r="AL13" s="37" t="str">
        <f t="shared" si="0"/>
        <v/>
      </c>
      <c r="AM13" s="37" t="str">
        <f t="shared" si="0"/>
        <v/>
      </c>
      <c r="AN13" s="37" t="str">
        <f t="shared" si="0"/>
        <v/>
      </c>
      <c r="AO13" s="37" t="str">
        <f t="shared" si="0"/>
        <v/>
      </c>
      <c r="AP13" s="37" t="str">
        <f t="shared" si="0"/>
        <v/>
      </c>
      <c r="AQ13" s="37" t="str">
        <f t="shared" si="0"/>
        <v/>
      </c>
      <c r="AR13" s="37" t="str">
        <f t="shared" si="0"/>
        <v/>
      </c>
      <c r="AS13" s="37" t="str">
        <f t="shared" si="0"/>
        <v/>
      </c>
      <c r="AT13" s="37" t="str">
        <f t="shared" si="0"/>
        <v/>
      </c>
      <c r="AU13" s="37" t="str">
        <f t="shared" si="0"/>
        <v/>
      </c>
      <c r="AV13" s="37" t="str">
        <f t="shared" si="0"/>
        <v/>
      </c>
      <c r="AW13" s="37" t="str">
        <f t="shared" si="0"/>
        <v/>
      </c>
      <c r="AX13" s="37" t="str">
        <f t="shared" si="0"/>
        <v/>
      </c>
      <c r="AY13" s="37" t="str">
        <f t="shared" si="0"/>
        <v/>
      </c>
      <c r="AZ13" s="37" t="str">
        <f t="shared" si="0"/>
        <v/>
      </c>
      <c r="BA13" s="37" t="str">
        <f t="shared" si="0"/>
        <v/>
      </c>
      <c r="BB13" s="37">
        <f t="shared" si="2"/>
        <v>36</v>
      </c>
      <c r="BC13" s="37" t="s">
        <v>140</v>
      </c>
      <c r="BD13" s="37" t="s">
        <v>140</v>
      </c>
      <c r="BE13" s="37">
        <f t="shared" si="3"/>
        <v>0</v>
      </c>
      <c r="BF13" s="37">
        <f t="shared" si="4"/>
        <v>36</v>
      </c>
    </row>
    <row r="14" spans="1:58" ht="31.5" x14ac:dyDescent="0.25">
      <c r="A14" s="39" t="s">
        <v>290</v>
      </c>
      <c r="B14" s="33" t="str">
        <f>VLOOKUP(A14,Лист1!B:C,2,0)</f>
        <v>Отбирает и использует средства русского языка в соответствии с языковыми нормами в целях построения эффективной академической и профессиональной коммуникации</v>
      </c>
      <c r="C14" s="31" t="str">
        <f>IFERROR(SEARCH($A14,C$3),"")</f>
        <v/>
      </c>
      <c r="D14" s="31" t="str">
        <f t="shared" ref="D14:BD17" si="8">IFERROR(SEARCH($A14,D$3),"")</f>
        <v/>
      </c>
      <c r="E14" s="31" t="str">
        <f t="shared" si="8"/>
        <v/>
      </c>
      <c r="F14" s="31" t="str">
        <f t="shared" si="8"/>
        <v/>
      </c>
      <c r="G14" s="31" t="str">
        <f t="shared" si="8"/>
        <v/>
      </c>
      <c r="H14" s="31" t="str">
        <f t="shared" si="8"/>
        <v/>
      </c>
      <c r="I14" s="31" t="str">
        <f t="shared" si="8"/>
        <v/>
      </c>
      <c r="J14" s="31" t="str">
        <f t="shared" si="8"/>
        <v/>
      </c>
      <c r="K14" s="31" t="str">
        <f t="shared" si="8"/>
        <v/>
      </c>
      <c r="L14" s="31" t="str">
        <f t="shared" si="8"/>
        <v/>
      </c>
      <c r="M14" s="31" t="str">
        <f t="shared" si="8"/>
        <v/>
      </c>
      <c r="N14" s="31" t="str">
        <f t="shared" si="8"/>
        <v/>
      </c>
      <c r="O14" s="40">
        <v>9</v>
      </c>
      <c r="P14" s="31" t="str">
        <f t="shared" si="8"/>
        <v/>
      </c>
      <c r="Q14" s="31" t="str">
        <f t="shared" si="8"/>
        <v/>
      </c>
      <c r="R14" s="31" t="str">
        <f t="shared" si="8"/>
        <v/>
      </c>
      <c r="S14" s="31" t="str">
        <f t="shared" si="8"/>
        <v/>
      </c>
      <c r="T14" s="31" t="str">
        <f t="shared" si="8"/>
        <v/>
      </c>
      <c r="U14" s="31" t="str">
        <f t="shared" si="8"/>
        <v/>
      </c>
      <c r="V14" s="31" t="str">
        <f t="shared" si="8"/>
        <v/>
      </c>
      <c r="W14" s="31" t="str">
        <f t="shared" si="8"/>
        <v/>
      </c>
      <c r="X14" s="31" t="str">
        <f t="shared" si="8"/>
        <v/>
      </c>
      <c r="Y14" s="31" t="str">
        <f t="shared" si="8"/>
        <v/>
      </c>
      <c r="Z14" s="31" t="str">
        <f t="shared" si="8"/>
        <v/>
      </c>
      <c r="AA14" s="31" t="str">
        <f t="shared" si="8"/>
        <v/>
      </c>
      <c r="AB14" s="31" t="str">
        <f t="shared" si="8"/>
        <v/>
      </c>
      <c r="AC14" s="31" t="str">
        <f t="shared" si="8"/>
        <v/>
      </c>
      <c r="AD14" s="31" t="str">
        <f t="shared" si="8"/>
        <v/>
      </c>
      <c r="AE14" s="31" t="str">
        <f t="shared" si="8"/>
        <v/>
      </c>
      <c r="AF14" s="31" t="str">
        <f t="shared" si="8"/>
        <v/>
      </c>
      <c r="AG14" s="31" t="str">
        <f t="shared" si="8"/>
        <v/>
      </c>
      <c r="AH14" s="31" t="str">
        <f t="shared" si="8"/>
        <v/>
      </c>
      <c r="AI14" s="31" t="str">
        <f t="shared" si="8"/>
        <v/>
      </c>
      <c r="AJ14" s="31" t="str">
        <f t="shared" si="8"/>
        <v/>
      </c>
      <c r="AK14" s="31" t="str">
        <f t="shared" si="8"/>
        <v/>
      </c>
      <c r="AL14" s="31" t="str">
        <f t="shared" si="8"/>
        <v/>
      </c>
      <c r="AM14" s="31" t="str">
        <f t="shared" si="8"/>
        <v/>
      </c>
      <c r="AN14" s="31" t="str">
        <f t="shared" si="8"/>
        <v/>
      </c>
      <c r="AO14" s="31" t="str">
        <f t="shared" si="8"/>
        <v/>
      </c>
      <c r="AP14" s="31" t="str">
        <f t="shared" si="8"/>
        <v/>
      </c>
      <c r="AQ14" s="31" t="str">
        <f t="shared" si="8"/>
        <v/>
      </c>
      <c r="AR14" s="31" t="str">
        <f t="shared" si="8"/>
        <v/>
      </c>
      <c r="AS14" s="31" t="str">
        <f t="shared" si="8"/>
        <v/>
      </c>
      <c r="AT14" s="31" t="str">
        <f t="shared" si="8"/>
        <v/>
      </c>
      <c r="AU14" s="31" t="str">
        <f t="shared" si="8"/>
        <v/>
      </c>
      <c r="AV14" s="31" t="str">
        <f t="shared" si="8"/>
        <v/>
      </c>
      <c r="AW14" s="31" t="str">
        <f t="shared" si="8"/>
        <v/>
      </c>
      <c r="AX14" s="31" t="str">
        <f t="shared" si="8"/>
        <v/>
      </c>
      <c r="AY14" s="31" t="str">
        <f t="shared" si="8"/>
        <v/>
      </c>
      <c r="AZ14" s="31" t="str">
        <f t="shared" si="8"/>
        <v/>
      </c>
      <c r="BA14" s="31" t="str">
        <f t="shared" si="8"/>
        <v/>
      </c>
      <c r="BB14" s="31">
        <f t="shared" si="2"/>
        <v>9</v>
      </c>
      <c r="BC14" s="31" t="str">
        <f t="shared" si="8"/>
        <v/>
      </c>
      <c r="BD14" s="31" t="str">
        <f t="shared" si="8"/>
        <v/>
      </c>
      <c r="BE14" s="31">
        <f t="shared" si="3"/>
        <v>0</v>
      </c>
      <c r="BF14" s="31">
        <f t="shared" si="4"/>
        <v>9</v>
      </c>
    </row>
    <row r="15" spans="1:58" ht="21" x14ac:dyDescent="0.25">
      <c r="A15" s="39" t="s">
        <v>292</v>
      </c>
      <c r="B15" s="33" t="str">
        <f>VLOOKUP(A15,Лист1!B:C,2,0)</f>
        <v>Осуществляет академическое и деловое взаимодействие в различных жанрах и формах с использованием современных коммуникативных технологий</v>
      </c>
      <c r="C15" s="31" t="str">
        <f>IFERROR(SEARCH($A15,C$3),"")</f>
        <v/>
      </c>
      <c r="D15" s="31" t="str">
        <f t="shared" si="8"/>
        <v/>
      </c>
      <c r="E15" s="31" t="str">
        <f t="shared" si="8"/>
        <v/>
      </c>
      <c r="F15" s="31" t="str">
        <f t="shared" si="8"/>
        <v/>
      </c>
      <c r="G15" s="31" t="str">
        <f t="shared" si="8"/>
        <v/>
      </c>
      <c r="H15" s="31" t="str">
        <f t="shared" si="8"/>
        <v/>
      </c>
      <c r="I15" s="31" t="str">
        <f t="shared" si="8"/>
        <v/>
      </c>
      <c r="J15" s="31" t="str">
        <f t="shared" si="8"/>
        <v/>
      </c>
      <c r="K15" s="31" t="str">
        <f t="shared" si="8"/>
        <v/>
      </c>
      <c r="L15" s="31" t="str">
        <f t="shared" si="8"/>
        <v/>
      </c>
      <c r="M15" s="31" t="str">
        <f t="shared" si="8"/>
        <v/>
      </c>
      <c r="N15" s="31" t="str">
        <f t="shared" si="8"/>
        <v/>
      </c>
      <c r="O15" s="40">
        <f t="shared" si="8"/>
        <v>9</v>
      </c>
      <c r="P15" s="31" t="str">
        <f t="shared" si="8"/>
        <v/>
      </c>
      <c r="Q15" s="31" t="str">
        <f t="shared" si="8"/>
        <v/>
      </c>
      <c r="R15" s="31" t="str">
        <f t="shared" si="8"/>
        <v/>
      </c>
      <c r="S15" s="31" t="str">
        <f t="shared" si="8"/>
        <v/>
      </c>
      <c r="T15" s="31" t="str">
        <f t="shared" si="8"/>
        <v/>
      </c>
      <c r="U15" s="31" t="str">
        <f t="shared" si="8"/>
        <v/>
      </c>
      <c r="V15" s="31" t="str">
        <f t="shared" si="8"/>
        <v/>
      </c>
      <c r="W15" s="31" t="str">
        <f t="shared" si="8"/>
        <v/>
      </c>
      <c r="X15" s="31" t="str">
        <f t="shared" si="8"/>
        <v/>
      </c>
      <c r="Y15" s="31" t="str">
        <f t="shared" si="8"/>
        <v/>
      </c>
      <c r="Z15" s="31" t="str">
        <f t="shared" si="8"/>
        <v/>
      </c>
      <c r="AA15" s="31" t="str">
        <f t="shared" si="8"/>
        <v/>
      </c>
      <c r="AB15" s="31" t="str">
        <f t="shared" si="8"/>
        <v/>
      </c>
      <c r="AC15" s="31" t="str">
        <f t="shared" si="8"/>
        <v/>
      </c>
      <c r="AD15" s="31" t="str">
        <f t="shared" si="8"/>
        <v/>
      </c>
      <c r="AE15" s="31" t="str">
        <f t="shared" si="8"/>
        <v/>
      </c>
      <c r="AF15" s="31" t="str">
        <f t="shared" si="8"/>
        <v/>
      </c>
      <c r="AG15" s="31" t="str">
        <f t="shared" si="8"/>
        <v/>
      </c>
      <c r="AH15" s="31" t="str">
        <f t="shared" si="8"/>
        <v/>
      </c>
      <c r="AI15" s="31" t="str">
        <f t="shared" si="8"/>
        <v/>
      </c>
      <c r="AJ15" s="31" t="str">
        <f t="shared" si="8"/>
        <v/>
      </c>
      <c r="AK15" s="31" t="str">
        <f t="shared" si="8"/>
        <v/>
      </c>
      <c r="AL15" s="31" t="str">
        <f t="shared" si="8"/>
        <v/>
      </c>
      <c r="AM15" s="31" t="str">
        <f t="shared" si="8"/>
        <v/>
      </c>
      <c r="AN15" s="31" t="str">
        <f t="shared" si="8"/>
        <v/>
      </c>
      <c r="AO15" s="31" t="str">
        <f t="shared" si="8"/>
        <v/>
      </c>
      <c r="AP15" s="31" t="str">
        <f t="shared" si="8"/>
        <v/>
      </c>
      <c r="AQ15" s="31" t="str">
        <f t="shared" si="8"/>
        <v/>
      </c>
      <c r="AR15" s="31" t="str">
        <f t="shared" si="8"/>
        <v/>
      </c>
      <c r="AS15" s="31" t="str">
        <f t="shared" si="8"/>
        <v/>
      </c>
      <c r="AT15" s="31" t="str">
        <f t="shared" si="8"/>
        <v/>
      </c>
      <c r="AU15" s="31" t="str">
        <f t="shared" si="8"/>
        <v/>
      </c>
      <c r="AV15" s="31" t="str">
        <f t="shared" si="8"/>
        <v/>
      </c>
      <c r="AW15" s="31" t="str">
        <f t="shared" si="8"/>
        <v/>
      </c>
      <c r="AX15" s="31" t="str">
        <f t="shared" si="8"/>
        <v/>
      </c>
      <c r="AY15" s="31" t="str">
        <f t="shared" si="8"/>
        <v/>
      </c>
      <c r="AZ15" s="31" t="str">
        <f t="shared" si="8"/>
        <v/>
      </c>
      <c r="BA15" s="31" t="str">
        <f t="shared" si="8"/>
        <v/>
      </c>
      <c r="BB15" s="31">
        <f t="shared" si="2"/>
        <v>9</v>
      </c>
      <c r="BC15" s="31" t="str">
        <f t="shared" si="8"/>
        <v/>
      </c>
      <c r="BD15" s="31" t="str">
        <f t="shared" si="8"/>
        <v/>
      </c>
      <c r="BE15" s="31">
        <f t="shared" si="3"/>
        <v>0</v>
      </c>
      <c r="BF15" s="31">
        <f t="shared" si="4"/>
        <v>9</v>
      </c>
    </row>
    <row r="16" spans="1:58" ht="21" x14ac:dyDescent="0.25">
      <c r="A16" s="39" t="s">
        <v>294</v>
      </c>
      <c r="B16" s="33" t="str">
        <f>VLOOKUP(A16,Лист1!B:C,2,0)</f>
        <v>Применяет современные коммуникативные технологии для академического взаимодействия на иностранном(ых) языке(ах)</v>
      </c>
      <c r="C16" s="31" t="str">
        <f>IFERROR(SEARCH($A16,C$3),"")</f>
        <v/>
      </c>
      <c r="D16" s="31" t="str">
        <f t="shared" si="8"/>
        <v/>
      </c>
      <c r="E16" s="40">
        <v>9</v>
      </c>
      <c r="F16" s="31" t="str">
        <f t="shared" si="8"/>
        <v/>
      </c>
      <c r="G16" s="31" t="str">
        <f t="shared" si="8"/>
        <v/>
      </c>
      <c r="H16" s="31" t="str">
        <f t="shared" si="8"/>
        <v/>
      </c>
      <c r="I16" s="31" t="str">
        <f t="shared" si="8"/>
        <v/>
      </c>
      <c r="J16" s="31" t="str">
        <f t="shared" si="8"/>
        <v/>
      </c>
      <c r="K16" s="31" t="str">
        <f t="shared" si="8"/>
        <v/>
      </c>
      <c r="L16" s="31" t="str">
        <f t="shared" si="8"/>
        <v/>
      </c>
      <c r="M16" s="31" t="str">
        <f t="shared" si="8"/>
        <v/>
      </c>
      <c r="N16" s="31" t="str">
        <f t="shared" si="8"/>
        <v/>
      </c>
      <c r="O16" s="31" t="str">
        <f t="shared" si="8"/>
        <v/>
      </c>
      <c r="P16" s="31" t="str">
        <f t="shared" si="8"/>
        <v/>
      </c>
      <c r="Q16" s="31" t="str">
        <f t="shared" si="8"/>
        <v/>
      </c>
      <c r="R16" s="31" t="str">
        <f t="shared" si="8"/>
        <v/>
      </c>
      <c r="S16" s="31" t="str">
        <f t="shared" si="8"/>
        <v/>
      </c>
      <c r="T16" s="31" t="str">
        <f t="shared" si="8"/>
        <v/>
      </c>
      <c r="U16" s="31" t="str">
        <f t="shared" si="8"/>
        <v/>
      </c>
      <c r="V16" s="31" t="str">
        <f t="shared" si="8"/>
        <v/>
      </c>
      <c r="W16" s="31" t="str">
        <f t="shared" si="8"/>
        <v/>
      </c>
      <c r="X16" s="31" t="str">
        <f t="shared" si="8"/>
        <v/>
      </c>
      <c r="Y16" s="31" t="str">
        <f t="shared" si="8"/>
        <v/>
      </c>
      <c r="Z16" s="31" t="str">
        <f t="shared" si="8"/>
        <v/>
      </c>
      <c r="AA16" s="31" t="str">
        <f t="shared" si="8"/>
        <v/>
      </c>
      <c r="AB16" s="31" t="str">
        <f t="shared" si="8"/>
        <v/>
      </c>
      <c r="AC16" s="31" t="str">
        <f t="shared" si="8"/>
        <v/>
      </c>
      <c r="AD16" s="31" t="str">
        <f t="shared" si="8"/>
        <v/>
      </c>
      <c r="AE16" s="31" t="str">
        <f t="shared" si="8"/>
        <v/>
      </c>
      <c r="AF16" s="31" t="str">
        <f t="shared" si="8"/>
        <v/>
      </c>
      <c r="AG16" s="31" t="str">
        <f t="shared" si="8"/>
        <v/>
      </c>
      <c r="AH16" s="31" t="str">
        <f t="shared" si="8"/>
        <v/>
      </c>
      <c r="AI16" s="31" t="str">
        <f t="shared" si="8"/>
        <v/>
      </c>
      <c r="AJ16" s="31" t="str">
        <f t="shared" si="8"/>
        <v/>
      </c>
      <c r="AK16" s="31" t="str">
        <f t="shared" si="8"/>
        <v/>
      </c>
      <c r="AL16" s="31" t="str">
        <f t="shared" si="8"/>
        <v/>
      </c>
      <c r="AM16" s="31" t="str">
        <f t="shared" si="8"/>
        <v/>
      </c>
      <c r="AN16" s="31" t="str">
        <f t="shared" si="8"/>
        <v/>
      </c>
      <c r="AO16" s="31" t="str">
        <f t="shared" si="8"/>
        <v/>
      </c>
      <c r="AP16" s="31" t="str">
        <f t="shared" si="8"/>
        <v/>
      </c>
      <c r="AQ16" s="31" t="str">
        <f t="shared" si="8"/>
        <v/>
      </c>
      <c r="AR16" s="31" t="str">
        <f t="shared" si="8"/>
        <v/>
      </c>
      <c r="AS16" s="31" t="str">
        <f t="shared" si="8"/>
        <v/>
      </c>
      <c r="AT16" s="31" t="str">
        <f t="shared" si="8"/>
        <v/>
      </c>
      <c r="AU16" s="31" t="str">
        <f t="shared" si="8"/>
        <v/>
      </c>
      <c r="AV16" s="31" t="str">
        <f t="shared" si="8"/>
        <v/>
      </c>
      <c r="AW16" s="31" t="str">
        <f t="shared" si="8"/>
        <v/>
      </c>
      <c r="AX16" s="31" t="str">
        <f t="shared" si="8"/>
        <v/>
      </c>
      <c r="AY16" s="31" t="str">
        <f t="shared" si="8"/>
        <v/>
      </c>
      <c r="AZ16" s="31" t="str">
        <f t="shared" si="8"/>
        <v/>
      </c>
      <c r="BA16" s="31" t="str">
        <f t="shared" si="8"/>
        <v/>
      </c>
      <c r="BB16" s="31">
        <f t="shared" si="2"/>
        <v>9</v>
      </c>
      <c r="BC16" s="31" t="str">
        <f t="shared" si="8"/>
        <v/>
      </c>
      <c r="BD16" s="31" t="str">
        <f t="shared" si="8"/>
        <v/>
      </c>
      <c r="BE16" s="31">
        <f t="shared" si="3"/>
        <v>0</v>
      </c>
      <c r="BF16" s="31">
        <f t="shared" si="4"/>
        <v>9</v>
      </c>
    </row>
    <row r="17" spans="1:58" ht="21" x14ac:dyDescent="0.25">
      <c r="A17" s="39" t="s">
        <v>296</v>
      </c>
      <c r="B17" s="33" t="str">
        <f>VLOOKUP(A17,Лист1!B:C,2,0)</f>
        <v>Применяет современные коммуникативные технологии для профессионального взаимодействия на иностранном(ых) языке(ах)</v>
      </c>
      <c r="C17" s="31" t="str">
        <f>IFERROR(SEARCH($A17,C$3),"")</f>
        <v/>
      </c>
      <c r="D17" s="31" t="str">
        <f t="shared" si="8"/>
        <v/>
      </c>
      <c r="E17" s="40">
        <v>9</v>
      </c>
      <c r="F17" s="31" t="str">
        <f t="shared" si="8"/>
        <v/>
      </c>
      <c r="G17" s="31" t="str">
        <f t="shared" si="8"/>
        <v/>
      </c>
      <c r="H17" s="31" t="str">
        <f t="shared" si="8"/>
        <v/>
      </c>
      <c r="I17" s="31" t="str">
        <f t="shared" si="8"/>
        <v/>
      </c>
      <c r="J17" s="31" t="str">
        <f t="shared" si="8"/>
        <v/>
      </c>
      <c r="K17" s="31" t="str">
        <f t="shared" si="8"/>
        <v/>
      </c>
      <c r="L17" s="31" t="str">
        <f t="shared" si="8"/>
        <v/>
      </c>
      <c r="M17" s="31" t="str">
        <f t="shared" si="8"/>
        <v/>
      </c>
      <c r="N17" s="31" t="str">
        <f t="shared" si="8"/>
        <v/>
      </c>
      <c r="O17" s="31" t="str">
        <f t="shared" si="8"/>
        <v/>
      </c>
      <c r="P17" s="31" t="str">
        <f t="shared" si="8"/>
        <v/>
      </c>
      <c r="Q17" s="31" t="str">
        <f t="shared" si="8"/>
        <v/>
      </c>
      <c r="R17" s="31" t="str">
        <f t="shared" si="8"/>
        <v/>
      </c>
      <c r="S17" s="31" t="str">
        <f t="shared" si="8"/>
        <v/>
      </c>
      <c r="T17" s="31" t="str">
        <f t="shared" si="8"/>
        <v/>
      </c>
      <c r="U17" s="31" t="str">
        <f t="shared" si="8"/>
        <v/>
      </c>
      <c r="V17" s="31" t="str">
        <f t="shared" si="8"/>
        <v/>
      </c>
      <c r="W17" s="31" t="str">
        <f t="shared" si="8"/>
        <v/>
      </c>
      <c r="X17" s="31" t="str">
        <f t="shared" si="8"/>
        <v/>
      </c>
      <c r="Y17" s="31" t="str">
        <f t="shared" si="8"/>
        <v/>
      </c>
      <c r="Z17" s="31" t="str">
        <f t="shared" si="8"/>
        <v/>
      </c>
      <c r="AA17" s="31" t="str">
        <f t="shared" si="8"/>
        <v/>
      </c>
      <c r="AB17" s="31" t="str">
        <f t="shared" si="8"/>
        <v/>
      </c>
      <c r="AC17" s="31" t="str">
        <f t="shared" si="8"/>
        <v/>
      </c>
      <c r="AD17" s="31" t="str">
        <f t="shared" si="8"/>
        <v/>
      </c>
      <c r="AE17" s="31" t="str">
        <f t="shared" si="8"/>
        <v/>
      </c>
      <c r="AF17" s="31" t="str">
        <f t="shared" si="8"/>
        <v/>
      </c>
      <c r="AG17" s="31" t="str">
        <f t="shared" si="8"/>
        <v/>
      </c>
      <c r="AH17" s="31" t="str">
        <f t="shared" si="8"/>
        <v/>
      </c>
      <c r="AI17" s="31" t="str">
        <f t="shared" si="8"/>
        <v/>
      </c>
      <c r="AJ17" s="31" t="str">
        <f t="shared" si="8"/>
        <v/>
      </c>
      <c r="AK17" s="31" t="str">
        <f t="shared" si="8"/>
        <v/>
      </c>
      <c r="AL17" s="31" t="str">
        <f t="shared" si="8"/>
        <v/>
      </c>
      <c r="AM17" s="31" t="str">
        <f t="shared" si="8"/>
        <v/>
      </c>
      <c r="AN17" s="31" t="str">
        <f t="shared" si="8"/>
        <v/>
      </c>
      <c r="AO17" s="31" t="str">
        <f t="shared" si="8"/>
        <v/>
      </c>
      <c r="AP17" s="31" t="str">
        <f t="shared" si="8"/>
        <v/>
      </c>
      <c r="AQ17" s="31" t="str">
        <f t="shared" si="8"/>
        <v/>
      </c>
      <c r="AR17" s="31" t="str">
        <f t="shared" si="8"/>
        <v/>
      </c>
      <c r="AS17" s="31" t="str">
        <f t="shared" si="8"/>
        <v/>
      </c>
      <c r="AT17" s="31" t="str">
        <f t="shared" si="8"/>
        <v/>
      </c>
      <c r="AU17" s="31" t="str">
        <f t="shared" si="8"/>
        <v/>
      </c>
      <c r="AV17" s="31" t="str">
        <f t="shared" si="8"/>
        <v/>
      </c>
      <c r="AW17" s="31" t="str">
        <f t="shared" si="8"/>
        <v/>
      </c>
      <c r="AX17" s="31" t="str">
        <f t="shared" si="8"/>
        <v/>
      </c>
      <c r="AY17" s="31" t="str">
        <f t="shared" si="8"/>
        <v/>
      </c>
      <c r="AZ17" s="31" t="str">
        <f t="shared" si="8"/>
        <v/>
      </c>
      <c r="BA17" s="31" t="str">
        <f t="shared" si="8"/>
        <v/>
      </c>
      <c r="BB17" s="31">
        <f t="shared" si="2"/>
        <v>9</v>
      </c>
      <c r="BC17" s="31" t="str">
        <f t="shared" si="8"/>
        <v/>
      </c>
      <c r="BD17" s="31" t="str">
        <f t="shared" si="8"/>
        <v/>
      </c>
      <c r="BE17" s="31">
        <f t="shared" si="3"/>
        <v>0</v>
      </c>
      <c r="BF17" s="31">
        <f t="shared" si="4"/>
        <v>9</v>
      </c>
    </row>
    <row r="18" spans="1:58" s="38" customFormat="1" ht="21" x14ac:dyDescent="0.25">
      <c r="A18" s="36" t="s">
        <v>70</v>
      </c>
      <c r="B18" s="36" t="str">
        <f>VLOOKUP(A18,Лист1!B:C,2,0)</f>
        <v>Способен воспринимать межкультурное разнообразие общества в социально-историческом, этическом и философском контекстах</v>
      </c>
      <c r="C18" s="37" t="str">
        <f t="shared" si="5"/>
        <v/>
      </c>
      <c r="D18" s="37">
        <v>18</v>
      </c>
      <c r="E18" s="37" t="str">
        <f t="shared" si="5"/>
        <v/>
      </c>
      <c r="F18" s="37" t="str">
        <f t="shared" si="5"/>
        <v/>
      </c>
      <c r="G18" s="37" t="str">
        <f t="shared" si="5"/>
        <v/>
      </c>
      <c r="H18" s="37" t="str">
        <f t="shared" si="5"/>
        <v/>
      </c>
      <c r="I18" s="37" t="str">
        <f t="shared" si="5"/>
        <v/>
      </c>
      <c r="J18" s="37">
        <v>18</v>
      </c>
      <c r="K18" s="37" t="str">
        <f t="shared" si="0"/>
        <v/>
      </c>
      <c r="L18" s="37" t="str">
        <f t="shared" si="0"/>
        <v/>
      </c>
      <c r="M18" s="37" t="str">
        <f t="shared" si="0"/>
        <v/>
      </c>
      <c r="N18" s="37" t="str">
        <f t="shared" si="0"/>
        <v/>
      </c>
      <c r="O18" s="37" t="str">
        <f t="shared" si="0"/>
        <v/>
      </c>
      <c r="P18" s="37" t="str">
        <f t="shared" si="0"/>
        <v/>
      </c>
      <c r="Q18" s="37" t="str">
        <f t="shared" si="0"/>
        <v/>
      </c>
      <c r="R18" s="37" t="str">
        <f t="shared" si="0"/>
        <v/>
      </c>
      <c r="S18" s="37" t="str">
        <f t="shared" si="0"/>
        <v/>
      </c>
      <c r="T18" s="37" t="str">
        <f t="shared" si="0"/>
        <v/>
      </c>
      <c r="U18" s="37" t="str">
        <f t="shared" si="0"/>
        <v/>
      </c>
      <c r="V18" s="37" t="str">
        <f t="shared" si="0"/>
        <v/>
      </c>
      <c r="W18" s="37" t="str">
        <f t="shared" si="0"/>
        <v/>
      </c>
      <c r="X18" s="37" t="str">
        <f t="shared" si="0"/>
        <v/>
      </c>
      <c r="Y18" s="37" t="str">
        <f t="shared" si="0"/>
        <v/>
      </c>
      <c r="Z18" s="37" t="str">
        <f t="shared" si="0"/>
        <v/>
      </c>
      <c r="AA18" s="37" t="str">
        <f t="shared" si="0"/>
        <v/>
      </c>
      <c r="AB18" s="37" t="str">
        <f t="shared" si="0"/>
        <v/>
      </c>
      <c r="AC18" s="37">
        <v>4</v>
      </c>
      <c r="AD18" s="37" t="str">
        <f t="shared" si="0"/>
        <v/>
      </c>
      <c r="AE18" s="37" t="str">
        <f t="shared" si="0"/>
        <v/>
      </c>
      <c r="AF18" s="37" t="str">
        <f t="shared" si="0"/>
        <v/>
      </c>
      <c r="AG18" s="37" t="str">
        <f t="shared" si="0"/>
        <v/>
      </c>
      <c r="AH18" s="37" t="str">
        <f t="shared" si="0"/>
        <v/>
      </c>
      <c r="AI18" s="37" t="str">
        <f t="shared" si="0"/>
        <v/>
      </c>
      <c r="AJ18" s="37" t="str">
        <f t="shared" si="0"/>
        <v/>
      </c>
      <c r="AK18" s="37" t="str">
        <f t="shared" si="0"/>
        <v/>
      </c>
      <c r="AL18" s="37" t="str">
        <f t="shared" si="0"/>
        <v/>
      </c>
      <c r="AM18" s="37" t="str">
        <f t="shared" si="0"/>
        <v/>
      </c>
      <c r="AN18" s="37" t="str">
        <f t="shared" si="0"/>
        <v/>
      </c>
      <c r="AO18" s="37" t="str">
        <f t="shared" si="0"/>
        <v/>
      </c>
      <c r="AP18" s="37" t="str">
        <f t="shared" si="0"/>
        <v/>
      </c>
      <c r="AQ18" s="37" t="str">
        <f t="shared" si="0"/>
        <v/>
      </c>
      <c r="AR18" s="37" t="str">
        <f t="shared" si="0"/>
        <v/>
      </c>
      <c r="AS18" s="37" t="str">
        <f t="shared" si="0"/>
        <v/>
      </c>
      <c r="AT18" s="37" t="str">
        <f t="shared" si="0"/>
        <v/>
      </c>
      <c r="AU18" s="37" t="str">
        <f t="shared" si="0"/>
        <v/>
      </c>
      <c r="AV18" s="37" t="str">
        <f t="shared" si="0"/>
        <v/>
      </c>
      <c r="AW18" s="37" t="str">
        <f t="shared" si="0"/>
        <v/>
      </c>
      <c r="AX18" s="37" t="str">
        <f t="shared" si="0"/>
        <v/>
      </c>
      <c r="AY18" s="37" t="str">
        <f t="shared" si="0"/>
        <v/>
      </c>
      <c r="AZ18" s="37" t="str">
        <f t="shared" si="0"/>
        <v/>
      </c>
      <c r="BA18" s="37" t="str">
        <f t="shared" si="0"/>
        <v/>
      </c>
      <c r="BB18" s="37">
        <f t="shared" si="2"/>
        <v>40</v>
      </c>
      <c r="BC18" s="37">
        <v>18</v>
      </c>
      <c r="BD18" s="37" t="str">
        <f>IFERROR(SEARCH(_xlfn.CONCAT(" ",$A18),#REF!),"")</f>
        <v/>
      </c>
      <c r="BE18" s="37">
        <f t="shared" si="3"/>
        <v>18</v>
      </c>
      <c r="BF18" s="37">
        <f t="shared" si="4"/>
        <v>58</v>
      </c>
    </row>
    <row r="19" spans="1:58" ht="31.5" x14ac:dyDescent="0.25">
      <c r="A19" s="39" t="s">
        <v>72</v>
      </c>
      <c r="B19" s="33" t="str">
        <f>VLOOKUP(A19,Лист1!B:C,2,0)</f>
        <v xml:space="preserve">Анализирует идеологические и ценностные системы в контексте исторического развития общества, обосновывает актуальность их использования при социальном и профессиональном взаимодействии </v>
      </c>
      <c r="C19" s="31" t="str">
        <f>IFERROR(SEARCH($A19,C$3),"")</f>
        <v/>
      </c>
      <c r="D19" s="40">
        <v>9</v>
      </c>
      <c r="E19" s="31" t="str">
        <f t="shared" ref="D19:BD21" si="9">IFERROR(SEARCH($A19,E$3),"")</f>
        <v/>
      </c>
      <c r="F19" s="31" t="str">
        <f t="shared" si="9"/>
        <v/>
      </c>
      <c r="G19" s="31" t="str">
        <f t="shared" si="9"/>
        <v/>
      </c>
      <c r="H19" s="31" t="str">
        <f t="shared" si="9"/>
        <v/>
      </c>
      <c r="I19" s="31" t="str">
        <f t="shared" si="9"/>
        <v/>
      </c>
      <c r="J19" s="31" t="str">
        <f t="shared" si="9"/>
        <v/>
      </c>
      <c r="K19" s="31" t="str">
        <f t="shared" si="9"/>
        <v/>
      </c>
      <c r="L19" s="31" t="str">
        <f t="shared" si="9"/>
        <v/>
      </c>
      <c r="M19" s="31" t="str">
        <f t="shared" si="9"/>
        <v/>
      </c>
      <c r="N19" s="31" t="str">
        <f t="shared" si="9"/>
        <v/>
      </c>
      <c r="O19" s="31" t="str">
        <f t="shared" si="9"/>
        <v/>
      </c>
      <c r="P19" s="31" t="str">
        <f t="shared" si="9"/>
        <v/>
      </c>
      <c r="Q19" s="31" t="str">
        <f t="shared" si="9"/>
        <v/>
      </c>
      <c r="R19" s="31" t="str">
        <f t="shared" si="9"/>
        <v/>
      </c>
      <c r="S19" s="31" t="str">
        <f t="shared" si="9"/>
        <v/>
      </c>
      <c r="T19" s="31" t="str">
        <f t="shared" si="9"/>
        <v/>
      </c>
      <c r="U19" s="31" t="str">
        <f t="shared" si="9"/>
        <v/>
      </c>
      <c r="V19" s="31" t="str">
        <f t="shared" si="9"/>
        <v/>
      </c>
      <c r="W19" s="31" t="str">
        <f t="shared" si="9"/>
        <v/>
      </c>
      <c r="X19" s="31" t="str">
        <f t="shared" si="9"/>
        <v/>
      </c>
      <c r="Y19" s="31" t="str">
        <f t="shared" si="9"/>
        <v/>
      </c>
      <c r="Z19" s="31" t="str">
        <f t="shared" si="9"/>
        <v/>
      </c>
      <c r="AA19" s="31" t="str">
        <f t="shared" si="9"/>
        <v/>
      </c>
      <c r="AB19" s="31" t="str">
        <f t="shared" si="9"/>
        <v/>
      </c>
      <c r="AC19" s="40">
        <v>2</v>
      </c>
      <c r="AD19" s="31" t="str">
        <f t="shared" si="9"/>
        <v/>
      </c>
      <c r="AE19" s="31" t="str">
        <f t="shared" si="9"/>
        <v/>
      </c>
      <c r="AF19" s="31" t="str">
        <f t="shared" si="9"/>
        <v/>
      </c>
      <c r="AG19" s="31" t="str">
        <f t="shared" si="9"/>
        <v/>
      </c>
      <c r="AH19" s="31" t="str">
        <f t="shared" si="9"/>
        <v/>
      </c>
      <c r="AI19" s="31" t="str">
        <f t="shared" si="9"/>
        <v/>
      </c>
      <c r="AJ19" s="31" t="str">
        <f t="shared" si="9"/>
        <v/>
      </c>
      <c r="AK19" s="31" t="str">
        <f t="shared" si="9"/>
        <v/>
      </c>
      <c r="AL19" s="31" t="str">
        <f t="shared" si="9"/>
        <v/>
      </c>
      <c r="AM19" s="31" t="str">
        <f t="shared" si="9"/>
        <v/>
      </c>
      <c r="AN19" s="31" t="str">
        <f t="shared" si="9"/>
        <v/>
      </c>
      <c r="AO19" s="31" t="str">
        <f t="shared" si="9"/>
        <v/>
      </c>
      <c r="AP19" s="31" t="str">
        <f t="shared" si="9"/>
        <v/>
      </c>
      <c r="AQ19" s="31" t="str">
        <f t="shared" si="9"/>
        <v/>
      </c>
      <c r="AR19" s="31" t="str">
        <f t="shared" si="9"/>
        <v/>
      </c>
      <c r="AS19" s="31" t="str">
        <f t="shared" si="9"/>
        <v/>
      </c>
      <c r="AT19" s="31" t="str">
        <f t="shared" si="9"/>
        <v/>
      </c>
      <c r="AU19" s="31" t="str">
        <f t="shared" si="9"/>
        <v/>
      </c>
      <c r="AV19" s="31" t="str">
        <f t="shared" si="9"/>
        <v/>
      </c>
      <c r="AW19" s="31" t="str">
        <f t="shared" si="9"/>
        <v/>
      </c>
      <c r="AX19" s="31" t="str">
        <f t="shared" si="9"/>
        <v/>
      </c>
      <c r="AY19" s="31" t="str">
        <f t="shared" si="9"/>
        <v/>
      </c>
      <c r="AZ19" s="31" t="str">
        <f t="shared" si="9"/>
        <v/>
      </c>
      <c r="BA19" s="31" t="str">
        <f t="shared" si="9"/>
        <v/>
      </c>
      <c r="BB19" s="31">
        <f t="shared" si="2"/>
        <v>11</v>
      </c>
      <c r="BC19" s="31" t="str">
        <f t="shared" si="9"/>
        <v/>
      </c>
      <c r="BD19" s="31" t="str">
        <f t="shared" si="9"/>
        <v/>
      </c>
      <c r="BE19" s="31">
        <f t="shared" si="3"/>
        <v>0</v>
      </c>
      <c r="BF19" s="31">
        <f t="shared" si="4"/>
        <v>11</v>
      </c>
    </row>
    <row r="20" spans="1:58" ht="21" x14ac:dyDescent="0.25">
      <c r="A20" s="39" t="s">
        <v>300</v>
      </c>
      <c r="B20" s="33" t="str">
        <f>VLOOKUP(A20,Лист1!B:C,2,0)</f>
        <v>Выявляет современные тенденции исторического развития России с учетом геополитической обстановки</v>
      </c>
      <c r="C20" s="31" t="str">
        <f>IFERROR(SEARCH($A20,C$3),"")</f>
        <v/>
      </c>
      <c r="D20" s="40">
        <f t="shared" si="9"/>
        <v>9</v>
      </c>
      <c r="E20" s="31" t="str">
        <f t="shared" si="9"/>
        <v/>
      </c>
      <c r="F20" s="31" t="str">
        <f t="shared" si="9"/>
        <v/>
      </c>
      <c r="G20" s="31" t="str">
        <f t="shared" si="9"/>
        <v/>
      </c>
      <c r="H20" s="31" t="str">
        <f t="shared" si="9"/>
        <v/>
      </c>
      <c r="I20" s="31" t="str">
        <f t="shared" si="9"/>
        <v/>
      </c>
      <c r="J20" s="31" t="str">
        <f t="shared" si="9"/>
        <v/>
      </c>
      <c r="K20" s="31" t="str">
        <f t="shared" si="9"/>
        <v/>
      </c>
      <c r="L20" s="31" t="str">
        <f t="shared" si="9"/>
        <v/>
      </c>
      <c r="M20" s="31" t="str">
        <f t="shared" si="9"/>
        <v/>
      </c>
      <c r="N20" s="31" t="str">
        <f t="shared" si="9"/>
        <v/>
      </c>
      <c r="O20" s="31" t="str">
        <f t="shared" si="9"/>
        <v/>
      </c>
      <c r="P20" s="31" t="str">
        <f t="shared" si="9"/>
        <v/>
      </c>
      <c r="Q20" s="31" t="str">
        <f t="shared" si="9"/>
        <v/>
      </c>
      <c r="R20" s="31" t="str">
        <f t="shared" si="9"/>
        <v/>
      </c>
      <c r="S20" s="31" t="str">
        <f t="shared" si="9"/>
        <v/>
      </c>
      <c r="T20" s="31" t="str">
        <f t="shared" si="9"/>
        <v/>
      </c>
      <c r="U20" s="31" t="str">
        <f t="shared" si="9"/>
        <v/>
      </c>
      <c r="V20" s="31" t="str">
        <f t="shared" si="9"/>
        <v/>
      </c>
      <c r="W20" s="31" t="str">
        <f t="shared" si="9"/>
        <v/>
      </c>
      <c r="X20" s="31" t="str">
        <f t="shared" si="9"/>
        <v/>
      </c>
      <c r="Y20" s="31" t="str">
        <f t="shared" si="9"/>
        <v/>
      </c>
      <c r="Z20" s="31" t="str">
        <f t="shared" si="9"/>
        <v/>
      </c>
      <c r="AA20" s="31" t="str">
        <f t="shared" si="9"/>
        <v/>
      </c>
      <c r="AB20" s="31" t="str">
        <f t="shared" si="9"/>
        <v/>
      </c>
      <c r="AC20" s="40">
        <v>2</v>
      </c>
      <c r="AD20" s="31" t="str">
        <f t="shared" si="9"/>
        <v/>
      </c>
      <c r="AE20" s="31" t="str">
        <f t="shared" si="9"/>
        <v/>
      </c>
      <c r="AF20" s="31" t="str">
        <f t="shared" si="9"/>
        <v/>
      </c>
      <c r="AG20" s="31" t="str">
        <f t="shared" si="9"/>
        <v/>
      </c>
      <c r="AH20" s="31" t="str">
        <f t="shared" si="9"/>
        <v/>
      </c>
      <c r="AI20" s="31" t="str">
        <f t="shared" si="9"/>
        <v/>
      </c>
      <c r="AJ20" s="31" t="str">
        <f t="shared" si="9"/>
        <v/>
      </c>
      <c r="AK20" s="31" t="str">
        <f t="shared" si="9"/>
        <v/>
      </c>
      <c r="AL20" s="31" t="str">
        <f t="shared" si="9"/>
        <v/>
      </c>
      <c r="AM20" s="31" t="str">
        <f t="shared" si="9"/>
        <v/>
      </c>
      <c r="AN20" s="31" t="str">
        <f t="shared" si="9"/>
        <v/>
      </c>
      <c r="AO20" s="31" t="str">
        <f t="shared" si="9"/>
        <v/>
      </c>
      <c r="AP20" s="31" t="str">
        <f t="shared" si="9"/>
        <v/>
      </c>
      <c r="AQ20" s="31" t="str">
        <f t="shared" si="9"/>
        <v/>
      </c>
      <c r="AR20" s="31" t="str">
        <f t="shared" si="9"/>
        <v/>
      </c>
      <c r="AS20" s="31" t="str">
        <f t="shared" si="9"/>
        <v/>
      </c>
      <c r="AT20" s="31" t="str">
        <f t="shared" si="9"/>
        <v/>
      </c>
      <c r="AU20" s="31" t="str">
        <f t="shared" si="9"/>
        <v/>
      </c>
      <c r="AV20" s="31" t="str">
        <f t="shared" si="9"/>
        <v/>
      </c>
      <c r="AW20" s="31" t="str">
        <f t="shared" si="9"/>
        <v/>
      </c>
      <c r="AX20" s="31" t="str">
        <f t="shared" si="9"/>
        <v/>
      </c>
      <c r="AY20" s="31" t="str">
        <f t="shared" si="9"/>
        <v/>
      </c>
      <c r="AZ20" s="31" t="str">
        <f t="shared" si="9"/>
        <v/>
      </c>
      <c r="BA20" s="31" t="str">
        <f t="shared" si="9"/>
        <v/>
      </c>
      <c r="BB20" s="31">
        <f t="shared" si="2"/>
        <v>11</v>
      </c>
      <c r="BC20" s="31" t="str">
        <f t="shared" si="9"/>
        <v/>
      </c>
      <c r="BD20" s="31" t="str">
        <f t="shared" si="9"/>
        <v/>
      </c>
      <c r="BE20" s="31">
        <f t="shared" si="3"/>
        <v>0</v>
      </c>
      <c r="BF20" s="31">
        <f t="shared" si="4"/>
        <v>11</v>
      </c>
    </row>
    <row r="21" spans="1:58" ht="42" x14ac:dyDescent="0.25">
      <c r="A21" s="39" t="s">
        <v>201</v>
      </c>
      <c r="B21" s="33" t="str">
        <f>VLOOKUP(A21,Лист1!B:C,2,0)</f>
        <v>Выстраивает социальное и профессиональное взаимодействие с учетом особенностей основных форм научного и религиозного сознания, деловой и общей культуры представителей различных социальных групп, этносов и конфессий</v>
      </c>
      <c r="C21" s="31" t="str">
        <f>IFERROR(SEARCH($A21,C$3),"")</f>
        <v/>
      </c>
      <c r="D21" s="31" t="str">
        <f t="shared" si="9"/>
        <v/>
      </c>
      <c r="E21" s="31" t="str">
        <f t="shared" si="9"/>
        <v/>
      </c>
      <c r="F21" s="31" t="str">
        <f t="shared" si="9"/>
        <v/>
      </c>
      <c r="G21" s="31" t="str">
        <f t="shared" si="9"/>
        <v/>
      </c>
      <c r="H21" s="31" t="str">
        <f t="shared" si="9"/>
        <v/>
      </c>
      <c r="I21" s="31" t="str">
        <f t="shared" si="9"/>
        <v/>
      </c>
      <c r="J21" s="40">
        <v>18</v>
      </c>
      <c r="K21" s="31" t="str">
        <f t="shared" si="9"/>
        <v/>
      </c>
      <c r="L21" s="31" t="str">
        <f t="shared" si="9"/>
        <v/>
      </c>
      <c r="M21" s="31" t="str">
        <f t="shared" si="9"/>
        <v/>
      </c>
      <c r="N21" s="31" t="str">
        <f t="shared" si="9"/>
        <v/>
      </c>
      <c r="O21" s="31" t="str">
        <f t="shared" si="9"/>
        <v/>
      </c>
      <c r="P21" s="31" t="str">
        <f t="shared" si="9"/>
        <v/>
      </c>
      <c r="Q21" s="31" t="str">
        <f t="shared" si="9"/>
        <v/>
      </c>
      <c r="R21" s="31" t="str">
        <f t="shared" si="9"/>
        <v/>
      </c>
      <c r="S21" s="31" t="str">
        <f t="shared" si="9"/>
        <v/>
      </c>
      <c r="T21" s="31" t="str">
        <f t="shared" si="9"/>
        <v/>
      </c>
      <c r="U21" s="31" t="str">
        <f t="shared" si="9"/>
        <v/>
      </c>
      <c r="V21" s="31" t="str">
        <f t="shared" si="9"/>
        <v/>
      </c>
      <c r="W21" s="31" t="str">
        <f t="shared" si="9"/>
        <v/>
      </c>
      <c r="X21" s="31" t="str">
        <f t="shared" si="9"/>
        <v/>
      </c>
      <c r="Y21" s="31" t="str">
        <f t="shared" si="9"/>
        <v/>
      </c>
      <c r="Z21" s="31" t="str">
        <f t="shared" si="9"/>
        <v/>
      </c>
      <c r="AA21" s="31" t="str">
        <f t="shared" si="9"/>
        <v/>
      </c>
      <c r="AB21" s="31" t="str">
        <f t="shared" si="9"/>
        <v/>
      </c>
      <c r="AC21" s="31" t="str">
        <f t="shared" si="9"/>
        <v/>
      </c>
      <c r="AD21" s="31" t="str">
        <f t="shared" si="9"/>
        <v/>
      </c>
      <c r="AE21" s="31" t="str">
        <f t="shared" si="9"/>
        <v/>
      </c>
      <c r="AF21" s="31" t="str">
        <f t="shared" si="9"/>
        <v/>
      </c>
      <c r="AG21" s="31" t="str">
        <f t="shared" si="9"/>
        <v/>
      </c>
      <c r="AH21" s="31" t="str">
        <f t="shared" si="9"/>
        <v/>
      </c>
      <c r="AI21" s="31" t="str">
        <f t="shared" si="9"/>
        <v/>
      </c>
      <c r="AJ21" s="31" t="str">
        <f t="shared" si="9"/>
        <v/>
      </c>
      <c r="AK21" s="31" t="str">
        <f t="shared" si="9"/>
        <v/>
      </c>
      <c r="AL21" s="31" t="str">
        <f t="shared" si="9"/>
        <v/>
      </c>
      <c r="AM21" s="31" t="str">
        <f t="shared" si="9"/>
        <v/>
      </c>
      <c r="AN21" s="31" t="str">
        <f t="shared" si="9"/>
        <v/>
      </c>
      <c r="AO21" s="31" t="str">
        <f t="shared" si="9"/>
        <v/>
      </c>
      <c r="AP21" s="31" t="str">
        <f t="shared" si="9"/>
        <v/>
      </c>
      <c r="AQ21" s="31" t="str">
        <f t="shared" si="9"/>
        <v/>
      </c>
      <c r="AR21" s="31" t="str">
        <f t="shared" si="9"/>
        <v/>
      </c>
      <c r="AS21" s="31" t="str">
        <f t="shared" si="9"/>
        <v/>
      </c>
      <c r="AT21" s="31" t="str">
        <f t="shared" si="9"/>
        <v/>
      </c>
      <c r="AU21" s="31" t="str">
        <f t="shared" si="9"/>
        <v/>
      </c>
      <c r="AV21" s="31" t="str">
        <f t="shared" si="9"/>
        <v/>
      </c>
      <c r="AW21" s="31" t="str">
        <f t="shared" si="9"/>
        <v/>
      </c>
      <c r="AX21" s="31" t="str">
        <f t="shared" si="9"/>
        <v/>
      </c>
      <c r="AY21" s="31" t="str">
        <f t="shared" si="9"/>
        <v/>
      </c>
      <c r="AZ21" s="31" t="str">
        <f t="shared" si="9"/>
        <v/>
      </c>
      <c r="BA21" s="31" t="str">
        <f t="shared" si="9"/>
        <v/>
      </c>
      <c r="BB21" s="31">
        <f t="shared" si="2"/>
        <v>18</v>
      </c>
      <c r="BC21" s="31">
        <v>18</v>
      </c>
      <c r="BD21" s="31" t="str">
        <f t="shared" si="9"/>
        <v/>
      </c>
      <c r="BE21" s="31">
        <f t="shared" si="3"/>
        <v>18</v>
      </c>
      <c r="BF21" s="31">
        <f t="shared" si="4"/>
        <v>36</v>
      </c>
    </row>
    <row r="22" spans="1:58" s="38" customFormat="1" ht="31.5" x14ac:dyDescent="0.25">
      <c r="A22" s="36" t="s">
        <v>75</v>
      </c>
      <c r="B22" s="36" t="str">
        <f>VLOOKUP(A22,Лист1!B:C,2,0)</f>
        <v>Способен управлять своим временем, выстраивать и реализовывать траекторию саморазвития на основе принципов образования в течение всей жизни</v>
      </c>
      <c r="C22" s="37" t="str">
        <f t="shared" si="5"/>
        <v/>
      </c>
      <c r="D22" s="37" t="str">
        <f t="shared" si="5"/>
        <v/>
      </c>
      <c r="E22" s="37" t="str">
        <f t="shared" si="5"/>
        <v/>
      </c>
      <c r="F22" s="37" t="str">
        <f t="shared" si="5"/>
        <v/>
      </c>
      <c r="G22" s="37" t="str">
        <f t="shared" si="5"/>
        <v/>
      </c>
      <c r="H22" s="37" t="str">
        <f t="shared" si="5"/>
        <v/>
      </c>
      <c r="I22" s="37" t="str">
        <f t="shared" si="5"/>
        <v/>
      </c>
      <c r="J22" s="37" t="str">
        <f t="shared" si="0"/>
        <v/>
      </c>
      <c r="K22" s="37">
        <v>18</v>
      </c>
      <c r="L22" s="37" t="str">
        <f t="shared" si="0"/>
        <v/>
      </c>
      <c r="M22" s="37" t="str">
        <f t="shared" si="0"/>
        <v/>
      </c>
      <c r="N22" s="37" t="str">
        <f t="shared" si="0"/>
        <v/>
      </c>
      <c r="O22" s="37" t="str">
        <f t="shared" si="0"/>
        <v/>
      </c>
      <c r="P22" s="37" t="str">
        <f t="shared" si="0"/>
        <v/>
      </c>
      <c r="Q22" s="37" t="str">
        <f t="shared" si="0"/>
        <v/>
      </c>
      <c r="R22" s="37" t="str">
        <f t="shared" si="0"/>
        <v/>
      </c>
      <c r="S22" s="37" t="str">
        <f t="shared" si="0"/>
        <v/>
      </c>
      <c r="T22" s="37" t="str">
        <f t="shared" si="0"/>
        <v/>
      </c>
      <c r="U22" s="37" t="str">
        <f t="shared" si="0"/>
        <v/>
      </c>
      <c r="V22" s="37" t="str">
        <f t="shared" si="0"/>
        <v/>
      </c>
      <c r="W22" s="37" t="str">
        <f t="shared" si="0"/>
        <v/>
      </c>
      <c r="X22" s="37" t="str">
        <f t="shared" si="0"/>
        <v/>
      </c>
      <c r="Y22" s="37" t="str">
        <f t="shared" si="0"/>
        <v/>
      </c>
      <c r="Z22" s="37" t="str">
        <f t="shared" si="0"/>
        <v/>
      </c>
      <c r="AA22" s="37" t="str">
        <f t="shared" si="0"/>
        <v/>
      </c>
      <c r="AB22" s="37" t="str">
        <f t="shared" si="0"/>
        <v/>
      </c>
      <c r="AC22" s="37" t="str">
        <f t="shared" si="0"/>
        <v/>
      </c>
      <c r="AD22" s="37" t="str">
        <f t="shared" si="0"/>
        <v/>
      </c>
      <c r="AE22" s="37" t="str">
        <f t="shared" si="0"/>
        <v/>
      </c>
      <c r="AF22" s="37" t="str">
        <f t="shared" si="0"/>
        <v/>
      </c>
      <c r="AG22" s="37" t="str">
        <f t="shared" si="0"/>
        <v/>
      </c>
      <c r="AH22" s="37" t="str">
        <f t="shared" si="0"/>
        <v/>
      </c>
      <c r="AI22" s="37" t="str">
        <f t="shared" si="0"/>
        <v/>
      </c>
      <c r="AJ22" s="37" t="str">
        <f t="shared" si="0"/>
        <v/>
      </c>
      <c r="AK22" s="37" t="str">
        <f t="shared" si="0"/>
        <v/>
      </c>
      <c r="AL22" s="37" t="str">
        <f t="shared" si="0"/>
        <v/>
      </c>
      <c r="AM22" s="37" t="str">
        <f t="shared" si="0"/>
        <v/>
      </c>
      <c r="AN22" s="37" t="str">
        <f t="shared" si="0"/>
        <v/>
      </c>
      <c r="AO22" s="37" t="str">
        <f t="shared" si="0"/>
        <v/>
      </c>
      <c r="AP22" s="37" t="str">
        <f t="shared" si="0"/>
        <v/>
      </c>
      <c r="AQ22" s="37" t="str">
        <f t="shared" si="0"/>
        <v/>
      </c>
      <c r="AR22" s="37" t="str">
        <f t="shared" si="0"/>
        <v/>
      </c>
      <c r="AS22" s="37" t="str">
        <f t="shared" si="0"/>
        <v/>
      </c>
      <c r="AT22" s="37" t="str">
        <f t="shared" si="0"/>
        <v/>
      </c>
      <c r="AU22" s="37" t="str">
        <f t="shared" si="0"/>
        <v/>
      </c>
      <c r="AV22" s="37" t="str">
        <f t="shared" ref="J22:BA42" si="10">IFERROR(IF(SEARCH($A22,AV$3)&lt;&gt;0,1,""),"")</f>
        <v/>
      </c>
      <c r="AW22" s="37" t="str">
        <f t="shared" si="10"/>
        <v/>
      </c>
      <c r="AX22" s="37" t="str">
        <f t="shared" si="10"/>
        <v/>
      </c>
      <c r="AY22" s="37" t="str">
        <f t="shared" si="10"/>
        <v/>
      </c>
      <c r="AZ22" s="37" t="str">
        <f t="shared" si="10"/>
        <v/>
      </c>
      <c r="BA22" s="37" t="str">
        <f t="shared" si="10"/>
        <v/>
      </c>
      <c r="BB22" s="37">
        <f t="shared" si="2"/>
        <v>18</v>
      </c>
      <c r="BC22" s="37" t="str">
        <f>IFERROR(SEARCH(_xlfn.CONCAT(" ",$A22),#REF!),"")</f>
        <v/>
      </c>
      <c r="BD22" s="37" t="str">
        <f>IFERROR(SEARCH(_xlfn.CONCAT(" ",$A22),#REF!),"")</f>
        <v/>
      </c>
      <c r="BE22" s="37">
        <f t="shared" si="3"/>
        <v>0</v>
      </c>
      <c r="BF22" s="37">
        <f t="shared" si="4"/>
        <v>18</v>
      </c>
    </row>
    <row r="23" spans="1:58" ht="21" x14ac:dyDescent="0.25">
      <c r="A23" s="39" t="s">
        <v>304</v>
      </c>
      <c r="B23" s="33" t="str">
        <f>VLOOKUP(A23,Лист1!B:C,2,0)</f>
        <v>Определяет цели и задачи саморазвития и профессионального роста на основе оценки временных и личностных ресурсов</v>
      </c>
      <c r="C23" s="31" t="str">
        <f>IFERROR(SEARCH($A23,C$3),"")</f>
        <v/>
      </c>
      <c r="D23" s="31" t="str">
        <f t="shared" ref="D23:BD24" si="11">IFERROR(SEARCH($A23,D$3),"")</f>
        <v/>
      </c>
      <c r="E23" s="31" t="str">
        <f t="shared" si="11"/>
        <v/>
      </c>
      <c r="F23" s="31" t="str">
        <f t="shared" si="11"/>
        <v/>
      </c>
      <c r="G23" s="31" t="str">
        <f t="shared" si="11"/>
        <v/>
      </c>
      <c r="H23" s="31" t="str">
        <f t="shared" si="11"/>
        <v/>
      </c>
      <c r="I23" s="31" t="str">
        <f t="shared" si="11"/>
        <v/>
      </c>
      <c r="J23" s="31" t="str">
        <f t="shared" si="11"/>
        <v/>
      </c>
      <c r="K23" s="40">
        <v>9</v>
      </c>
      <c r="L23" s="31" t="str">
        <f t="shared" si="11"/>
        <v/>
      </c>
      <c r="M23" s="31" t="str">
        <f t="shared" si="11"/>
        <v/>
      </c>
      <c r="N23" s="31" t="str">
        <f t="shared" si="11"/>
        <v/>
      </c>
      <c r="O23" s="31" t="str">
        <f t="shared" si="11"/>
        <v/>
      </c>
      <c r="P23" s="31" t="str">
        <f t="shared" si="11"/>
        <v/>
      </c>
      <c r="Q23" s="31" t="str">
        <f t="shared" si="11"/>
        <v/>
      </c>
      <c r="R23" s="31" t="str">
        <f t="shared" si="11"/>
        <v/>
      </c>
      <c r="S23" s="31" t="str">
        <f t="shared" si="11"/>
        <v/>
      </c>
      <c r="T23" s="31" t="str">
        <f t="shared" si="11"/>
        <v/>
      </c>
      <c r="U23" s="31" t="str">
        <f t="shared" si="11"/>
        <v/>
      </c>
      <c r="V23" s="31" t="str">
        <f t="shared" si="11"/>
        <v/>
      </c>
      <c r="W23" s="31" t="str">
        <f t="shared" si="11"/>
        <v/>
      </c>
      <c r="X23" s="31" t="str">
        <f t="shared" si="11"/>
        <v/>
      </c>
      <c r="Y23" s="31" t="str">
        <f t="shared" si="11"/>
        <v/>
      </c>
      <c r="Z23" s="31" t="str">
        <f t="shared" si="11"/>
        <v/>
      </c>
      <c r="AA23" s="31" t="str">
        <f t="shared" si="11"/>
        <v/>
      </c>
      <c r="AB23" s="31" t="str">
        <f t="shared" si="11"/>
        <v/>
      </c>
      <c r="AC23" s="31" t="str">
        <f t="shared" si="11"/>
        <v/>
      </c>
      <c r="AD23" s="31" t="str">
        <f t="shared" si="11"/>
        <v/>
      </c>
      <c r="AE23" s="31" t="str">
        <f t="shared" si="11"/>
        <v/>
      </c>
      <c r="AF23" s="31" t="str">
        <f t="shared" si="11"/>
        <v/>
      </c>
      <c r="AG23" s="31" t="str">
        <f t="shared" si="11"/>
        <v/>
      </c>
      <c r="AH23" s="31" t="str">
        <f t="shared" si="11"/>
        <v/>
      </c>
      <c r="AI23" s="31" t="str">
        <f t="shared" si="11"/>
        <v/>
      </c>
      <c r="AJ23" s="31" t="str">
        <f t="shared" si="11"/>
        <v/>
      </c>
      <c r="AK23" s="31" t="str">
        <f t="shared" si="11"/>
        <v/>
      </c>
      <c r="AL23" s="31" t="str">
        <f t="shared" si="11"/>
        <v/>
      </c>
      <c r="AM23" s="31" t="str">
        <f t="shared" si="11"/>
        <v/>
      </c>
      <c r="AN23" s="31" t="str">
        <f t="shared" si="11"/>
        <v/>
      </c>
      <c r="AO23" s="31" t="str">
        <f t="shared" si="11"/>
        <v/>
      </c>
      <c r="AP23" s="31" t="str">
        <f t="shared" si="11"/>
        <v/>
      </c>
      <c r="AQ23" s="31" t="str">
        <f t="shared" si="11"/>
        <v/>
      </c>
      <c r="AR23" s="31" t="str">
        <f t="shared" si="11"/>
        <v/>
      </c>
      <c r="AS23" s="31" t="str">
        <f t="shared" si="11"/>
        <v/>
      </c>
      <c r="AT23" s="31" t="str">
        <f t="shared" si="11"/>
        <v/>
      </c>
      <c r="AU23" s="31" t="str">
        <f t="shared" si="11"/>
        <v/>
      </c>
      <c r="AV23" s="31" t="str">
        <f t="shared" si="11"/>
        <v/>
      </c>
      <c r="AW23" s="31" t="str">
        <f t="shared" si="11"/>
        <v/>
      </c>
      <c r="AX23" s="31" t="str">
        <f t="shared" si="11"/>
        <v/>
      </c>
      <c r="AY23" s="31" t="str">
        <f t="shared" si="11"/>
        <v/>
      </c>
      <c r="AZ23" s="31" t="str">
        <f t="shared" si="11"/>
        <v/>
      </c>
      <c r="BA23" s="31" t="str">
        <f t="shared" si="11"/>
        <v/>
      </c>
      <c r="BB23" s="31">
        <f t="shared" si="2"/>
        <v>9</v>
      </c>
      <c r="BC23" s="31" t="str">
        <f t="shared" si="11"/>
        <v/>
      </c>
      <c r="BD23" s="31" t="str">
        <f t="shared" si="11"/>
        <v/>
      </c>
      <c r="BE23" s="31">
        <f t="shared" si="3"/>
        <v>0</v>
      </c>
      <c r="BF23" s="31">
        <f t="shared" si="4"/>
        <v>9</v>
      </c>
    </row>
    <row r="24" spans="1:58" ht="21" x14ac:dyDescent="0.25">
      <c r="A24" s="39" t="s">
        <v>306</v>
      </c>
      <c r="B24" s="33" t="str">
        <f>VLOOKUP(A24,Лист1!B:C,2,0)</f>
        <v>Использует основные возможности и инструменты непрерывного образования (образования в течение всей жизни) для реализации траектории саморазвития</v>
      </c>
      <c r="C24" s="31" t="str">
        <f>IFERROR(SEARCH($A24,C$3),"")</f>
        <v/>
      </c>
      <c r="D24" s="31" t="str">
        <f t="shared" si="11"/>
        <v/>
      </c>
      <c r="E24" s="31" t="str">
        <f t="shared" si="11"/>
        <v/>
      </c>
      <c r="F24" s="31" t="str">
        <f t="shared" si="11"/>
        <v/>
      </c>
      <c r="G24" s="31" t="str">
        <f t="shared" si="11"/>
        <v/>
      </c>
      <c r="H24" s="31" t="str">
        <f t="shared" si="11"/>
        <v/>
      </c>
      <c r="I24" s="31" t="str">
        <f t="shared" si="11"/>
        <v/>
      </c>
      <c r="J24" s="31" t="str">
        <f t="shared" si="11"/>
        <v/>
      </c>
      <c r="K24" s="40">
        <f t="shared" si="11"/>
        <v>9</v>
      </c>
      <c r="L24" s="31" t="str">
        <f t="shared" si="11"/>
        <v/>
      </c>
      <c r="M24" s="31" t="str">
        <f t="shared" si="11"/>
        <v/>
      </c>
      <c r="N24" s="31" t="str">
        <f t="shared" si="11"/>
        <v/>
      </c>
      <c r="O24" s="31" t="str">
        <f t="shared" si="11"/>
        <v/>
      </c>
      <c r="P24" s="31" t="str">
        <f t="shared" si="11"/>
        <v/>
      </c>
      <c r="Q24" s="31" t="str">
        <f t="shared" si="11"/>
        <v/>
      </c>
      <c r="R24" s="31" t="str">
        <f t="shared" si="11"/>
        <v/>
      </c>
      <c r="S24" s="31" t="str">
        <f t="shared" si="11"/>
        <v/>
      </c>
      <c r="T24" s="31" t="str">
        <f t="shared" si="11"/>
        <v/>
      </c>
      <c r="U24" s="31" t="str">
        <f t="shared" si="11"/>
        <v/>
      </c>
      <c r="V24" s="31" t="str">
        <f t="shared" si="11"/>
        <v/>
      </c>
      <c r="W24" s="31" t="str">
        <f t="shared" si="11"/>
        <v/>
      </c>
      <c r="X24" s="31" t="str">
        <f t="shared" si="11"/>
        <v/>
      </c>
      <c r="Y24" s="31" t="str">
        <f t="shared" si="11"/>
        <v/>
      </c>
      <c r="Z24" s="31" t="str">
        <f t="shared" si="11"/>
        <v/>
      </c>
      <c r="AA24" s="31" t="str">
        <f t="shared" si="11"/>
        <v/>
      </c>
      <c r="AB24" s="31" t="str">
        <f t="shared" si="11"/>
        <v/>
      </c>
      <c r="AC24" s="31" t="str">
        <f t="shared" si="11"/>
        <v/>
      </c>
      <c r="AD24" s="31" t="str">
        <f t="shared" si="11"/>
        <v/>
      </c>
      <c r="AE24" s="31" t="str">
        <f t="shared" si="11"/>
        <v/>
      </c>
      <c r="AF24" s="31" t="str">
        <f t="shared" si="11"/>
        <v/>
      </c>
      <c r="AG24" s="31" t="str">
        <f t="shared" si="11"/>
        <v/>
      </c>
      <c r="AH24" s="31" t="str">
        <f t="shared" si="11"/>
        <v/>
      </c>
      <c r="AI24" s="31" t="str">
        <f t="shared" si="11"/>
        <v/>
      </c>
      <c r="AJ24" s="31" t="str">
        <f t="shared" si="11"/>
        <v/>
      </c>
      <c r="AK24" s="31" t="str">
        <f t="shared" si="11"/>
        <v/>
      </c>
      <c r="AL24" s="31" t="str">
        <f t="shared" si="11"/>
        <v/>
      </c>
      <c r="AM24" s="31" t="str">
        <f t="shared" si="11"/>
        <v/>
      </c>
      <c r="AN24" s="31" t="str">
        <f t="shared" si="11"/>
        <v/>
      </c>
      <c r="AO24" s="31" t="str">
        <f t="shared" si="11"/>
        <v/>
      </c>
      <c r="AP24" s="31" t="str">
        <f t="shared" si="11"/>
        <v/>
      </c>
      <c r="AQ24" s="31" t="str">
        <f t="shared" si="11"/>
        <v/>
      </c>
      <c r="AR24" s="31" t="str">
        <f t="shared" si="11"/>
        <v/>
      </c>
      <c r="AS24" s="31" t="str">
        <f t="shared" si="11"/>
        <v/>
      </c>
      <c r="AT24" s="31" t="str">
        <f t="shared" si="11"/>
        <v/>
      </c>
      <c r="AU24" s="31" t="str">
        <f t="shared" si="11"/>
        <v/>
      </c>
      <c r="AV24" s="31" t="str">
        <f t="shared" si="11"/>
        <v/>
      </c>
      <c r="AW24" s="31" t="str">
        <f t="shared" si="11"/>
        <v/>
      </c>
      <c r="AX24" s="31" t="str">
        <f t="shared" si="11"/>
        <v/>
      </c>
      <c r="AY24" s="31" t="str">
        <f t="shared" si="11"/>
        <v/>
      </c>
      <c r="AZ24" s="31" t="str">
        <f t="shared" si="11"/>
        <v/>
      </c>
      <c r="BA24" s="31" t="str">
        <f t="shared" si="11"/>
        <v/>
      </c>
      <c r="BB24" s="31">
        <f t="shared" si="2"/>
        <v>9</v>
      </c>
      <c r="BC24" s="31" t="str">
        <f t="shared" si="11"/>
        <v/>
      </c>
      <c r="BD24" s="31" t="str">
        <f t="shared" si="11"/>
        <v/>
      </c>
      <c r="BE24" s="31">
        <f t="shared" si="3"/>
        <v>0</v>
      </c>
      <c r="BF24" s="31">
        <f t="shared" si="4"/>
        <v>9</v>
      </c>
    </row>
    <row r="25" spans="1:58" s="38" customFormat="1" ht="31.5" x14ac:dyDescent="0.25">
      <c r="A25" s="36" t="s">
        <v>270</v>
      </c>
      <c r="B25" s="36" t="str">
        <f>VLOOKUP(A25,Лист1!B:C,2,0)</f>
        <v>Способен поддерживать должный уровень физической подготовленности для обеспечения полноценной социальной и профессиональной деятельности</v>
      </c>
      <c r="C25" s="37" t="str">
        <f t="shared" si="5"/>
        <v/>
      </c>
      <c r="D25" s="37" t="str">
        <f t="shared" si="5"/>
        <v/>
      </c>
      <c r="E25" s="37" t="str">
        <f t="shared" si="5"/>
        <v/>
      </c>
      <c r="F25" s="37" t="str">
        <f t="shared" si="5"/>
        <v/>
      </c>
      <c r="G25" s="37">
        <v>18</v>
      </c>
      <c r="H25" s="37" t="str">
        <f t="shared" si="5"/>
        <v/>
      </c>
      <c r="I25" s="37" t="str">
        <f t="shared" si="5"/>
        <v/>
      </c>
      <c r="J25" s="37" t="str">
        <f t="shared" si="10"/>
        <v/>
      </c>
      <c r="K25" s="37" t="str">
        <f t="shared" si="10"/>
        <v/>
      </c>
      <c r="L25" s="37" t="str">
        <f t="shared" si="10"/>
        <v/>
      </c>
      <c r="M25" s="37" t="str">
        <f t="shared" si="10"/>
        <v/>
      </c>
      <c r="N25" s="37" t="str">
        <f t="shared" si="10"/>
        <v/>
      </c>
      <c r="O25" s="37" t="str">
        <f t="shared" si="10"/>
        <v/>
      </c>
      <c r="P25" s="37" t="str">
        <f t="shared" si="10"/>
        <v/>
      </c>
      <c r="Q25" s="37" t="str">
        <f t="shared" si="10"/>
        <v/>
      </c>
      <c r="R25" s="37" t="str">
        <f t="shared" si="10"/>
        <v/>
      </c>
      <c r="S25" s="37" t="str">
        <f t="shared" si="10"/>
        <v/>
      </c>
      <c r="T25" s="37" t="str">
        <f t="shared" si="10"/>
        <v/>
      </c>
      <c r="U25" s="37" t="str">
        <f t="shared" si="10"/>
        <v/>
      </c>
      <c r="V25" s="37" t="str">
        <f t="shared" si="10"/>
        <v/>
      </c>
      <c r="W25" s="37" t="str">
        <f t="shared" si="10"/>
        <v/>
      </c>
      <c r="X25" s="37" t="str">
        <f t="shared" si="10"/>
        <v/>
      </c>
      <c r="Y25" s="37" t="str">
        <f t="shared" si="10"/>
        <v/>
      </c>
      <c r="Z25" s="37" t="str">
        <f t="shared" si="10"/>
        <v/>
      </c>
      <c r="AA25" s="37" t="str">
        <f t="shared" si="10"/>
        <v/>
      </c>
      <c r="AB25" s="37" t="str">
        <f t="shared" si="10"/>
        <v/>
      </c>
      <c r="AC25" s="37" t="str">
        <f t="shared" si="10"/>
        <v/>
      </c>
      <c r="AD25" s="37">
        <v>18</v>
      </c>
      <c r="AE25" s="37" t="str">
        <f t="shared" si="10"/>
        <v/>
      </c>
      <c r="AF25" s="37" t="str">
        <f t="shared" si="10"/>
        <v/>
      </c>
      <c r="AG25" s="37" t="str">
        <f t="shared" si="10"/>
        <v/>
      </c>
      <c r="AH25" s="37" t="str">
        <f t="shared" si="10"/>
        <v/>
      </c>
      <c r="AI25" s="37" t="str">
        <f t="shared" si="10"/>
        <v/>
      </c>
      <c r="AJ25" s="37" t="str">
        <f t="shared" si="10"/>
        <v/>
      </c>
      <c r="AK25" s="37" t="str">
        <f t="shared" si="10"/>
        <v/>
      </c>
      <c r="AL25" s="37" t="str">
        <f t="shared" si="10"/>
        <v/>
      </c>
      <c r="AM25" s="37" t="str">
        <f t="shared" si="10"/>
        <v/>
      </c>
      <c r="AN25" s="37" t="str">
        <f t="shared" si="10"/>
        <v/>
      </c>
      <c r="AO25" s="37" t="str">
        <f t="shared" si="10"/>
        <v/>
      </c>
      <c r="AP25" s="37" t="str">
        <f t="shared" si="10"/>
        <v/>
      </c>
      <c r="AQ25" s="37" t="str">
        <f t="shared" si="10"/>
        <v/>
      </c>
      <c r="AR25" s="37" t="str">
        <f t="shared" si="10"/>
        <v/>
      </c>
      <c r="AS25" s="37" t="str">
        <f t="shared" si="10"/>
        <v/>
      </c>
      <c r="AT25" s="37" t="str">
        <f t="shared" si="10"/>
        <v/>
      </c>
      <c r="AU25" s="37" t="str">
        <f t="shared" si="10"/>
        <v/>
      </c>
      <c r="AV25" s="37" t="str">
        <f t="shared" si="10"/>
        <v/>
      </c>
      <c r="AW25" s="37" t="str">
        <f t="shared" si="10"/>
        <v/>
      </c>
      <c r="AX25" s="37" t="str">
        <f t="shared" si="10"/>
        <v/>
      </c>
      <c r="AY25" s="37" t="str">
        <f t="shared" si="10"/>
        <v/>
      </c>
      <c r="AZ25" s="37" t="str">
        <f t="shared" si="10"/>
        <v/>
      </c>
      <c r="BA25" s="37" t="str">
        <f t="shared" si="10"/>
        <v/>
      </c>
      <c r="BB25" s="37">
        <f t="shared" si="2"/>
        <v>36</v>
      </c>
      <c r="BC25" s="37" t="s">
        <v>140</v>
      </c>
      <c r="BD25" s="37" t="s">
        <v>140</v>
      </c>
      <c r="BE25" s="37">
        <f t="shared" si="3"/>
        <v>0</v>
      </c>
      <c r="BF25" s="37">
        <f t="shared" si="4"/>
        <v>36</v>
      </c>
    </row>
    <row r="26" spans="1:58" ht="31.5" x14ac:dyDescent="0.25">
      <c r="A26" s="39" t="s">
        <v>309</v>
      </c>
      <c r="B26" s="33" t="str">
        <f>VLOOKUP(A26,Лист1!B:C,2,0)</f>
        <v>Идентифицирует и анализирует социально-биологические и методические основы физического воспитания, здорового образа жизни, профессионально-прикладной физической подготовки</v>
      </c>
      <c r="C26" s="31" t="str">
        <f>IFERROR(SEARCH($A26,C$3),"")</f>
        <v/>
      </c>
      <c r="D26" s="31" t="str">
        <f t="shared" ref="D26:BD28" si="12">IFERROR(SEARCH($A26,D$3),"")</f>
        <v/>
      </c>
      <c r="E26" s="31" t="str">
        <f t="shared" si="12"/>
        <v/>
      </c>
      <c r="F26" s="31" t="str">
        <f t="shared" si="12"/>
        <v/>
      </c>
      <c r="G26" s="40">
        <v>9</v>
      </c>
      <c r="H26" s="31" t="str">
        <f t="shared" si="12"/>
        <v/>
      </c>
      <c r="I26" s="31" t="str">
        <f t="shared" si="12"/>
        <v/>
      </c>
      <c r="J26" s="31" t="str">
        <f t="shared" si="12"/>
        <v/>
      </c>
      <c r="K26" s="31" t="str">
        <f t="shared" si="12"/>
        <v/>
      </c>
      <c r="L26" s="31" t="str">
        <f t="shared" si="12"/>
        <v/>
      </c>
      <c r="M26" s="31" t="str">
        <f t="shared" si="12"/>
        <v/>
      </c>
      <c r="N26" s="31" t="str">
        <f t="shared" si="12"/>
        <v/>
      </c>
      <c r="O26" s="31" t="str">
        <f t="shared" si="12"/>
        <v/>
      </c>
      <c r="P26" s="31" t="str">
        <f t="shared" si="12"/>
        <v/>
      </c>
      <c r="Q26" s="31" t="str">
        <f t="shared" si="12"/>
        <v/>
      </c>
      <c r="R26" s="31" t="str">
        <f t="shared" si="12"/>
        <v/>
      </c>
      <c r="S26" s="31" t="str">
        <f t="shared" si="12"/>
        <v/>
      </c>
      <c r="T26" s="31" t="str">
        <f t="shared" si="12"/>
        <v/>
      </c>
      <c r="U26" s="31" t="str">
        <f t="shared" si="12"/>
        <v/>
      </c>
      <c r="V26" s="31" t="str">
        <f t="shared" si="12"/>
        <v/>
      </c>
      <c r="W26" s="31" t="str">
        <f t="shared" si="12"/>
        <v/>
      </c>
      <c r="X26" s="31" t="str">
        <f t="shared" si="12"/>
        <v/>
      </c>
      <c r="Y26" s="31" t="str">
        <f t="shared" si="12"/>
        <v/>
      </c>
      <c r="Z26" s="31" t="str">
        <f t="shared" si="12"/>
        <v/>
      </c>
      <c r="AA26" s="31" t="str">
        <f t="shared" si="12"/>
        <v/>
      </c>
      <c r="AB26" s="31" t="str">
        <f t="shared" si="12"/>
        <v/>
      </c>
      <c r="AC26" s="31" t="str">
        <f t="shared" si="12"/>
        <v/>
      </c>
      <c r="AD26" s="31" t="str">
        <f t="shared" si="12"/>
        <v/>
      </c>
      <c r="AE26" s="31" t="str">
        <f t="shared" si="12"/>
        <v/>
      </c>
      <c r="AF26" s="31" t="str">
        <f t="shared" si="12"/>
        <v/>
      </c>
      <c r="AG26" s="31" t="str">
        <f t="shared" si="12"/>
        <v/>
      </c>
      <c r="AH26" s="31" t="str">
        <f t="shared" si="12"/>
        <v/>
      </c>
      <c r="AI26" s="31" t="str">
        <f t="shared" si="12"/>
        <v/>
      </c>
      <c r="AJ26" s="31" t="str">
        <f t="shared" si="12"/>
        <v/>
      </c>
      <c r="AK26" s="31" t="str">
        <f t="shared" si="12"/>
        <v/>
      </c>
      <c r="AL26" s="31" t="str">
        <f t="shared" si="12"/>
        <v/>
      </c>
      <c r="AM26" s="31" t="str">
        <f t="shared" si="12"/>
        <v/>
      </c>
      <c r="AN26" s="31" t="str">
        <f t="shared" si="12"/>
        <v/>
      </c>
      <c r="AO26" s="31" t="str">
        <f t="shared" si="12"/>
        <v/>
      </c>
      <c r="AP26" s="31" t="str">
        <f t="shared" si="12"/>
        <v/>
      </c>
      <c r="AQ26" s="31" t="str">
        <f t="shared" si="12"/>
        <v/>
      </c>
      <c r="AR26" s="31" t="str">
        <f t="shared" si="12"/>
        <v/>
      </c>
      <c r="AS26" s="31" t="str">
        <f t="shared" si="12"/>
        <v/>
      </c>
      <c r="AT26" s="31" t="str">
        <f t="shared" si="12"/>
        <v/>
      </c>
      <c r="AU26" s="31" t="str">
        <f t="shared" si="12"/>
        <v/>
      </c>
      <c r="AV26" s="31" t="str">
        <f t="shared" si="12"/>
        <v/>
      </c>
      <c r="AW26" s="31" t="str">
        <f t="shared" si="12"/>
        <v/>
      </c>
      <c r="AX26" s="31" t="str">
        <f t="shared" si="12"/>
        <v/>
      </c>
      <c r="AY26" s="31" t="str">
        <f t="shared" si="12"/>
        <v/>
      </c>
      <c r="AZ26" s="31" t="str">
        <f t="shared" si="12"/>
        <v/>
      </c>
      <c r="BA26" s="31" t="str">
        <f t="shared" si="12"/>
        <v/>
      </c>
      <c r="BB26" s="31">
        <f t="shared" si="2"/>
        <v>9</v>
      </c>
      <c r="BC26" s="31" t="str">
        <f t="shared" si="12"/>
        <v/>
      </c>
      <c r="BD26" s="31" t="str">
        <f t="shared" si="12"/>
        <v/>
      </c>
      <c r="BE26" s="31">
        <f t="shared" si="3"/>
        <v>0</v>
      </c>
      <c r="BF26" s="31">
        <f t="shared" si="4"/>
        <v>9</v>
      </c>
    </row>
    <row r="27" spans="1:58" ht="42" x14ac:dyDescent="0.25">
      <c r="A27" s="39" t="s">
        <v>311</v>
      </c>
      <c r="B27" s="33" t="str">
        <f>VLOOKUP(A27,Лист1!B:C,2,0)</f>
        <v>Выбирает способы оценки и контроля уровня физического развития, физической и профессионально-прикладной подготовленности, показателей работоспособности и здоровья, с учетом физиологических особенностей организма</v>
      </c>
      <c r="C27" s="31" t="str">
        <f>IFERROR(SEARCH($A27,C$3),"")</f>
        <v/>
      </c>
      <c r="D27" s="31" t="str">
        <f t="shared" si="12"/>
        <v/>
      </c>
      <c r="E27" s="31" t="str">
        <f t="shared" si="12"/>
        <v/>
      </c>
      <c r="F27" s="31" t="str">
        <f t="shared" si="12"/>
        <v/>
      </c>
      <c r="G27" s="40">
        <f t="shared" si="12"/>
        <v>9</v>
      </c>
      <c r="H27" s="31" t="str">
        <f t="shared" si="12"/>
        <v/>
      </c>
      <c r="I27" s="31" t="str">
        <f t="shared" si="12"/>
        <v/>
      </c>
      <c r="J27" s="31" t="str">
        <f t="shared" si="12"/>
        <v/>
      </c>
      <c r="K27" s="31" t="str">
        <f t="shared" si="12"/>
        <v/>
      </c>
      <c r="L27" s="31" t="str">
        <f t="shared" si="12"/>
        <v/>
      </c>
      <c r="M27" s="31" t="str">
        <f t="shared" si="12"/>
        <v/>
      </c>
      <c r="N27" s="31" t="str">
        <f t="shared" si="12"/>
        <v/>
      </c>
      <c r="O27" s="31" t="str">
        <f t="shared" si="12"/>
        <v/>
      </c>
      <c r="P27" s="31" t="str">
        <f t="shared" si="12"/>
        <v/>
      </c>
      <c r="Q27" s="31" t="str">
        <f t="shared" si="12"/>
        <v/>
      </c>
      <c r="R27" s="31" t="str">
        <f t="shared" si="12"/>
        <v/>
      </c>
      <c r="S27" s="31" t="str">
        <f t="shared" si="12"/>
        <v/>
      </c>
      <c r="T27" s="31" t="str">
        <f t="shared" si="12"/>
        <v/>
      </c>
      <c r="U27" s="31" t="str">
        <f t="shared" si="12"/>
        <v/>
      </c>
      <c r="V27" s="31" t="str">
        <f t="shared" si="12"/>
        <v/>
      </c>
      <c r="W27" s="31" t="str">
        <f t="shared" si="12"/>
        <v/>
      </c>
      <c r="X27" s="31" t="str">
        <f t="shared" si="12"/>
        <v/>
      </c>
      <c r="Y27" s="31" t="str">
        <f t="shared" si="12"/>
        <v/>
      </c>
      <c r="Z27" s="31" t="str">
        <f t="shared" si="12"/>
        <v/>
      </c>
      <c r="AA27" s="31" t="str">
        <f t="shared" si="12"/>
        <v/>
      </c>
      <c r="AB27" s="31" t="str">
        <f t="shared" si="12"/>
        <v/>
      </c>
      <c r="AC27" s="31" t="str">
        <f t="shared" si="12"/>
        <v/>
      </c>
      <c r="AD27" s="31" t="str">
        <f t="shared" si="12"/>
        <v/>
      </c>
      <c r="AE27" s="31" t="str">
        <f t="shared" si="12"/>
        <v/>
      </c>
      <c r="AF27" s="31" t="str">
        <f t="shared" si="12"/>
        <v/>
      </c>
      <c r="AG27" s="31" t="str">
        <f t="shared" si="12"/>
        <v/>
      </c>
      <c r="AH27" s="31" t="str">
        <f t="shared" si="12"/>
        <v/>
      </c>
      <c r="AI27" s="31" t="str">
        <f t="shared" si="12"/>
        <v/>
      </c>
      <c r="AJ27" s="31" t="str">
        <f t="shared" si="12"/>
        <v/>
      </c>
      <c r="AK27" s="31" t="str">
        <f t="shared" si="12"/>
        <v/>
      </c>
      <c r="AL27" s="31" t="str">
        <f t="shared" si="12"/>
        <v/>
      </c>
      <c r="AM27" s="31" t="str">
        <f t="shared" si="12"/>
        <v/>
      </c>
      <c r="AN27" s="31" t="str">
        <f t="shared" si="12"/>
        <v/>
      </c>
      <c r="AO27" s="31" t="str">
        <f t="shared" si="12"/>
        <v/>
      </c>
      <c r="AP27" s="31" t="str">
        <f t="shared" si="12"/>
        <v/>
      </c>
      <c r="AQ27" s="31" t="str">
        <f t="shared" si="12"/>
        <v/>
      </c>
      <c r="AR27" s="31" t="str">
        <f t="shared" si="12"/>
        <v/>
      </c>
      <c r="AS27" s="31" t="str">
        <f t="shared" si="12"/>
        <v/>
      </c>
      <c r="AT27" s="31" t="str">
        <f t="shared" si="12"/>
        <v/>
      </c>
      <c r="AU27" s="31" t="str">
        <f t="shared" si="12"/>
        <v/>
      </c>
      <c r="AV27" s="31" t="str">
        <f t="shared" si="12"/>
        <v/>
      </c>
      <c r="AW27" s="31" t="str">
        <f t="shared" si="12"/>
        <v/>
      </c>
      <c r="AX27" s="31" t="str">
        <f t="shared" si="12"/>
        <v/>
      </c>
      <c r="AY27" s="31" t="str">
        <f t="shared" si="12"/>
        <v/>
      </c>
      <c r="AZ27" s="31" t="str">
        <f t="shared" si="12"/>
        <v/>
      </c>
      <c r="BA27" s="31" t="str">
        <f t="shared" si="12"/>
        <v/>
      </c>
      <c r="BB27" s="31">
        <f t="shared" si="2"/>
        <v>9</v>
      </c>
      <c r="BC27" s="31" t="str">
        <f t="shared" si="12"/>
        <v/>
      </c>
      <c r="BD27" s="31" t="str">
        <f t="shared" si="12"/>
        <v/>
      </c>
      <c r="BE27" s="31">
        <f t="shared" si="3"/>
        <v>0</v>
      </c>
      <c r="BF27" s="31">
        <f t="shared" si="4"/>
        <v>9</v>
      </c>
    </row>
    <row r="28" spans="1:58" ht="31.5" x14ac:dyDescent="0.25">
      <c r="A28" s="39" t="s">
        <v>219</v>
      </c>
      <c r="B28" s="33" t="str">
        <f>VLOOKUP(A28,Лист1!B:C,2,0)</f>
        <v>Соблюдает нормы здорового образа жизни, поддерживает должный уровень физической подготовленности для обеспечения полноценной социальной и профессиональной деятельности</v>
      </c>
      <c r="C28" s="31" t="str">
        <f>IFERROR(SEARCH($A28,C$3),"")</f>
        <v/>
      </c>
      <c r="D28" s="31" t="str">
        <f t="shared" si="12"/>
        <v/>
      </c>
      <c r="E28" s="31" t="str">
        <f t="shared" si="12"/>
        <v/>
      </c>
      <c r="F28" s="31" t="str">
        <f t="shared" si="12"/>
        <v/>
      </c>
      <c r="G28" s="31" t="str">
        <f t="shared" si="12"/>
        <v/>
      </c>
      <c r="H28" s="31" t="str">
        <f t="shared" si="12"/>
        <v/>
      </c>
      <c r="I28" s="31" t="str">
        <f t="shared" si="12"/>
        <v/>
      </c>
      <c r="J28" s="31" t="str">
        <f t="shared" si="12"/>
        <v/>
      </c>
      <c r="K28" s="31" t="str">
        <f t="shared" si="12"/>
        <v/>
      </c>
      <c r="L28" s="31" t="str">
        <f t="shared" si="12"/>
        <v/>
      </c>
      <c r="M28" s="31" t="str">
        <f t="shared" si="12"/>
        <v/>
      </c>
      <c r="N28" s="31" t="str">
        <f t="shared" si="12"/>
        <v/>
      </c>
      <c r="O28" s="31" t="str">
        <f t="shared" si="12"/>
        <v/>
      </c>
      <c r="P28" s="31" t="str">
        <f t="shared" si="12"/>
        <v/>
      </c>
      <c r="Q28" s="31" t="str">
        <f t="shared" si="12"/>
        <v/>
      </c>
      <c r="R28" s="31" t="str">
        <f t="shared" si="12"/>
        <v/>
      </c>
      <c r="S28" s="31" t="str">
        <f t="shared" si="12"/>
        <v/>
      </c>
      <c r="T28" s="31" t="str">
        <f t="shared" si="12"/>
        <v/>
      </c>
      <c r="U28" s="31" t="str">
        <f t="shared" si="12"/>
        <v/>
      </c>
      <c r="V28" s="31" t="str">
        <f t="shared" si="12"/>
        <v/>
      </c>
      <c r="W28" s="31" t="str">
        <f t="shared" si="12"/>
        <v/>
      </c>
      <c r="X28" s="31" t="str">
        <f t="shared" si="12"/>
        <v/>
      </c>
      <c r="Y28" s="31" t="str">
        <f t="shared" si="12"/>
        <v/>
      </c>
      <c r="Z28" s="31" t="str">
        <f t="shared" si="12"/>
        <v/>
      </c>
      <c r="AA28" s="31" t="str">
        <f t="shared" si="12"/>
        <v/>
      </c>
      <c r="AB28" s="31" t="str">
        <f t="shared" si="12"/>
        <v/>
      </c>
      <c r="AC28" s="31" t="str">
        <f t="shared" si="12"/>
        <v/>
      </c>
      <c r="AD28" s="40">
        <v>18</v>
      </c>
      <c r="AE28" s="31" t="str">
        <f t="shared" si="12"/>
        <v/>
      </c>
      <c r="AF28" s="31" t="str">
        <f t="shared" si="12"/>
        <v/>
      </c>
      <c r="AG28" s="31" t="str">
        <f t="shared" si="12"/>
        <v/>
      </c>
      <c r="AH28" s="31" t="str">
        <f t="shared" si="12"/>
        <v/>
      </c>
      <c r="AI28" s="31" t="str">
        <f t="shared" si="12"/>
        <v/>
      </c>
      <c r="AJ28" s="31" t="str">
        <f t="shared" si="12"/>
        <v/>
      </c>
      <c r="AK28" s="31" t="str">
        <f t="shared" si="12"/>
        <v/>
      </c>
      <c r="AL28" s="31" t="str">
        <f t="shared" si="12"/>
        <v/>
      </c>
      <c r="AM28" s="31" t="str">
        <f t="shared" si="12"/>
        <v/>
      </c>
      <c r="AN28" s="31" t="str">
        <f t="shared" si="12"/>
        <v/>
      </c>
      <c r="AO28" s="31" t="str">
        <f t="shared" si="12"/>
        <v/>
      </c>
      <c r="AP28" s="31" t="str">
        <f t="shared" si="12"/>
        <v/>
      </c>
      <c r="AQ28" s="31" t="str">
        <f t="shared" si="12"/>
        <v/>
      </c>
      <c r="AR28" s="31" t="str">
        <f t="shared" si="12"/>
        <v/>
      </c>
      <c r="AS28" s="31" t="str">
        <f t="shared" si="12"/>
        <v/>
      </c>
      <c r="AT28" s="31" t="str">
        <f t="shared" si="12"/>
        <v/>
      </c>
      <c r="AU28" s="31" t="str">
        <f t="shared" si="12"/>
        <v/>
      </c>
      <c r="AV28" s="31" t="str">
        <f t="shared" si="12"/>
        <v/>
      </c>
      <c r="AW28" s="31" t="str">
        <f t="shared" si="12"/>
        <v/>
      </c>
      <c r="AX28" s="31" t="str">
        <f t="shared" si="12"/>
        <v/>
      </c>
      <c r="AY28" s="31" t="str">
        <f t="shared" si="12"/>
        <v/>
      </c>
      <c r="AZ28" s="31" t="str">
        <f t="shared" si="12"/>
        <v/>
      </c>
      <c r="BA28" s="31" t="str">
        <f t="shared" si="12"/>
        <v/>
      </c>
      <c r="BB28" s="31">
        <f t="shared" si="2"/>
        <v>18</v>
      </c>
      <c r="BC28" s="31" t="str">
        <f t="shared" si="12"/>
        <v/>
      </c>
      <c r="BD28" s="31" t="str">
        <f t="shared" si="12"/>
        <v/>
      </c>
      <c r="BE28" s="31">
        <f t="shared" si="3"/>
        <v>0</v>
      </c>
      <c r="BF28" s="31">
        <f t="shared" si="4"/>
        <v>18</v>
      </c>
    </row>
    <row r="29" spans="1:58" s="38" customFormat="1" ht="52.5" x14ac:dyDescent="0.25">
      <c r="A29" s="36" t="s">
        <v>271</v>
      </c>
      <c r="B29" s="36" t="str">
        <f>VLOOKUP(A29,Лист1!B:C,2,0)</f>
        <v>Способен создавать и поддерживать в повседневной жизни и в профессиональной деятельности безопасные условия жизнедеятельности для сохранения природной среды, обеспечения устойчивого развития общества, в том числе при угрозе и возникновении чрезвычайных ситуаций и военных конфликтов</v>
      </c>
      <c r="C29" s="37" t="str">
        <f t="shared" si="5"/>
        <v/>
      </c>
      <c r="D29" s="37" t="str">
        <f t="shared" si="5"/>
        <v/>
      </c>
      <c r="E29" s="37" t="str">
        <f t="shared" si="5"/>
        <v/>
      </c>
      <c r="F29" s="37">
        <v>18</v>
      </c>
      <c r="G29" s="37" t="str">
        <f t="shared" si="5"/>
        <v/>
      </c>
      <c r="H29" s="37" t="str">
        <f t="shared" si="5"/>
        <v/>
      </c>
      <c r="I29" s="37" t="str">
        <f t="shared" si="5"/>
        <v/>
      </c>
      <c r="J29" s="37" t="str">
        <f t="shared" si="10"/>
        <v/>
      </c>
      <c r="K29" s="37" t="str">
        <f t="shared" si="10"/>
        <v/>
      </c>
      <c r="L29" s="37" t="str">
        <f t="shared" si="10"/>
        <v/>
      </c>
      <c r="M29" s="37" t="str">
        <f t="shared" si="10"/>
        <v/>
      </c>
      <c r="N29" s="37" t="str">
        <f t="shared" si="10"/>
        <v/>
      </c>
      <c r="O29" s="37" t="str">
        <f t="shared" si="10"/>
        <v/>
      </c>
      <c r="P29" s="37" t="str">
        <f t="shared" si="10"/>
        <v/>
      </c>
      <c r="Q29" s="37" t="str">
        <f t="shared" si="10"/>
        <v/>
      </c>
      <c r="R29" s="37" t="str">
        <f t="shared" si="10"/>
        <v/>
      </c>
      <c r="S29" s="37" t="str">
        <f t="shared" si="10"/>
        <v/>
      </c>
      <c r="T29" s="37" t="str">
        <f t="shared" si="10"/>
        <v/>
      </c>
      <c r="U29" s="37" t="str">
        <f t="shared" si="10"/>
        <v/>
      </c>
      <c r="V29" s="37" t="str">
        <f t="shared" si="10"/>
        <v/>
      </c>
      <c r="W29" s="37" t="str">
        <f t="shared" si="10"/>
        <v/>
      </c>
      <c r="X29" s="37" t="str">
        <f t="shared" si="10"/>
        <v/>
      </c>
      <c r="Y29" s="37" t="str">
        <f t="shared" si="10"/>
        <v/>
      </c>
      <c r="Z29" s="37" t="str">
        <f t="shared" si="10"/>
        <v/>
      </c>
      <c r="AA29" s="37" t="str">
        <f t="shared" si="10"/>
        <v/>
      </c>
      <c r="AB29" s="37" t="str">
        <f t="shared" si="10"/>
        <v/>
      </c>
      <c r="AC29" s="37" t="str">
        <f t="shared" si="10"/>
        <v/>
      </c>
      <c r="AD29" s="37" t="str">
        <f t="shared" si="10"/>
        <v/>
      </c>
      <c r="AE29" s="37" t="str">
        <f t="shared" si="10"/>
        <v/>
      </c>
      <c r="AF29" s="37" t="str">
        <f t="shared" si="10"/>
        <v/>
      </c>
      <c r="AG29" s="37" t="str">
        <f t="shared" si="10"/>
        <v/>
      </c>
      <c r="AH29" s="37" t="str">
        <f t="shared" si="10"/>
        <v/>
      </c>
      <c r="AI29" s="37" t="str">
        <f t="shared" si="10"/>
        <v/>
      </c>
      <c r="AJ29" s="37" t="str">
        <f t="shared" si="10"/>
        <v/>
      </c>
      <c r="AK29" s="37" t="str">
        <f t="shared" si="10"/>
        <v/>
      </c>
      <c r="AL29" s="37" t="str">
        <f t="shared" si="10"/>
        <v/>
      </c>
      <c r="AM29" s="37" t="str">
        <f t="shared" si="10"/>
        <v/>
      </c>
      <c r="AN29" s="37" t="str">
        <f t="shared" si="10"/>
        <v/>
      </c>
      <c r="AO29" s="37" t="str">
        <f t="shared" si="10"/>
        <v/>
      </c>
      <c r="AP29" s="37" t="str">
        <f t="shared" si="10"/>
        <v/>
      </c>
      <c r="AQ29" s="37" t="str">
        <f t="shared" si="10"/>
        <v/>
      </c>
      <c r="AR29" s="37" t="str">
        <f t="shared" si="10"/>
        <v/>
      </c>
      <c r="AS29" s="37" t="str">
        <f t="shared" si="10"/>
        <v/>
      </c>
      <c r="AT29" s="37" t="str">
        <f t="shared" si="10"/>
        <v/>
      </c>
      <c r="AU29" s="37" t="str">
        <f t="shared" si="10"/>
        <v/>
      </c>
      <c r="AV29" s="37" t="str">
        <f t="shared" si="10"/>
        <v/>
      </c>
      <c r="AW29" s="37" t="str">
        <f t="shared" si="10"/>
        <v/>
      </c>
      <c r="AX29" s="37" t="str">
        <f t="shared" si="10"/>
        <v/>
      </c>
      <c r="AY29" s="37" t="str">
        <f t="shared" si="10"/>
        <v/>
      </c>
      <c r="AZ29" s="37" t="str">
        <f t="shared" si="10"/>
        <v/>
      </c>
      <c r="BA29" s="37" t="str">
        <f t="shared" si="10"/>
        <v/>
      </c>
      <c r="BB29" s="37">
        <f t="shared" si="2"/>
        <v>18</v>
      </c>
      <c r="BC29" s="37" t="str">
        <f>IFERROR(SEARCH(_xlfn.CONCAT(" ",$A29),#REF!),"")</f>
        <v/>
      </c>
      <c r="BD29" s="37" t="str">
        <f>IFERROR(SEARCH(_xlfn.CONCAT(" ",$A29),#REF!),"")</f>
        <v/>
      </c>
      <c r="BE29" s="37">
        <f t="shared" si="3"/>
        <v>0</v>
      </c>
      <c r="BF29" s="37">
        <f t="shared" si="4"/>
        <v>18</v>
      </c>
    </row>
    <row r="30" spans="1:58" ht="31.5" x14ac:dyDescent="0.25">
      <c r="A30" s="39" t="s">
        <v>315</v>
      </c>
      <c r="B30" s="33" t="str">
        <f>VLOOKUP(A30,Лист1!B:C,2,0)</f>
        <v>Идентифицирует и анализирует факторы вредного влияния элементов среды обитания (технических средств, технологических процессов, материалов, зданий и сооружений, природных и социальных явлений)</v>
      </c>
      <c r="C30" s="31" t="str">
        <f>IFERROR(SEARCH($A30,C$3),"")</f>
        <v/>
      </c>
      <c r="D30" s="31" t="str">
        <f t="shared" ref="D30:BD32" si="13">IFERROR(SEARCH($A30,D$3),"")</f>
        <v/>
      </c>
      <c r="E30" s="31" t="str">
        <f t="shared" si="13"/>
        <v/>
      </c>
      <c r="F30" s="40">
        <v>6</v>
      </c>
      <c r="G30" s="31" t="str">
        <f t="shared" si="13"/>
        <v/>
      </c>
      <c r="H30" s="31" t="str">
        <f t="shared" si="13"/>
        <v/>
      </c>
      <c r="I30" s="31" t="str">
        <f t="shared" si="13"/>
        <v/>
      </c>
      <c r="J30" s="31" t="str">
        <f t="shared" si="13"/>
        <v/>
      </c>
      <c r="K30" s="31" t="str">
        <f t="shared" si="13"/>
        <v/>
      </c>
      <c r="L30" s="31" t="str">
        <f t="shared" si="13"/>
        <v/>
      </c>
      <c r="M30" s="31" t="str">
        <f t="shared" si="13"/>
        <v/>
      </c>
      <c r="N30" s="31" t="str">
        <f t="shared" si="13"/>
        <v/>
      </c>
      <c r="O30" s="31" t="str">
        <f t="shared" si="13"/>
        <v/>
      </c>
      <c r="P30" s="31" t="str">
        <f t="shared" si="13"/>
        <v/>
      </c>
      <c r="Q30" s="31" t="str">
        <f t="shared" si="13"/>
        <v/>
      </c>
      <c r="R30" s="31" t="str">
        <f t="shared" si="13"/>
        <v/>
      </c>
      <c r="S30" s="31" t="str">
        <f t="shared" si="13"/>
        <v/>
      </c>
      <c r="T30" s="31" t="str">
        <f t="shared" si="13"/>
        <v/>
      </c>
      <c r="U30" s="31" t="str">
        <f t="shared" si="13"/>
        <v/>
      </c>
      <c r="V30" s="31" t="str">
        <f t="shared" si="13"/>
        <v/>
      </c>
      <c r="W30" s="31" t="str">
        <f t="shared" si="13"/>
        <v/>
      </c>
      <c r="X30" s="31" t="str">
        <f t="shared" si="13"/>
        <v/>
      </c>
      <c r="Y30" s="31" t="str">
        <f t="shared" si="13"/>
        <v/>
      </c>
      <c r="Z30" s="31" t="str">
        <f t="shared" si="13"/>
        <v/>
      </c>
      <c r="AA30" s="31" t="str">
        <f t="shared" si="13"/>
        <v/>
      </c>
      <c r="AB30" s="31" t="str">
        <f t="shared" si="13"/>
        <v/>
      </c>
      <c r="AC30" s="31" t="str">
        <f t="shared" si="13"/>
        <v/>
      </c>
      <c r="AD30" s="31" t="str">
        <f t="shared" si="13"/>
        <v/>
      </c>
      <c r="AE30" s="31" t="str">
        <f t="shared" si="13"/>
        <v/>
      </c>
      <c r="AF30" s="31" t="str">
        <f t="shared" si="13"/>
        <v/>
      </c>
      <c r="AG30" s="31" t="str">
        <f t="shared" si="13"/>
        <v/>
      </c>
      <c r="AH30" s="31" t="str">
        <f t="shared" si="13"/>
        <v/>
      </c>
      <c r="AI30" s="31" t="str">
        <f t="shared" si="13"/>
        <v/>
      </c>
      <c r="AJ30" s="31" t="str">
        <f t="shared" si="13"/>
        <v/>
      </c>
      <c r="AK30" s="31" t="str">
        <f t="shared" si="13"/>
        <v/>
      </c>
      <c r="AL30" s="31" t="str">
        <f t="shared" si="13"/>
        <v/>
      </c>
      <c r="AM30" s="31" t="str">
        <f t="shared" si="13"/>
        <v/>
      </c>
      <c r="AN30" s="31" t="str">
        <f t="shared" si="13"/>
        <v/>
      </c>
      <c r="AO30" s="31" t="str">
        <f t="shared" si="13"/>
        <v/>
      </c>
      <c r="AP30" s="31" t="str">
        <f t="shared" si="13"/>
        <v/>
      </c>
      <c r="AQ30" s="31" t="str">
        <f t="shared" si="13"/>
        <v/>
      </c>
      <c r="AR30" s="31" t="str">
        <f t="shared" si="13"/>
        <v/>
      </c>
      <c r="AS30" s="31" t="str">
        <f t="shared" si="13"/>
        <v/>
      </c>
      <c r="AT30" s="31" t="str">
        <f t="shared" si="13"/>
        <v/>
      </c>
      <c r="AU30" s="31" t="str">
        <f t="shared" si="13"/>
        <v/>
      </c>
      <c r="AV30" s="31" t="str">
        <f t="shared" si="13"/>
        <v/>
      </c>
      <c r="AW30" s="31" t="str">
        <f t="shared" si="13"/>
        <v/>
      </c>
      <c r="AX30" s="31" t="str">
        <f t="shared" si="13"/>
        <v/>
      </c>
      <c r="AY30" s="31" t="str">
        <f t="shared" si="13"/>
        <v/>
      </c>
      <c r="AZ30" s="31" t="str">
        <f t="shared" si="13"/>
        <v/>
      </c>
      <c r="BA30" s="31" t="str">
        <f t="shared" si="13"/>
        <v/>
      </c>
      <c r="BB30" s="31">
        <f t="shared" si="2"/>
        <v>6</v>
      </c>
      <c r="BC30" s="31" t="str">
        <f t="shared" si="13"/>
        <v/>
      </c>
      <c r="BD30" s="31" t="str">
        <f t="shared" si="13"/>
        <v/>
      </c>
      <c r="BE30" s="31">
        <f t="shared" si="3"/>
        <v>0</v>
      </c>
      <c r="BF30" s="31">
        <f t="shared" si="4"/>
        <v>6</v>
      </c>
    </row>
    <row r="31" spans="1:58" ht="31.5" x14ac:dyDescent="0.25">
      <c r="A31" s="39" t="s">
        <v>317</v>
      </c>
      <c r="B31" s="33" t="str">
        <f>VLOOKUP(A31,Лист1!B:C,2,0)</f>
        <v>Определяет алгоритм действий по обеспечению безопасных условий жизнедеятельности при угрозе и возникновении чрезвычайных ситуаций и военных конфликтов</v>
      </c>
      <c r="C31" s="31" t="str">
        <f>IFERROR(SEARCH($A31,C$3),"")</f>
        <v/>
      </c>
      <c r="D31" s="31" t="str">
        <f t="shared" si="13"/>
        <v/>
      </c>
      <c r="E31" s="31" t="str">
        <f t="shared" si="13"/>
        <v/>
      </c>
      <c r="F31" s="40">
        <v>6</v>
      </c>
      <c r="G31" s="31" t="str">
        <f t="shared" si="13"/>
        <v/>
      </c>
      <c r="H31" s="31" t="str">
        <f t="shared" si="13"/>
        <v/>
      </c>
      <c r="I31" s="31" t="str">
        <f t="shared" si="13"/>
        <v/>
      </c>
      <c r="J31" s="31" t="str">
        <f t="shared" si="13"/>
        <v/>
      </c>
      <c r="K31" s="31" t="str">
        <f t="shared" si="13"/>
        <v/>
      </c>
      <c r="L31" s="31" t="str">
        <f t="shared" si="13"/>
        <v/>
      </c>
      <c r="M31" s="31" t="str">
        <f t="shared" si="13"/>
        <v/>
      </c>
      <c r="N31" s="31" t="str">
        <f t="shared" si="13"/>
        <v/>
      </c>
      <c r="O31" s="31" t="str">
        <f t="shared" si="13"/>
        <v/>
      </c>
      <c r="P31" s="31" t="str">
        <f t="shared" si="13"/>
        <v/>
      </c>
      <c r="Q31" s="31" t="str">
        <f t="shared" si="13"/>
        <v/>
      </c>
      <c r="R31" s="31" t="str">
        <f t="shared" si="13"/>
        <v/>
      </c>
      <c r="S31" s="31" t="str">
        <f t="shared" si="13"/>
        <v/>
      </c>
      <c r="T31" s="31" t="str">
        <f t="shared" si="13"/>
        <v/>
      </c>
      <c r="U31" s="31" t="str">
        <f t="shared" si="13"/>
        <v/>
      </c>
      <c r="V31" s="31" t="str">
        <f t="shared" si="13"/>
        <v/>
      </c>
      <c r="W31" s="31" t="str">
        <f t="shared" si="13"/>
        <v/>
      </c>
      <c r="X31" s="31" t="str">
        <f t="shared" si="13"/>
        <v/>
      </c>
      <c r="Y31" s="31" t="str">
        <f t="shared" si="13"/>
        <v/>
      </c>
      <c r="Z31" s="31" t="str">
        <f t="shared" si="13"/>
        <v/>
      </c>
      <c r="AA31" s="31" t="str">
        <f t="shared" si="13"/>
        <v/>
      </c>
      <c r="AB31" s="31" t="str">
        <f t="shared" si="13"/>
        <v/>
      </c>
      <c r="AC31" s="31" t="str">
        <f t="shared" si="13"/>
        <v/>
      </c>
      <c r="AD31" s="31" t="str">
        <f t="shared" si="13"/>
        <v/>
      </c>
      <c r="AE31" s="31" t="str">
        <f t="shared" si="13"/>
        <v/>
      </c>
      <c r="AF31" s="31" t="str">
        <f t="shared" si="13"/>
        <v/>
      </c>
      <c r="AG31" s="31" t="str">
        <f t="shared" si="13"/>
        <v/>
      </c>
      <c r="AH31" s="31" t="str">
        <f t="shared" si="13"/>
        <v/>
      </c>
      <c r="AI31" s="31" t="str">
        <f t="shared" si="13"/>
        <v/>
      </c>
      <c r="AJ31" s="31" t="str">
        <f t="shared" si="13"/>
        <v/>
      </c>
      <c r="AK31" s="31" t="str">
        <f t="shared" si="13"/>
        <v/>
      </c>
      <c r="AL31" s="31" t="str">
        <f t="shared" si="13"/>
        <v/>
      </c>
      <c r="AM31" s="31" t="str">
        <f t="shared" si="13"/>
        <v/>
      </c>
      <c r="AN31" s="31" t="str">
        <f t="shared" si="13"/>
        <v/>
      </c>
      <c r="AO31" s="31" t="str">
        <f t="shared" si="13"/>
        <v/>
      </c>
      <c r="AP31" s="31" t="str">
        <f t="shared" si="13"/>
        <v/>
      </c>
      <c r="AQ31" s="31" t="str">
        <f t="shared" si="13"/>
        <v/>
      </c>
      <c r="AR31" s="31" t="str">
        <f t="shared" si="13"/>
        <v/>
      </c>
      <c r="AS31" s="31" t="str">
        <f t="shared" si="13"/>
        <v/>
      </c>
      <c r="AT31" s="31" t="str">
        <f t="shared" si="13"/>
        <v/>
      </c>
      <c r="AU31" s="31" t="str">
        <f t="shared" si="13"/>
        <v/>
      </c>
      <c r="AV31" s="31" t="str">
        <f t="shared" si="13"/>
        <v/>
      </c>
      <c r="AW31" s="31" t="str">
        <f t="shared" si="13"/>
        <v/>
      </c>
      <c r="AX31" s="31" t="str">
        <f t="shared" si="13"/>
        <v/>
      </c>
      <c r="AY31" s="31" t="str">
        <f t="shared" si="13"/>
        <v/>
      </c>
      <c r="AZ31" s="31" t="str">
        <f t="shared" si="13"/>
        <v/>
      </c>
      <c r="BA31" s="31" t="str">
        <f t="shared" si="13"/>
        <v/>
      </c>
      <c r="BB31" s="31">
        <f t="shared" si="2"/>
        <v>6</v>
      </c>
      <c r="BC31" s="31" t="str">
        <f t="shared" si="13"/>
        <v/>
      </c>
      <c r="BD31" s="31" t="str">
        <f t="shared" si="13"/>
        <v/>
      </c>
      <c r="BE31" s="31">
        <f t="shared" si="3"/>
        <v>0</v>
      </c>
      <c r="BF31" s="31">
        <f t="shared" si="4"/>
        <v>6</v>
      </c>
    </row>
    <row r="32" spans="1:58" ht="21" x14ac:dyDescent="0.25">
      <c r="A32" s="39" t="s">
        <v>319</v>
      </c>
      <c r="B32" s="33" t="str">
        <f>VLOOKUP(A32,Лист1!B:C,2,0)</f>
        <v>Планирует мероприятия по организации безопасных условий труда на предприятии</v>
      </c>
      <c r="C32" s="31" t="str">
        <f>IFERROR(SEARCH($A32,C$3),"")</f>
        <v/>
      </c>
      <c r="D32" s="31" t="str">
        <f t="shared" si="13"/>
        <v/>
      </c>
      <c r="E32" s="31" t="str">
        <f t="shared" si="13"/>
        <v/>
      </c>
      <c r="F32" s="40">
        <v>6</v>
      </c>
      <c r="G32" s="31" t="str">
        <f t="shared" si="13"/>
        <v/>
      </c>
      <c r="H32" s="31" t="str">
        <f t="shared" si="13"/>
        <v/>
      </c>
      <c r="I32" s="31" t="str">
        <f t="shared" si="13"/>
        <v/>
      </c>
      <c r="J32" s="31" t="str">
        <f t="shared" si="13"/>
        <v/>
      </c>
      <c r="K32" s="31" t="str">
        <f t="shared" si="13"/>
        <v/>
      </c>
      <c r="L32" s="31" t="str">
        <f t="shared" si="13"/>
        <v/>
      </c>
      <c r="M32" s="31" t="str">
        <f t="shared" si="13"/>
        <v/>
      </c>
      <c r="N32" s="31" t="str">
        <f t="shared" si="13"/>
        <v/>
      </c>
      <c r="O32" s="31" t="str">
        <f t="shared" si="13"/>
        <v/>
      </c>
      <c r="P32" s="31" t="str">
        <f t="shared" si="13"/>
        <v/>
      </c>
      <c r="Q32" s="31" t="str">
        <f t="shared" si="13"/>
        <v/>
      </c>
      <c r="R32" s="31" t="str">
        <f t="shared" si="13"/>
        <v/>
      </c>
      <c r="S32" s="31" t="str">
        <f t="shared" si="13"/>
        <v/>
      </c>
      <c r="T32" s="31" t="str">
        <f t="shared" si="13"/>
        <v/>
      </c>
      <c r="U32" s="31" t="str">
        <f t="shared" si="13"/>
        <v/>
      </c>
      <c r="V32" s="31" t="str">
        <f t="shared" si="13"/>
        <v/>
      </c>
      <c r="W32" s="31" t="str">
        <f t="shared" si="13"/>
        <v/>
      </c>
      <c r="X32" s="31" t="str">
        <f t="shared" si="13"/>
        <v/>
      </c>
      <c r="Y32" s="31" t="str">
        <f t="shared" si="13"/>
        <v/>
      </c>
      <c r="Z32" s="31" t="str">
        <f t="shared" si="13"/>
        <v/>
      </c>
      <c r="AA32" s="31" t="str">
        <f t="shared" si="13"/>
        <v/>
      </c>
      <c r="AB32" s="31" t="str">
        <f t="shared" si="13"/>
        <v/>
      </c>
      <c r="AC32" s="31" t="str">
        <f t="shared" si="13"/>
        <v/>
      </c>
      <c r="AD32" s="31" t="str">
        <f t="shared" si="13"/>
        <v/>
      </c>
      <c r="AE32" s="31" t="str">
        <f t="shared" si="13"/>
        <v/>
      </c>
      <c r="AF32" s="31" t="str">
        <f t="shared" si="13"/>
        <v/>
      </c>
      <c r="AG32" s="31" t="str">
        <f t="shared" si="13"/>
        <v/>
      </c>
      <c r="AH32" s="31" t="str">
        <f t="shared" si="13"/>
        <v/>
      </c>
      <c r="AI32" s="31" t="str">
        <f t="shared" si="13"/>
        <v/>
      </c>
      <c r="AJ32" s="31" t="str">
        <f t="shared" si="13"/>
        <v/>
      </c>
      <c r="AK32" s="31" t="str">
        <f t="shared" si="13"/>
        <v/>
      </c>
      <c r="AL32" s="31" t="str">
        <f t="shared" si="13"/>
        <v/>
      </c>
      <c r="AM32" s="31" t="str">
        <f t="shared" si="13"/>
        <v/>
      </c>
      <c r="AN32" s="31" t="str">
        <f t="shared" si="13"/>
        <v/>
      </c>
      <c r="AO32" s="31" t="str">
        <f t="shared" si="13"/>
        <v/>
      </c>
      <c r="AP32" s="31" t="str">
        <f t="shared" si="13"/>
        <v/>
      </c>
      <c r="AQ32" s="31" t="str">
        <f t="shared" si="13"/>
        <v/>
      </c>
      <c r="AR32" s="31" t="str">
        <f t="shared" si="13"/>
        <v/>
      </c>
      <c r="AS32" s="31" t="str">
        <f t="shared" si="13"/>
        <v/>
      </c>
      <c r="AT32" s="31" t="str">
        <f t="shared" si="13"/>
        <v/>
      </c>
      <c r="AU32" s="31" t="str">
        <f t="shared" si="13"/>
        <v/>
      </c>
      <c r="AV32" s="31" t="str">
        <f t="shared" si="13"/>
        <v/>
      </c>
      <c r="AW32" s="31" t="str">
        <f t="shared" si="13"/>
        <v/>
      </c>
      <c r="AX32" s="31" t="str">
        <f t="shared" si="13"/>
        <v/>
      </c>
      <c r="AY32" s="31" t="str">
        <f t="shared" si="13"/>
        <v/>
      </c>
      <c r="AZ32" s="31" t="str">
        <f t="shared" si="13"/>
        <v/>
      </c>
      <c r="BA32" s="31" t="str">
        <f t="shared" si="13"/>
        <v/>
      </c>
      <c r="BB32" s="31">
        <f t="shared" si="2"/>
        <v>6</v>
      </c>
      <c r="BC32" s="31" t="str">
        <f t="shared" si="13"/>
        <v/>
      </c>
      <c r="BD32" s="31" t="str">
        <f t="shared" si="13"/>
        <v/>
      </c>
      <c r="BE32" s="31">
        <f t="shared" si="3"/>
        <v>0</v>
      </c>
      <c r="BF32" s="31">
        <f t="shared" si="4"/>
        <v>6</v>
      </c>
    </row>
    <row r="33" spans="1:58" s="38" customFormat="1" ht="21" x14ac:dyDescent="0.25">
      <c r="A33" s="36" t="s">
        <v>272</v>
      </c>
      <c r="B33" s="36" t="str">
        <f>VLOOKUP(A33,Лист1!B:C,2,0)</f>
        <v>Способен использовать базовые дефектологические знания в социальной и профессиональной сферах</v>
      </c>
      <c r="C33" s="37" t="str">
        <f t="shared" si="5"/>
        <v/>
      </c>
      <c r="D33" s="37" t="str">
        <f t="shared" si="5"/>
        <v/>
      </c>
      <c r="E33" s="37" t="str">
        <f t="shared" si="5"/>
        <v/>
      </c>
      <c r="F33" s="37" t="str">
        <f t="shared" si="5"/>
        <v/>
      </c>
      <c r="G33" s="37" t="str">
        <f t="shared" si="5"/>
        <v/>
      </c>
      <c r="H33" s="37" t="str">
        <f t="shared" si="5"/>
        <v/>
      </c>
      <c r="I33" s="37" t="str">
        <f t="shared" si="5"/>
        <v/>
      </c>
      <c r="J33" s="37" t="str">
        <f t="shared" si="10"/>
        <v/>
      </c>
      <c r="K33" s="37" t="str">
        <f t="shared" si="10"/>
        <v/>
      </c>
      <c r="L33" s="37" t="str">
        <f t="shared" si="10"/>
        <v/>
      </c>
      <c r="M33" s="37" t="str">
        <f t="shared" si="10"/>
        <v/>
      </c>
      <c r="N33" s="37" t="str">
        <f t="shared" si="10"/>
        <v/>
      </c>
      <c r="O33" s="37" t="str">
        <f t="shared" si="10"/>
        <v/>
      </c>
      <c r="P33" s="37" t="str">
        <f t="shared" si="10"/>
        <v/>
      </c>
      <c r="Q33" s="37">
        <v>18</v>
      </c>
      <c r="R33" s="37" t="str">
        <f t="shared" si="10"/>
        <v/>
      </c>
      <c r="S33" s="37" t="str">
        <f t="shared" si="10"/>
        <v/>
      </c>
      <c r="T33" s="37" t="str">
        <f t="shared" si="10"/>
        <v/>
      </c>
      <c r="U33" s="37" t="str">
        <f t="shared" si="10"/>
        <v/>
      </c>
      <c r="V33" s="37" t="str">
        <f t="shared" si="10"/>
        <v/>
      </c>
      <c r="W33" s="37" t="str">
        <f t="shared" si="10"/>
        <v/>
      </c>
      <c r="X33" s="37" t="str">
        <f t="shared" si="10"/>
        <v/>
      </c>
      <c r="Y33" s="37" t="str">
        <f t="shared" si="10"/>
        <v/>
      </c>
      <c r="Z33" s="37" t="str">
        <f t="shared" si="10"/>
        <v/>
      </c>
      <c r="AA33" s="37" t="str">
        <f t="shared" si="10"/>
        <v/>
      </c>
      <c r="AB33" s="37" t="str">
        <f t="shared" si="10"/>
        <v/>
      </c>
      <c r="AC33" s="37" t="str">
        <f t="shared" si="10"/>
        <v/>
      </c>
      <c r="AD33" s="37" t="str">
        <f t="shared" si="10"/>
        <v/>
      </c>
      <c r="AE33" s="37" t="str">
        <f t="shared" si="10"/>
        <v/>
      </c>
      <c r="AF33" s="37" t="str">
        <f t="shared" si="10"/>
        <v/>
      </c>
      <c r="AG33" s="37" t="str">
        <f t="shared" si="10"/>
        <v/>
      </c>
      <c r="AH33" s="37" t="str">
        <f t="shared" si="10"/>
        <v/>
      </c>
      <c r="AI33" s="37" t="str">
        <f t="shared" si="10"/>
        <v/>
      </c>
      <c r="AJ33" s="37" t="str">
        <f t="shared" si="10"/>
        <v/>
      </c>
      <c r="AK33" s="37" t="str">
        <f t="shared" si="10"/>
        <v/>
      </c>
      <c r="AL33" s="37" t="str">
        <f t="shared" si="10"/>
        <v/>
      </c>
      <c r="AM33" s="37" t="str">
        <f t="shared" si="10"/>
        <v/>
      </c>
      <c r="AN33" s="37" t="str">
        <f t="shared" si="10"/>
        <v/>
      </c>
      <c r="AO33" s="37" t="str">
        <f t="shared" si="10"/>
        <v/>
      </c>
      <c r="AP33" s="37" t="str">
        <f t="shared" si="10"/>
        <v/>
      </c>
      <c r="AQ33" s="37" t="str">
        <f t="shared" si="10"/>
        <v/>
      </c>
      <c r="AR33" s="37" t="str">
        <f t="shared" si="10"/>
        <v/>
      </c>
      <c r="AS33" s="37" t="str">
        <f t="shared" si="10"/>
        <v/>
      </c>
      <c r="AT33" s="37" t="str">
        <f t="shared" si="10"/>
        <v/>
      </c>
      <c r="AU33" s="37" t="str">
        <f t="shared" si="10"/>
        <v/>
      </c>
      <c r="AV33" s="37" t="str">
        <f t="shared" si="10"/>
        <v/>
      </c>
      <c r="AW33" s="37" t="str">
        <f t="shared" si="10"/>
        <v/>
      </c>
      <c r="AX33" s="37" t="str">
        <f t="shared" si="10"/>
        <v/>
      </c>
      <c r="AY33" s="37" t="str">
        <f t="shared" si="10"/>
        <v/>
      </c>
      <c r="AZ33" s="37" t="str">
        <f t="shared" si="10"/>
        <v/>
      </c>
      <c r="BA33" s="37" t="str">
        <f t="shared" si="10"/>
        <v/>
      </c>
      <c r="BB33" s="37">
        <f t="shared" si="2"/>
        <v>18</v>
      </c>
      <c r="BC33" s="37" t="str">
        <f>IFERROR(SEARCH(_xlfn.CONCAT(" ",$A33),#REF!),"")</f>
        <v/>
      </c>
      <c r="BD33" s="37" t="str">
        <f>IFERROR(SEARCH(_xlfn.CONCAT(" ",$A33),#REF!),"")</f>
        <v/>
      </c>
      <c r="BE33" s="37">
        <f t="shared" si="3"/>
        <v>0</v>
      </c>
      <c r="BF33" s="37">
        <f t="shared" si="4"/>
        <v>18</v>
      </c>
    </row>
    <row r="34" spans="1:58" ht="21" x14ac:dyDescent="0.25">
      <c r="A34" s="39" t="s">
        <v>322</v>
      </c>
      <c r="B34" s="33" t="str">
        <f>VLOOKUP(A34,Лист1!B:C,2,0)</f>
        <v>Осуществляет взаимодействие в социальной и профессиональной сферах с лицами с ограниченными возможностями здоровья и инвалидами</v>
      </c>
      <c r="C34" s="31" t="str">
        <f>IFERROR(SEARCH($A34,C$3),"")</f>
        <v/>
      </c>
      <c r="D34" s="31" t="str">
        <f t="shared" ref="D34:BD35" si="14">IFERROR(SEARCH($A34,D$3),"")</f>
        <v/>
      </c>
      <c r="E34" s="31" t="str">
        <f t="shared" si="14"/>
        <v/>
      </c>
      <c r="F34" s="31" t="str">
        <f t="shared" si="14"/>
        <v/>
      </c>
      <c r="G34" s="31" t="str">
        <f t="shared" si="14"/>
        <v/>
      </c>
      <c r="H34" s="31" t="str">
        <f t="shared" si="14"/>
        <v/>
      </c>
      <c r="I34" s="31" t="str">
        <f t="shared" si="14"/>
        <v/>
      </c>
      <c r="J34" s="31" t="str">
        <f t="shared" si="14"/>
        <v/>
      </c>
      <c r="K34" s="31" t="str">
        <f t="shared" si="14"/>
        <v/>
      </c>
      <c r="L34" s="31" t="str">
        <f t="shared" si="14"/>
        <v/>
      </c>
      <c r="M34" s="31" t="str">
        <f t="shared" si="14"/>
        <v/>
      </c>
      <c r="N34" s="31" t="str">
        <f t="shared" si="14"/>
        <v/>
      </c>
      <c r="O34" s="31" t="str">
        <f t="shared" si="14"/>
        <v/>
      </c>
      <c r="P34" s="31" t="str">
        <f t="shared" si="14"/>
        <v/>
      </c>
      <c r="Q34" s="40">
        <v>9</v>
      </c>
      <c r="R34" s="31" t="str">
        <f t="shared" si="14"/>
        <v/>
      </c>
      <c r="S34" s="31" t="str">
        <f t="shared" si="14"/>
        <v/>
      </c>
      <c r="T34" s="31" t="str">
        <f t="shared" si="14"/>
        <v/>
      </c>
      <c r="U34" s="31" t="str">
        <f t="shared" si="14"/>
        <v/>
      </c>
      <c r="V34" s="31" t="str">
        <f t="shared" si="14"/>
        <v/>
      </c>
      <c r="W34" s="31" t="str">
        <f t="shared" si="14"/>
        <v/>
      </c>
      <c r="X34" s="31" t="str">
        <f t="shared" si="14"/>
        <v/>
      </c>
      <c r="Y34" s="31" t="str">
        <f t="shared" si="14"/>
        <v/>
      </c>
      <c r="Z34" s="31" t="str">
        <f t="shared" si="14"/>
        <v/>
      </c>
      <c r="AA34" s="31" t="str">
        <f t="shared" si="14"/>
        <v/>
      </c>
      <c r="AB34" s="31" t="str">
        <f t="shared" si="14"/>
        <v/>
      </c>
      <c r="AC34" s="31" t="str">
        <f t="shared" si="14"/>
        <v/>
      </c>
      <c r="AD34" s="31" t="str">
        <f t="shared" si="14"/>
        <v/>
      </c>
      <c r="AE34" s="31" t="str">
        <f t="shared" si="14"/>
        <v/>
      </c>
      <c r="AF34" s="31" t="str">
        <f t="shared" si="14"/>
        <v/>
      </c>
      <c r="AG34" s="31" t="str">
        <f t="shared" si="14"/>
        <v/>
      </c>
      <c r="AH34" s="31" t="str">
        <f t="shared" si="14"/>
        <v/>
      </c>
      <c r="AI34" s="31" t="str">
        <f t="shared" si="14"/>
        <v/>
      </c>
      <c r="AJ34" s="31" t="str">
        <f t="shared" si="14"/>
        <v/>
      </c>
      <c r="AK34" s="31" t="str">
        <f t="shared" si="14"/>
        <v/>
      </c>
      <c r="AL34" s="31" t="str">
        <f t="shared" si="14"/>
        <v/>
      </c>
      <c r="AM34" s="31" t="str">
        <f t="shared" si="14"/>
        <v/>
      </c>
      <c r="AN34" s="31" t="str">
        <f t="shared" si="14"/>
        <v/>
      </c>
      <c r="AO34" s="31" t="str">
        <f t="shared" si="14"/>
        <v/>
      </c>
      <c r="AP34" s="31" t="str">
        <f t="shared" si="14"/>
        <v/>
      </c>
      <c r="AQ34" s="31" t="str">
        <f t="shared" si="14"/>
        <v/>
      </c>
      <c r="AR34" s="31" t="str">
        <f t="shared" si="14"/>
        <v/>
      </c>
      <c r="AS34" s="31" t="str">
        <f t="shared" si="14"/>
        <v/>
      </c>
      <c r="AT34" s="31" t="str">
        <f t="shared" si="14"/>
        <v/>
      </c>
      <c r="AU34" s="31" t="str">
        <f t="shared" si="14"/>
        <v/>
      </c>
      <c r="AV34" s="31" t="str">
        <f t="shared" si="14"/>
        <v/>
      </c>
      <c r="AW34" s="31" t="str">
        <f t="shared" si="14"/>
        <v/>
      </c>
      <c r="AX34" s="31" t="str">
        <f t="shared" si="14"/>
        <v/>
      </c>
      <c r="AY34" s="31" t="str">
        <f t="shared" si="14"/>
        <v/>
      </c>
      <c r="AZ34" s="31" t="str">
        <f t="shared" si="14"/>
        <v/>
      </c>
      <c r="BA34" s="31" t="str">
        <f t="shared" si="14"/>
        <v/>
      </c>
      <c r="BB34" s="31">
        <f t="shared" si="2"/>
        <v>9</v>
      </c>
      <c r="BC34" s="31" t="str">
        <f t="shared" si="14"/>
        <v/>
      </c>
      <c r="BD34" s="31" t="str">
        <f t="shared" si="14"/>
        <v/>
      </c>
      <c r="BE34" s="31">
        <f t="shared" si="3"/>
        <v>0</v>
      </c>
      <c r="BF34" s="31">
        <f t="shared" si="4"/>
        <v>9</v>
      </c>
    </row>
    <row r="35" spans="1:58" ht="31.5" x14ac:dyDescent="0.25">
      <c r="A35" s="39" t="s">
        <v>324</v>
      </c>
      <c r="B35" s="33" t="str">
        <f>VLOOKUP(A35,Лист1!B:C,2,0)</f>
        <v>Планирует мероприятия по организации доступной среды на объектах транспорта для безбарьерного обслуживания пассажиров из числа инвалидов и лиц с ограниченными возможностями здоровья</v>
      </c>
      <c r="C35" s="31" t="str">
        <f>IFERROR(SEARCH($A35,C$3),"")</f>
        <v/>
      </c>
      <c r="D35" s="31" t="str">
        <f t="shared" si="14"/>
        <v/>
      </c>
      <c r="E35" s="31" t="str">
        <f t="shared" si="14"/>
        <v/>
      </c>
      <c r="F35" s="31" t="str">
        <f t="shared" si="14"/>
        <v/>
      </c>
      <c r="G35" s="31" t="str">
        <f t="shared" si="14"/>
        <v/>
      </c>
      <c r="H35" s="31" t="str">
        <f t="shared" si="14"/>
        <v/>
      </c>
      <c r="I35" s="31" t="str">
        <f t="shared" si="14"/>
        <v/>
      </c>
      <c r="J35" s="31" t="str">
        <f t="shared" si="14"/>
        <v/>
      </c>
      <c r="K35" s="31" t="str">
        <f t="shared" si="14"/>
        <v/>
      </c>
      <c r="L35" s="31" t="str">
        <f t="shared" si="14"/>
        <v/>
      </c>
      <c r="M35" s="31" t="str">
        <f t="shared" si="14"/>
        <v/>
      </c>
      <c r="N35" s="31" t="str">
        <f t="shared" si="14"/>
        <v/>
      </c>
      <c r="O35" s="31" t="str">
        <f t="shared" si="14"/>
        <v/>
      </c>
      <c r="P35" s="31" t="str">
        <f t="shared" si="14"/>
        <v/>
      </c>
      <c r="Q35" s="40">
        <f t="shared" si="14"/>
        <v>9</v>
      </c>
      <c r="R35" s="31" t="str">
        <f t="shared" si="14"/>
        <v/>
      </c>
      <c r="S35" s="31" t="str">
        <f t="shared" si="14"/>
        <v/>
      </c>
      <c r="T35" s="31" t="str">
        <f t="shared" si="14"/>
        <v/>
      </c>
      <c r="U35" s="31" t="str">
        <f t="shared" si="14"/>
        <v/>
      </c>
      <c r="V35" s="31" t="str">
        <f t="shared" si="14"/>
        <v/>
      </c>
      <c r="W35" s="31" t="str">
        <f t="shared" si="14"/>
        <v/>
      </c>
      <c r="X35" s="31" t="str">
        <f t="shared" si="14"/>
        <v/>
      </c>
      <c r="Y35" s="31" t="str">
        <f t="shared" si="14"/>
        <v/>
      </c>
      <c r="Z35" s="31" t="str">
        <f t="shared" si="14"/>
        <v/>
      </c>
      <c r="AA35" s="31" t="str">
        <f t="shared" si="14"/>
        <v/>
      </c>
      <c r="AB35" s="31" t="str">
        <f t="shared" si="14"/>
        <v/>
      </c>
      <c r="AC35" s="31" t="str">
        <f t="shared" si="14"/>
        <v/>
      </c>
      <c r="AD35" s="31" t="str">
        <f t="shared" si="14"/>
        <v/>
      </c>
      <c r="AE35" s="31" t="str">
        <f t="shared" si="14"/>
        <v/>
      </c>
      <c r="AF35" s="31" t="str">
        <f t="shared" si="14"/>
        <v/>
      </c>
      <c r="AG35" s="31" t="str">
        <f t="shared" si="14"/>
        <v/>
      </c>
      <c r="AH35" s="31" t="str">
        <f t="shared" si="14"/>
        <v/>
      </c>
      <c r="AI35" s="31" t="str">
        <f t="shared" si="14"/>
        <v/>
      </c>
      <c r="AJ35" s="31" t="str">
        <f t="shared" si="14"/>
        <v/>
      </c>
      <c r="AK35" s="31" t="str">
        <f t="shared" si="14"/>
        <v/>
      </c>
      <c r="AL35" s="31" t="str">
        <f t="shared" si="14"/>
        <v/>
      </c>
      <c r="AM35" s="31" t="str">
        <f t="shared" si="14"/>
        <v/>
      </c>
      <c r="AN35" s="31" t="str">
        <f t="shared" si="14"/>
        <v/>
      </c>
      <c r="AO35" s="31" t="str">
        <f t="shared" si="14"/>
        <v/>
      </c>
      <c r="AP35" s="31" t="str">
        <f t="shared" si="14"/>
        <v/>
      </c>
      <c r="AQ35" s="31" t="str">
        <f t="shared" si="14"/>
        <v/>
      </c>
      <c r="AR35" s="31" t="str">
        <f t="shared" si="14"/>
        <v/>
      </c>
      <c r="AS35" s="31" t="str">
        <f t="shared" si="14"/>
        <v/>
      </c>
      <c r="AT35" s="31" t="str">
        <f t="shared" si="14"/>
        <v/>
      </c>
      <c r="AU35" s="31" t="str">
        <f t="shared" si="14"/>
        <v/>
      </c>
      <c r="AV35" s="31" t="str">
        <f t="shared" si="14"/>
        <v/>
      </c>
      <c r="AW35" s="31" t="str">
        <f t="shared" si="14"/>
        <v/>
      </c>
      <c r="AX35" s="31" t="str">
        <f t="shared" si="14"/>
        <v/>
      </c>
      <c r="AY35" s="31" t="str">
        <f t="shared" si="14"/>
        <v/>
      </c>
      <c r="AZ35" s="31" t="str">
        <f t="shared" si="14"/>
        <v/>
      </c>
      <c r="BA35" s="31" t="str">
        <f t="shared" si="14"/>
        <v/>
      </c>
      <c r="BB35" s="31">
        <f t="shared" si="2"/>
        <v>9</v>
      </c>
      <c r="BC35" s="31" t="str">
        <f t="shared" si="14"/>
        <v/>
      </c>
      <c r="BD35" s="31" t="str">
        <f t="shared" si="14"/>
        <v/>
      </c>
      <c r="BE35" s="31">
        <f t="shared" si="3"/>
        <v>0</v>
      </c>
      <c r="BF35" s="31">
        <f t="shared" si="4"/>
        <v>9</v>
      </c>
    </row>
    <row r="36" spans="1:58" s="38" customFormat="1" ht="21" x14ac:dyDescent="0.25">
      <c r="A36" s="36" t="s">
        <v>273</v>
      </c>
      <c r="B36" s="36" t="str">
        <f>VLOOKUP(A36,Лист1!B:C,2,0)</f>
        <v>Способен принимать обоснованные экономические решения в различных областях жизнедеятельности</v>
      </c>
      <c r="C36" s="37" t="str">
        <f t="shared" si="5"/>
        <v/>
      </c>
      <c r="D36" s="37" t="str">
        <f t="shared" si="5"/>
        <v/>
      </c>
      <c r="E36" s="37" t="str">
        <f t="shared" si="5"/>
        <v/>
      </c>
      <c r="F36" s="37" t="str">
        <f t="shared" si="5"/>
        <v/>
      </c>
      <c r="G36" s="37" t="str">
        <f t="shared" si="5"/>
        <v/>
      </c>
      <c r="H36" s="37" t="str">
        <f t="shared" si="5"/>
        <v/>
      </c>
      <c r="I36" s="37" t="str">
        <f t="shared" si="5"/>
        <v/>
      </c>
      <c r="J36" s="37" t="str">
        <f t="shared" si="10"/>
        <v/>
      </c>
      <c r="K36" s="37" t="str">
        <f t="shared" si="10"/>
        <v/>
      </c>
      <c r="L36" s="37" t="str">
        <f t="shared" si="10"/>
        <v/>
      </c>
      <c r="M36" s="37" t="str">
        <f t="shared" si="10"/>
        <v/>
      </c>
      <c r="N36" s="37" t="str">
        <f t="shared" si="10"/>
        <v/>
      </c>
      <c r="O36" s="37" t="str">
        <f t="shared" si="10"/>
        <v/>
      </c>
      <c r="P36" s="37" t="str">
        <f t="shared" si="10"/>
        <v/>
      </c>
      <c r="Q36" s="37" t="str">
        <f t="shared" si="10"/>
        <v/>
      </c>
      <c r="R36" s="37" t="str">
        <f t="shared" si="10"/>
        <v/>
      </c>
      <c r="S36" s="37" t="str">
        <f t="shared" si="10"/>
        <v/>
      </c>
      <c r="T36" s="37">
        <v>18</v>
      </c>
      <c r="U36" s="37" t="str">
        <f t="shared" si="10"/>
        <v/>
      </c>
      <c r="V36" s="37" t="str">
        <f t="shared" si="10"/>
        <v/>
      </c>
      <c r="W36" s="37" t="str">
        <f t="shared" si="10"/>
        <v/>
      </c>
      <c r="X36" s="37" t="str">
        <f t="shared" si="10"/>
        <v/>
      </c>
      <c r="Y36" s="37" t="str">
        <f t="shared" si="10"/>
        <v/>
      </c>
      <c r="Z36" s="37" t="str">
        <f t="shared" si="10"/>
        <v/>
      </c>
      <c r="AA36" s="37" t="str">
        <f t="shared" si="10"/>
        <v/>
      </c>
      <c r="AB36" s="37" t="str">
        <f t="shared" si="10"/>
        <v/>
      </c>
      <c r="AC36" s="37" t="str">
        <f t="shared" si="10"/>
        <v/>
      </c>
      <c r="AD36" s="37" t="str">
        <f t="shared" si="10"/>
        <v/>
      </c>
      <c r="AE36" s="37" t="str">
        <f t="shared" si="10"/>
        <v/>
      </c>
      <c r="AF36" s="37" t="str">
        <f t="shared" si="10"/>
        <v/>
      </c>
      <c r="AG36" s="37" t="str">
        <f t="shared" si="10"/>
        <v/>
      </c>
      <c r="AH36" s="37" t="str">
        <f t="shared" si="10"/>
        <v/>
      </c>
      <c r="AI36" s="37" t="str">
        <f t="shared" si="10"/>
        <v/>
      </c>
      <c r="AJ36" s="37" t="str">
        <f t="shared" si="10"/>
        <v/>
      </c>
      <c r="AK36" s="37" t="str">
        <f t="shared" si="10"/>
        <v/>
      </c>
      <c r="AL36" s="37" t="str">
        <f t="shared" si="10"/>
        <v/>
      </c>
      <c r="AM36" s="37" t="str">
        <f t="shared" si="10"/>
        <v/>
      </c>
      <c r="AN36" s="37" t="str">
        <f t="shared" si="10"/>
        <v/>
      </c>
      <c r="AO36" s="37" t="str">
        <f t="shared" si="10"/>
        <v/>
      </c>
      <c r="AP36" s="37" t="str">
        <f t="shared" si="10"/>
        <v/>
      </c>
      <c r="AQ36" s="37" t="str">
        <f t="shared" si="10"/>
        <v/>
      </c>
      <c r="AR36" s="37" t="str">
        <f t="shared" si="10"/>
        <v/>
      </c>
      <c r="AS36" s="37" t="str">
        <f t="shared" si="10"/>
        <v/>
      </c>
      <c r="AT36" s="37" t="str">
        <f t="shared" si="10"/>
        <v/>
      </c>
      <c r="AU36" s="37" t="str">
        <f t="shared" si="10"/>
        <v/>
      </c>
      <c r="AV36" s="37" t="str">
        <f t="shared" si="10"/>
        <v/>
      </c>
      <c r="AW36" s="37" t="str">
        <f t="shared" si="10"/>
        <v/>
      </c>
      <c r="AX36" s="37" t="str">
        <f t="shared" si="10"/>
        <v/>
      </c>
      <c r="AY36" s="37" t="str">
        <f t="shared" si="10"/>
        <v/>
      </c>
      <c r="AZ36" s="37" t="str">
        <f t="shared" si="10"/>
        <v/>
      </c>
      <c r="BA36" s="37" t="str">
        <f t="shared" si="10"/>
        <v/>
      </c>
      <c r="BB36" s="37">
        <f t="shared" si="2"/>
        <v>18</v>
      </c>
      <c r="BC36" s="37" t="s">
        <v>140</v>
      </c>
      <c r="BD36" s="37" t="s">
        <v>140</v>
      </c>
      <c r="BE36" s="37">
        <f t="shared" si="3"/>
        <v>0</v>
      </c>
      <c r="BF36" s="37">
        <f t="shared" si="4"/>
        <v>18</v>
      </c>
    </row>
    <row r="37" spans="1:58" ht="21" x14ac:dyDescent="0.25">
      <c r="A37" s="39" t="s">
        <v>327</v>
      </c>
      <c r="B37" s="33" t="str">
        <f>VLOOKUP(A37,Лист1!B:C,2,0)</f>
        <v>Анализирует и критически оценивает информацию, необходимую для принятия обоснованных экономических решений</v>
      </c>
      <c r="C37" s="31" t="str">
        <f>IFERROR(SEARCH($A37,C$3),"")</f>
        <v/>
      </c>
      <c r="D37" s="31" t="str">
        <f t="shared" ref="D37:BD38" si="15">IFERROR(SEARCH($A37,D$3),"")</f>
        <v/>
      </c>
      <c r="E37" s="31" t="str">
        <f t="shared" si="15"/>
        <v/>
      </c>
      <c r="F37" s="31" t="str">
        <f t="shared" si="15"/>
        <v/>
      </c>
      <c r="G37" s="31" t="str">
        <f t="shared" si="15"/>
        <v/>
      </c>
      <c r="H37" s="31" t="str">
        <f t="shared" si="15"/>
        <v/>
      </c>
      <c r="I37" s="31" t="str">
        <f t="shared" si="15"/>
        <v/>
      </c>
      <c r="J37" s="31" t="str">
        <f t="shared" si="15"/>
        <v/>
      </c>
      <c r="K37" s="31" t="str">
        <f t="shared" si="15"/>
        <v/>
      </c>
      <c r="L37" s="31" t="str">
        <f t="shared" si="15"/>
        <v/>
      </c>
      <c r="M37" s="31" t="str">
        <f t="shared" si="15"/>
        <v/>
      </c>
      <c r="N37" s="31" t="str">
        <f t="shared" si="15"/>
        <v/>
      </c>
      <c r="O37" s="31" t="str">
        <f t="shared" si="15"/>
        <v/>
      </c>
      <c r="P37" s="31" t="str">
        <f t="shared" si="15"/>
        <v/>
      </c>
      <c r="Q37" s="31" t="str">
        <f t="shared" si="15"/>
        <v/>
      </c>
      <c r="R37" s="31" t="str">
        <f t="shared" si="15"/>
        <v/>
      </c>
      <c r="S37" s="31" t="str">
        <f t="shared" si="15"/>
        <v/>
      </c>
      <c r="T37" s="40">
        <v>9</v>
      </c>
      <c r="U37" s="31" t="str">
        <f t="shared" si="15"/>
        <v/>
      </c>
      <c r="V37" s="31" t="str">
        <f t="shared" si="15"/>
        <v/>
      </c>
      <c r="W37" s="31" t="str">
        <f t="shared" si="15"/>
        <v/>
      </c>
      <c r="X37" s="31" t="str">
        <f t="shared" si="15"/>
        <v/>
      </c>
      <c r="Y37" s="31" t="str">
        <f t="shared" si="15"/>
        <v/>
      </c>
      <c r="Z37" s="31" t="str">
        <f t="shared" si="15"/>
        <v/>
      </c>
      <c r="AA37" s="31" t="str">
        <f t="shared" si="15"/>
        <v/>
      </c>
      <c r="AB37" s="31" t="str">
        <f t="shared" si="15"/>
        <v/>
      </c>
      <c r="AC37" s="31" t="str">
        <f t="shared" si="15"/>
        <v/>
      </c>
      <c r="AD37" s="31" t="str">
        <f t="shared" si="15"/>
        <v/>
      </c>
      <c r="AE37" s="31" t="str">
        <f t="shared" si="15"/>
        <v/>
      </c>
      <c r="AF37" s="31" t="str">
        <f t="shared" si="15"/>
        <v/>
      </c>
      <c r="AG37" s="31" t="str">
        <f t="shared" si="15"/>
        <v/>
      </c>
      <c r="AH37" s="31" t="str">
        <f t="shared" si="15"/>
        <v/>
      </c>
      <c r="AI37" s="31" t="str">
        <f t="shared" si="15"/>
        <v/>
      </c>
      <c r="AJ37" s="31" t="str">
        <f t="shared" si="15"/>
        <v/>
      </c>
      <c r="AK37" s="31" t="str">
        <f t="shared" si="15"/>
        <v/>
      </c>
      <c r="AL37" s="31" t="str">
        <f t="shared" si="15"/>
        <v/>
      </c>
      <c r="AM37" s="31" t="str">
        <f t="shared" si="15"/>
        <v/>
      </c>
      <c r="AN37" s="31" t="str">
        <f t="shared" si="15"/>
        <v/>
      </c>
      <c r="AO37" s="31" t="str">
        <f t="shared" si="15"/>
        <v/>
      </c>
      <c r="AP37" s="31" t="str">
        <f t="shared" si="15"/>
        <v/>
      </c>
      <c r="AQ37" s="31" t="str">
        <f t="shared" si="15"/>
        <v/>
      </c>
      <c r="AR37" s="31" t="str">
        <f t="shared" si="15"/>
        <v/>
      </c>
      <c r="AS37" s="31" t="str">
        <f t="shared" si="15"/>
        <v/>
      </c>
      <c r="AT37" s="31" t="str">
        <f t="shared" si="15"/>
        <v/>
      </c>
      <c r="AU37" s="31" t="str">
        <f t="shared" si="15"/>
        <v/>
      </c>
      <c r="AV37" s="31" t="str">
        <f t="shared" si="15"/>
        <v/>
      </c>
      <c r="AW37" s="31" t="str">
        <f t="shared" si="15"/>
        <v/>
      </c>
      <c r="AX37" s="31" t="str">
        <f t="shared" si="15"/>
        <v/>
      </c>
      <c r="AY37" s="31" t="str">
        <f t="shared" si="15"/>
        <v/>
      </c>
      <c r="AZ37" s="31" t="str">
        <f t="shared" si="15"/>
        <v/>
      </c>
      <c r="BA37" s="31" t="str">
        <f t="shared" si="15"/>
        <v/>
      </c>
      <c r="BB37" s="31">
        <f t="shared" si="2"/>
        <v>9</v>
      </c>
      <c r="BC37" s="31" t="str">
        <f t="shared" si="15"/>
        <v/>
      </c>
      <c r="BD37" s="31" t="str">
        <f t="shared" si="15"/>
        <v/>
      </c>
      <c r="BE37" s="31">
        <f t="shared" si="3"/>
        <v>0</v>
      </c>
      <c r="BF37" s="31">
        <f t="shared" si="4"/>
        <v>9</v>
      </c>
    </row>
    <row r="38" spans="1:58" ht="42" x14ac:dyDescent="0.25">
      <c r="A38" s="39" t="s">
        <v>329</v>
      </c>
      <c r="B38" s="33" t="str">
        <f>VLOOKUP(A38,Лист1!B:C,2,0)</f>
        <v>Применяет методы личного экономического и финансового планирования для достижения текущих и долгосрочных финансовых целей, использует финансовые инструменты для управления личными финансами (личным бюджетом), контролирует собственные экономические и финансовые риски</v>
      </c>
      <c r="C38" s="31" t="str">
        <f>IFERROR(SEARCH($A38,C$3),"")</f>
        <v/>
      </c>
      <c r="D38" s="31" t="str">
        <f t="shared" si="15"/>
        <v/>
      </c>
      <c r="E38" s="31" t="str">
        <f t="shared" si="15"/>
        <v/>
      </c>
      <c r="F38" s="31" t="str">
        <f t="shared" si="15"/>
        <v/>
      </c>
      <c r="G38" s="31" t="str">
        <f t="shared" si="15"/>
        <v/>
      </c>
      <c r="H38" s="31" t="str">
        <f t="shared" si="15"/>
        <v/>
      </c>
      <c r="I38" s="31" t="str">
        <f t="shared" si="15"/>
        <v/>
      </c>
      <c r="J38" s="31" t="str">
        <f t="shared" si="15"/>
        <v/>
      </c>
      <c r="K38" s="31" t="str">
        <f t="shared" si="15"/>
        <v/>
      </c>
      <c r="L38" s="31" t="str">
        <f t="shared" si="15"/>
        <v/>
      </c>
      <c r="M38" s="31" t="str">
        <f t="shared" si="15"/>
        <v/>
      </c>
      <c r="N38" s="31" t="str">
        <f t="shared" si="15"/>
        <v/>
      </c>
      <c r="O38" s="31" t="str">
        <f t="shared" si="15"/>
        <v/>
      </c>
      <c r="P38" s="31" t="str">
        <f t="shared" si="15"/>
        <v/>
      </c>
      <c r="Q38" s="31" t="str">
        <f t="shared" si="15"/>
        <v/>
      </c>
      <c r="R38" s="31" t="str">
        <f t="shared" si="15"/>
        <v/>
      </c>
      <c r="S38" s="31" t="str">
        <f t="shared" si="15"/>
        <v/>
      </c>
      <c r="T38" s="40">
        <v>9</v>
      </c>
      <c r="U38" s="31" t="str">
        <f t="shared" si="15"/>
        <v/>
      </c>
      <c r="V38" s="31" t="str">
        <f t="shared" si="15"/>
        <v/>
      </c>
      <c r="W38" s="31" t="str">
        <f t="shared" si="15"/>
        <v/>
      </c>
      <c r="X38" s="31" t="str">
        <f t="shared" si="15"/>
        <v/>
      </c>
      <c r="Y38" s="31" t="str">
        <f t="shared" si="15"/>
        <v/>
      </c>
      <c r="Z38" s="31" t="str">
        <f t="shared" si="15"/>
        <v/>
      </c>
      <c r="AA38" s="31" t="str">
        <f t="shared" si="15"/>
        <v/>
      </c>
      <c r="AB38" s="31" t="str">
        <f t="shared" si="15"/>
        <v/>
      </c>
      <c r="AC38" s="31" t="str">
        <f t="shared" si="15"/>
        <v/>
      </c>
      <c r="AD38" s="31" t="str">
        <f t="shared" si="15"/>
        <v/>
      </c>
      <c r="AE38" s="31" t="str">
        <f t="shared" si="15"/>
        <v/>
      </c>
      <c r="AF38" s="31" t="str">
        <f t="shared" si="15"/>
        <v/>
      </c>
      <c r="AG38" s="31" t="str">
        <f t="shared" si="15"/>
        <v/>
      </c>
      <c r="AH38" s="31" t="str">
        <f t="shared" si="15"/>
        <v/>
      </c>
      <c r="AI38" s="31" t="str">
        <f t="shared" si="15"/>
        <v/>
      </c>
      <c r="AJ38" s="31" t="str">
        <f t="shared" si="15"/>
        <v/>
      </c>
      <c r="AK38" s="31" t="str">
        <f t="shared" si="15"/>
        <v/>
      </c>
      <c r="AL38" s="31" t="str">
        <f t="shared" si="15"/>
        <v/>
      </c>
      <c r="AM38" s="31" t="str">
        <f t="shared" si="15"/>
        <v/>
      </c>
      <c r="AN38" s="31" t="str">
        <f t="shared" si="15"/>
        <v/>
      </c>
      <c r="AO38" s="31" t="str">
        <f t="shared" si="15"/>
        <v/>
      </c>
      <c r="AP38" s="31" t="str">
        <f t="shared" si="15"/>
        <v/>
      </c>
      <c r="AQ38" s="31" t="str">
        <f t="shared" si="15"/>
        <v/>
      </c>
      <c r="AR38" s="31" t="str">
        <f t="shared" si="15"/>
        <v/>
      </c>
      <c r="AS38" s="31" t="str">
        <f t="shared" si="15"/>
        <v/>
      </c>
      <c r="AT38" s="31" t="str">
        <f t="shared" si="15"/>
        <v/>
      </c>
      <c r="AU38" s="31" t="str">
        <f t="shared" si="15"/>
        <v/>
      </c>
      <c r="AV38" s="31" t="str">
        <f t="shared" si="15"/>
        <v/>
      </c>
      <c r="AW38" s="31" t="str">
        <f t="shared" si="15"/>
        <v/>
      </c>
      <c r="AX38" s="31" t="str">
        <f t="shared" si="15"/>
        <v/>
      </c>
      <c r="AY38" s="31" t="str">
        <f t="shared" si="15"/>
        <v/>
      </c>
      <c r="AZ38" s="31" t="str">
        <f t="shared" si="15"/>
        <v/>
      </c>
      <c r="BA38" s="31" t="str">
        <f t="shared" si="15"/>
        <v/>
      </c>
      <c r="BB38" s="31">
        <f t="shared" si="2"/>
        <v>9</v>
      </c>
      <c r="BC38" s="31" t="str">
        <f t="shared" si="15"/>
        <v/>
      </c>
      <c r="BD38" s="31" t="str">
        <f t="shared" si="15"/>
        <v/>
      </c>
      <c r="BE38" s="31">
        <f t="shared" si="3"/>
        <v>0</v>
      </c>
      <c r="BF38" s="31">
        <f t="shared" si="4"/>
        <v>9</v>
      </c>
    </row>
    <row r="39" spans="1:58" s="38" customFormat="1" ht="31.5" x14ac:dyDescent="0.25">
      <c r="A39" s="36" t="s">
        <v>274</v>
      </c>
      <c r="B39" s="36" t="str">
        <f>VLOOKUP(A39,Лист1!B:C,2,0)</f>
        <v>Способен формировать нетерпимое отношение к проявлениям экстремизма, терроризма, коррупционному поведению и противодействовать им в профессиональной деятельности</v>
      </c>
      <c r="C39" s="37" t="str">
        <f t="shared" si="5"/>
        <v/>
      </c>
      <c r="D39" s="37" t="str">
        <f t="shared" si="5"/>
        <v/>
      </c>
      <c r="E39" s="37" t="str">
        <f t="shared" si="5"/>
        <v/>
      </c>
      <c r="F39" s="37" t="str">
        <f t="shared" si="5"/>
        <v/>
      </c>
      <c r="G39" s="37" t="str">
        <f t="shared" si="5"/>
        <v/>
      </c>
      <c r="H39" s="37" t="str">
        <f t="shared" si="5"/>
        <v/>
      </c>
      <c r="I39" s="37" t="str">
        <f t="shared" si="5"/>
        <v/>
      </c>
      <c r="J39" s="37" t="str">
        <f t="shared" si="10"/>
        <v/>
      </c>
      <c r="K39" s="37" t="str">
        <f t="shared" si="10"/>
        <v/>
      </c>
      <c r="L39" s="37" t="str">
        <f t="shared" si="10"/>
        <v/>
      </c>
      <c r="M39" s="37" t="str">
        <f t="shared" si="10"/>
        <v/>
      </c>
      <c r="N39" s="37" t="str">
        <f t="shared" si="10"/>
        <v/>
      </c>
      <c r="O39" s="37" t="str">
        <f t="shared" si="10"/>
        <v/>
      </c>
      <c r="P39" s="37" t="str">
        <f t="shared" si="10"/>
        <v/>
      </c>
      <c r="Q39" s="37" t="str">
        <f t="shared" si="10"/>
        <v/>
      </c>
      <c r="R39" s="37">
        <v>18</v>
      </c>
      <c r="S39" s="37" t="str">
        <f t="shared" si="10"/>
        <v/>
      </c>
      <c r="T39" s="37" t="str">
        <f t="shared" si="10"/>
        <v/>
      </c>
      <c r="U39" s="37" t="str">
        <f t="shared" si="10"/>
        <v/>
      </c>
      <c r="V39" s="37" t="str">
        <f t="shared" si="10"/>
        <v/>
      </c>
      <c r="W39" s="37" t="str">
        <f t="shared" si="10"/>
        <v/>
      </c>
      <c r="X39" s="37" t="str">
        <f t="shared" si="10"/>
        <v/>
      </c>
      <c r="Y39" s="37" t="str">
        <f t="shared" si="10"/>
        <v/>
      </c>
      <c r="Z39" s="37" t="str">
        <f t="shared" si="10"/>
        <v/>
      </c>
      <c r="AA39" s="37" t="str">
        <f t="shared" si="10"/>
        <v/>
      </c>
      <c r="AB39" s="37" t="str">
        <f t="shared" si="10"/>
        <v/>
      </c>
      <c r="AC39" s="37" t="str">
        <f t="shared" si="10"/>
        <v/>
      </c>
      <c r="AD39" s="37" t="str">
        <f t="shared" si="10"/>
        <v/>
      </c>
      <c r="AE39" s="37" t="str">
        <f t="shared" si="10"/>
        <v/>
      </c>
      <c r="AF39" s="37" t="str">
        <f t="shared" si="10"/>
        <v/>
      </c>
      <c r="AG39" s="37" t="str">
        <f t="shared" si="10"/>
        <v/>
      </c>
      <c r="AH39" s="37" t="str">
        <f t="shared" si="10"/>
        <v/>
      </c>
      <c r="AI39" s="37" t="str">
        <f t="shared" si="10"/>
        <v/>
      </c>
      <c r="AJ39" s="37" t="str">
        <f t="shared" si="10"/>
        <v/>
      </c>
      <c r="AK39" s="37" t="str">
        <f t="shared" si="10"/>
        <v/>
      </c>
      <c r="AL39" s="37" t="str">
        <f t="shared" si="10"/>
        <v/>
      </c>
      <c r="AM39" s="37" t="str">
        <f t="shared" si="10"/>
        <v/>
      </c>
      <c r="AN39" s="37" t="str">
        <f t="shared" si="10"/>
        <v/>
      </c>
      <c r="AO39" s="37" t="str">
        <f t="shared" si="10"/>
        <v/>
      </c>
      <c r="AP39" s="37" t="str">
        <f t="shared" si="10"/>
        <v/>
      </c>
      <c r="AQ39" s="37" t="str">
        <f t="shared" si="10"/>
        <v/>
      </c>
      <c r="AR39" s="37" t="str">
        <f t="shared" si="10"/>
        <v/>
      </c>
      <c r="AS39" s="37" t="str">
        <f t="shared" si="10"/>
        <v/>
      </c>
      <c r="AT39" s="37" t="str">
        <f t="shared" si="10"/>
        <v/>
      </c>
      <c r="AU39" s="37" t="str">
        <f t="shared" si="10"/>
        <v/>
      </c>
      <c r="AV39" s="37" t="str">
        <f t="shared" si="10"/>
        <v/>
      </c>
      <c r="AW39" s="37" t="str">
        <f t="shared" si="10"/>
        <v/>
      </c>
      <c r="AX39" s="37" t="str">
        <f t="shared" si="10"/>
        <v/>
      </c>
      <c r="AY39" s="37" t="str">
        <f t="shared" si="10"/>
        <v/>
      </c>
      <c r="AZ39" s="37" t="str">
        <f t="shared" si="10"/>
        <v/>
      </c>
      <c r="BA39" s="37" t="str">
        <f t="shared" si="10"/>
        <v/>
      </c>
      <c r="BB39" s="37">
        <f t="shared" si="2"/>
        <v>18</v>
      </c>
      <c r="BC39" s="37" t="str">
        <f>IFERROR(SEARCH(_xlfn.CONCAT(" ",$A39),#REF!),"")</f>
        <v/>
      </c>
      <c r="BD39" s="37" t="str">
        <f>IFERROR(SEARCH(_xlfn.CONCAT(" ",$A39),#REF!),"")</f>
        <v/>
      </c>
      <c r="BE39" s="37">
        <f t="shared" si="3"/>
        <v>0</v>
      </c>
      <c r="BF39" s="37">
        <f t="shared" si="4"/>
        <v>18</v>
      </c>
    </row>
    <row r="40" spans="1:58" ht="21" x14ac:dyDescent="0.25">
      <c r="A40" s="39" t="s">
        <v>332</v>
      </c>
      <c r="B40" s="33" t="str">
        <f>VLOOKUP(A40,Лист1!B:C,2,0)</f>
        <v>Раскрывает механизм проявления коррупционного поведения и определяет способы противодействия ему в профессиональной деятельности</v>
      </c>
      <c r="C40" s="31" t="str">
        <f>IFERROR(SEARCH($A40,C$3),"")</f>
        <v/>
      </c>
      <c r="D40" s="31" t="str">
        <f t="shared" ref="D40:BD41" si="16">IFERROR(SEARCH($A40,D$3),"")</f>
        <v/>
      </c>
      <c r="E40" s="31" t="str">
        <f t="shared" si="16"/>
        <v/>
      </c>
      <c r="F40" s="31" t="str">
        <f t="shared" si="16"/>
        <v/>
      </c>
      <c r="G40" s="31" t="str">
        <f t="shared" si="16"/>
        <v/>
      </c>
      <c r="H40" s="31" t="str">
        <f t="shared" si="16"/>
        <v/>
      </c>
      <c r="I40" s="31" t="str">
        <f t="shared" si="16"/>
        <v/>
      </c>
      <c r="J40" s="31" t="str">
        <f t="shared" si="16"/>
        <v/>
      </c>
      <c r="K40" s="31" t="str">
        <f t="shared" si="16"/>
        <v/>
      </c>
      <c r="L40" s="31" t="str">
        <f t="shared" si="16"/>
        <v/>
      </c>
      <c r="M40" s="31" t="str">
        <f t="shared" si="16"/>
        <v/>
      </c>
      <c r="N40" s="31" t="str">
        <f t="shared" si="16"/>
        <v/>
      </c>
      <c r="O40" s="31" t="str">
        <f t="shared" si="16"/>
        <v/>
      </c>
      <c r="P40" s="31" t="str">
        <f t="shared" si="16"/>
        <v/>
      </c>
      <c r="Q40" s="31" t="str">
        <f t="shared" si="16"/>
        <v/>
      </c>
      <c r="R40" s="40">
        <f t="shared" si="16"/>
        <v>9</v>
      </c>
      <c r="S40" s="31" t="str">
        <f t="shared" si="16"/>
        <v/>
      </c>
      <c r="T40" s="31" t="str">
        <f t="shared" si="16"/>
        <v/>
      </c>
      <c r="U40" s="31" t="str">
        <f t="shared" si="16"/>
        <v/>
      </c>
      <c r="V40" s="31" t="str">
        <f t="shared" si="16"/>
        <v/>
      </c>
      <c r="W40" s="31" t="str">
        <f t="shared" si="16"/>
        <v/>
      </c>
      <c r="X40" s="31" t="str">
        <f t="shared" si="16"/>
        <v/>
      </c>
      <c r="Y40" s="31" t="str">
        <f t="shared" si="16"/>
        <v/>
      </c>
      <c r="Z40" s="31" t="str">
        <f t="shared" si="16"/>
        <v/>
      </c>
      <c r="AA40" s="31" t="str">
        <f t="shared" si="16"/>
        <v/>
      </c>
      <c r="AB40" s="31" t="str">
        <f t="shared" si="16"/>
        <v/>
      </c>
      <c r="AC40" s="31" t="str">
        <f t="shared" si="16"/>
        <v/>
      </c>
      <c r="AD40" s="31" t="str">
        <f t="shared" si="16"/>
        <v/>
      </c>
      <c r="AE40" s="31" t="str">
        <f t="shared" si="16"/>
        <v/>
      </c>
      <c r="AF40" s="31" t="str">
        <f t="shared" si="16"/>
        <v/>
      </c>
      <c r="AG40" s="31" t="str">
        <f t="shared" si="16"/>
        <v/>
      </c>
      <c r="AH40" s="31" t="str">
        <f t="shared" si="16"/>
        <v/>
      </c>
      <c r="AI40" s="31" t="str">
        <f t="shared" si="16"/>
        <v/>
      </c>
      <c r="AJ40" s="31" t="str">
        <f t="shared" si="16"/>
        <v/>
      </c>
      <c r="AK40" s="31" t="str">
        <f t="shared" si="16"/>
        <v/>
      </c>
      <c r="AL40" s="31" t="str">
        <f t="shared" si="16"/>
        <v/>
      </c>
      <c r="AM40" s="31" t="str">
        <f t="shared" si="16"/>
        <v/>
      </c>
      <c r="AN40" s="31" t="str">
        <f t="shared" si="16"/>
        <v/>
      </c>
      <c r="AO40" s="31" t="str">
        <f t="shared" si="16"/>
        <v/>
      </c>
      <c r="AP40" s="31" t="str">
        <f t="shared" si="16"/>
        <v/>
      </c>
      <c r="AQ40" s="31" t="str">
        <f t="shared" si="16"/>
        <v/>
      </c>
      <c r="AR40" s="31" t="str">
        <f t="shared" si="16"/>
        <v/>
      </c>
      <c r="AS40" s="31" t="str">
        <f t="shared" si="16"/>
        <v/>
      </c>
      <c r="AT40" s="31" t="str">
        <f t="shared" si="16"/>
        <v/>
      </c>
      <c r="AU40" s="31" t="str">
        <f t="shared" si="16"/>
        <v/>
      </c>
      <c r="AV40" s="31" t="str">
        <f t="shared" si="16"/>
        <v/>
      </c>
      <c r="AW40" s="31" t="str">
        <f t="shared" si="16"/>
        <v/>
      </c>
      <c r="AX40" s="31" t="str">
        <f t="shared" si="16"/>
        <v/>
      </c>
      <c r="AY40" s="31" t="str">
        <f t="shared" si="16"/>
        <v/>
      </c>
      <c r="AZ40" s="31" t="str">
        <f t="shared" si="16"/>
        <v/>
      </c>
      <c r="BA40" s="31" t="str">
        <f t="shared" si="16"/>
        <v/>
      </c>
      <c r="BB40" s="31">
        <f t="shared" si="2"/>
        <v>9</v>
      </c>
      <c r="BC40" s="31" t="str">
        <f t="shared" si="16"/>
        <v/>
      </c>
      <c r="BD40" s="31" t="str">
        <f t="shared" si="16"/>
        <v/>
      </c>
      <c r="BE40" s="31">
        <f t="shared" si="3"/>
        <v>0</v>
      </c>
      <c r="BF40" s="31">
        <f t="shared" si="4"/>
        <v>9</v>
      </c>
    </row>
    <row r="41" spans="1:58" ht="31.5" x14ac:dyDescent="0.25">
      <c r="A41" s="39" t="s">
        <v>334</v>
      </c>
      <c r="B41" s="33" t="str">
        <f>VLOOKUP(A41,Лист1!B:C,2,0)</f>
        <v>Обосновывает правовыми средствами свою гражданскую позицию в отношении терроризма и экстремизма и применяет способы противодействия им в профессиональной сфере</v>
      </c>
      <c r="C41" s="31" t="str">
        <f>IFERROR(SEARCH($A41,C$3),"")</f>
        <v/>
      </c>
      <c r="D41" s="31" t="str">
        <f t="shared" si="16"/>
        <v/>
      </c>
      <c r="E41" s="31" t="str">
        <f t="shared" si="16"/>
        <v/>
      </c>
      <c r="F41" s="31" t="str">
        <f t="shared" si="16"/>
        <v/>
      </c>
      <c r="G41" s="31" t="str">
        <f t="shared" si="16"/>
        <v/>
      </c>
      <c r="H41" s="31" t="str">
        <f t="shared" si="16"/>
        <v/>
      </c>
      <c r="I41" s="31" t="str">
        <f t="shared" si="16"/>
        <v/>
      </c>
      <c r="J41" s="31" t="str">
        <f t="shared" si="16"/>
        <v/>
      </c>
      <c r="K41" s="31" t="str">
        <f t="shared" si="16"/>
        <v/>
      </c>
      <c r="L41" s="31" t="str">
        <f t="shared" si="16"/>
        <v/>
      </c>
      <c r="M41" s="31" t="str">
        <f t="shared" si="16"/>
        <v/>
      </c>
      <c r="N41" s="31" t="str">
        <f t="shared" si="16"/>
        <v/>
      </c>
      <c r="O41" s="31" t="str">
        <f t="shared" si="16"/>
        <v/>
      </c>
      <c r="P41" s="31" t="str">
        <f t="shared" si="16"/>
        <v/>
      </c>
      <c r="Q41" s="31" t="str">
        <f t="shared" si="16"/>
        <v/>
      </c>
      <c r="R41" s="40">
        <v>9</v>
      </c>
      <c r="S41" s="31" t="str">
        <f t="shared" si="16"/>
        <v/>
      </c>
      <c r="T41" s="31" t="str">
        <f t="shared" si="16"/>
        <v/>
      </c>
      <c r="U41" s="31" t="str">
        <f t="shared" si="16"/>
        <v/>
      </c>
      <c r="V41" s="31" t="str">
        <f t="shared" si="16"/>
        <v/>
      </c>
      <c r="W41" s="31" t="str">
        <f t="shared" si="16"/>
        <v/>
      </c>
      <c r="X41" s="31" t="str">
        <f t="shared" si="16"/>
        <v/>
      </c>
      <c r="Y41" s="31" t="str">
        <f t="shared" si="16"/>
        <v/>
      </c>
      <c r="Z41" s="31" t="str">
        <f t="shared" si="16"/>
        <v/>
      </c>
      <c r="AA41" s="31" t="str">
        <f t="shared" si="16"/>
        <v/>
      </c>
      <c r="AB41" s="31" t="str">
        <f t="shared" si="16"/>
        <v/>
      </c>
      <c r="AC41" s="31" t="str">
        <f t="shared" si="16"/>
        <v/>
      </c>
      <c r="AD41" s="31" t="str">
        <f t="shared" si="16"/>
        <v/>
      </c>
      <c r="AE41" s="31" t="str">
        <f t="shared" si="16"/>
        <v/>
      </c>
      <c r="AF41" s="31" t="str">
        <f t="shared" si="16"/>
        <v/>
      </c>
      <c r="AG41" s="31" t="str">
        <f t="shared" si="16"/>
        <v/>
      </c>
      <c r="AH41" s="31" t="str">
        <f t="shared" si="16"/>
        <v/>
      </c>
      <c r="AI41" s="31" t="str">
        <f t="shared" si="16"/>
        <v/>
      </c>
      <c r="AJ41" s="31" t="str">
        <f t="shared" si="16"/>
        <v/>
      </c>
      <c r="AK41" s="31" t="str">
        <f t="shared" si="16"/>
        <v/>
      </c>
      <c r="AL41" s="31" t="str">
        <f t="shared" si="16"/>
        <v/>
      </c>
      <c r="AM41" s="31" t="str">
        <f t="shared" si="16"/>
        <v/>
      </c>
      <c r="AN41" s="31" t="str">
        <f t="shared" si="16"/>
        <v/>
      </c>
      <c r="AO41" s="31" t="str">
        <f t="shared" si="16"/>
        <v/>
      </c>
      <c r="AP41" s="31" t="str">
        <f t="shared" si="16"/>
        <v/>
      </c>
      <c r="AQ41" s="31" t="str">
        <f t="shared" si="16"/>
        <v/>
      </c>
      <c r="AR41" s="31" t="str">
        <f t="shared" si="16"/>
        <v/>
      </c>
      <c r="AS41" s="31" t="str">
        <f t="shared" si="16"/>
        <v/>
      </c>
      <c r="AT41" s="31" t="str">
        <f t="shared" si="16"/>
        <v/>
      </c>
      <c r="AU41" s="31" t="str">
        <f t="shared" si="16"/>
        <v/>
      </c>
      <c r="AV41" s="31" t="str">
        <f t="shared" si="16"/>
        <v/>
      </c>
      <c r="AW41" s="31" t="str">
        <f t="shared" si="16"/>
        <v/>
      </c>
      <c r="AX41" s="31" t="str">
        <f t="shared" si="16"/>
        <v/>
      </c>
      <c r="AY41" s="31" t="str">
        <f t="shared" si="16"/>
        <v/>
      </c>
      <c r="AZ41" s="31" t="str">
        <f t="shared" si="16"/>
        <v/>
      </c>
      <c r="BA41" s="31" t="str">
        <f t="shared" si="16"/>
        <v/>
      </c>
      <c r="BB41" s="31">
        <f t="shared" si="2"/>
        <v>9</v>
      </c>
      <c r="BC41" s="31" t="str">
        <f t="shared" si="16"/>
        <v/>
      </c>
      <c r="BD41" s="31" t="str">
        <f t="shared" si="16"/>
        <v/>
      </c>
      <c r="BE41" s="31">
        <f t="shared" si="3"/>
        <v>0</v>
      </c>
      <c r="BF41" s="31">
        <f t="shared" si="4"/>
        <v>9</v>
      </c>
    </row>
    <row r="42" spans="1:58" s="38" customFormat="1" ht="31.5" x14ac:dyDescent="0.25">
      <c r="A42" s="36" t="s">
        <v>79</v>
      </c>
      <c r="B42" s="36" t="str">
        <f>VLOOKUP(A42,Лист1!B:C,2,0)</f>
        <v>Способен применять естественнонаучные и общеинженерные знания, методы математического анализа и моделирования в профессиональной деятельности</v>
      </c>
      <c r="C42" s="37" t="str">
        <f t="shared" si="5"/>
        <v/>
      </c>
      <c r="D42" s="37" t="str">
        <f t="shared" si="5"/>
        <v/>
      </c>
      <c r="E42" s="37" t="str">
        <f t="shared" si="5"/>
        <v/>
      </c>
      <c r="F42" s="37" t="str">
        <f t="shared" si="5"/>
        <v/>
      </c>
      <c r="G42" s="37" t="str">
        <f t="shared" si="5"/>
        <v/>
      </c>
      <c r="H42" s="37" t="str">
        <f t="shared" si="5"/>
        <v/>
      </c>
      <c r="I42" s="37" t="str">
        <f t="shared" si="5"/>
        <v/>
      </c>
      <c r="J42" s="37" t="str">
        <f t="shared" si="10"/>
        <v/>
      </c>
      <c r="K42" s="37" t="str">
        <f t="shared" si="10"/>
        <v/>
      </c>
      <c r="L42" s="37">
        <v>18</v>
      </c>
      <c r="M42" s="37">
        <v>18</v>
      </c>
      <c r="N42" s="37">
        <v>18</v>
      </c>
      <c r="O42" s="37" t="str">
        <f t="shared" si="10"/>
        <v/>
      </c>
      <c r="P42" s="37" t="str">
        <f t="shared" si="10"/>
        <v/>
      </c>
      <c r="Q42" s="37" t="str">
        <f t="shared" si="10"/>
        <v/>
      </c>
      <c r="R42" s="37" t="str">
        <f t="shared" si="10"/>
        <v/>
      </c>
      <c r="S42" s="37">
        <v>18</v>
      </c>
      <c r="T42" s="37" t="str">
        <f t="shared" si="10"/>
        <v/>
      </c>
      <c r="U42" s="37" t="str">
        <f t="shared" si="10"/>
        <v/>
      </c>
      <c r="V42" s="37" t="str">
        <f t="shared" si="10"/>
        <v/>
      </c>
      <c r="W42" s="37" t="str">
        <f t="shared" si="10"/>
        <v/>
      </c>
      <c r="X42" s="37" t="str">
        <f t="shared" si="10"/>
        <v/>
      </c>
      <c r="Y42" s="37" t="str">
        <f t="shared" si="10"/>
        <v/>
      </c>
      <c r="Z42" s="37" t="str">
        <f t="shared" si="10"/>
        <v/>
      </c>
      <c r="AA42" s="37">
        <v>9</v>
      </c>
      <c r="AB42" s="37" t="str">
        <f t="shared" si="10"/>
        <v/>
      </c>
      <c r="AC42" s="37" t="str">
        <f t="shared" si="10"/>
        <v/>
      </c>
      <c r="AD42" s="37" t="str">
        <f t="shared" si="10"/>
        <v/>
      </c>
      <c r="AE42" s="37" t="str">
        <f t="shared" si="10"/>
        <v/>
      </c>
      <c r="AF42" s="37" t="str">
        <f t="shared" si="10"/>
        <v/>
      </c>
      <c r="AG42" s="37" t="str">
        <f t="shared" si="10"/>
        <v/>
      </c>
      <c r="AH42" s="37" t="str">
        <f t="shared" si="10"/>
        <v/>
      </c>
      <c r="AI42" s="37" t="str">
        <f t="shared" si="10"/>
        <v/>
      </c>
      <c r="AJ42" s="37" t="str">
        <f t="shared" si="10"/>
        <v/>
      </c>
      <c r="AK42" s="37" t="str">
        <f t="shared" si="10"/>
        <v/>
      </c>
      <c r="AL42" s="37" t="str">
        <f t="shared" si="10"/>
        <v/>
      </c>
      <c r="AM42" s="37" t="str">
        <f t="shared" ref="J42:BA68" si="17">IFERROR(IF(SEARCH($A42,AM$3)&lt;&gt;0,1,""),"")</f>
        <v/>
      </c>
      <c r="AN42" s="37" t="str">
        <f t="shared" si="17"/>
        <v/>
      </c>
      <c r="AO42" s="37" t="str">
        <f t="shared" si="17"/>
        <v/>
      </c>
      <c r="AP42" s="37" t="str">
        <f t="shared" si="17"/>
        <v/>
      </c>
      <c r="AQ42" s="37" t="str">
        <f t="shared" si="17"/>
        <v/>
      </c>
      <c r="AR42" s="37" t="str">
        <f t="shared" si="17"/>
        <v/>
      </c>
      <c r="AS42" s="37" t="str">
        <f t="shared" si="17"/>
        <v/>
      </c>
      <c r="AT42" s="37" t="str">
        <f t="shared" si="17"/>
        <v/>
      </c>
      <c r="AU42" s="37" t="str">
        <f t="shared" si="17"/>
        <v/>
      </c>
      <c r="AV42" s="37" t="str">
        <f t="shared" si="17"/>
        <v/>
      </c>
      <c r="AW42" s="37" t="str">
        <f t="shared" si="17"/>
        <v/>
      </c>
      <c r="AX42" s="37" t="str">
        <f t="shared" si="17"/>
        <v/>
      </c>
      <c r="AY42" s="37" t="str">
        <f t="shared" si="17"/>
        <v/>
      </c>
      <c r="AZ42" s="37" t="str">
        <f t="shared" si="17"/>
        <v/>
      </c>
      <c r="BA42" s="37" t="str">
        <f t="shared" si="17"/>
        <v/>
      </c>
      <c r="BB42" s="37">
        <f t="shared" si="2"/>
        <v>81</v>
      </c>
      <c r="BC42" s="37" t="str">
        <f>IFERROR(SEARCH(_xlfn.CONCAT(" ",$A42),#REF!),"")</f>
        <v/>
      </c>
      <c r="BD42" s="37" t="str">
        <f>IFERROR(SEARCH(_xlfn.CONCAT(" ",$A42),#REF!),"")</f>
        <v/>
      </c>
      <c r="BE42" s="37">
        <f t="shared" si="3"/>
        <v>0</v>
      </c>
      <c r="BF42" s="37">
        <f t="shared" si="4"/>
        <v>81</v>
      </c>
    </row>
    <row r="43" spans="1:58" ht="21" x14ac:dyDescent="0.25">
      <c r="A43" s="39" t="s">
        <v>204</v>
      </c>
      <c r="B43" s="33" t="str">
        <f>VLOOKUP(A43,Лист1!B:C,2,0)</f>
        <v>Применяет методы высшей математики для решения задач профессиональной деятельности</v>
      </c>
      <c r="C43" s="31" t="str">
        <f>IFERROR(SEARCH($A43,C$3),"")</f>
        <v/>
      </c>
      <c r="D43" s="31" t="str">
        <f t="shared" ref="D43:BD46" si="18">IFERROR(SEARCH($A43,D$3),"")</f>
        <v/>
      </c>
      <c r="E43" s="31" t="str">
        <f t="shared" si="18"/>
        <v/>
      </c>
      <c r="F43" s="31" t="str">
        <f t="shared" si="18"/>
        <v/>
      </c>
      <c r="G43" s="31" t="str">
        <f t="shared" si="18"/>
        <v/>
      </c>
      <c r="H43" s="31" t="str">
        <f t="shared" si="18"/>
        <v/>
      </c>
      <c r="I43" s="31" t="str">
        <f t="shared" si="18"/>
        <v/>
      </c>
      <c r="J43" s="31" t="str">
        <f t="shared" si="18"/>
        <v/>
      </c>
      <c r="K43" s="31" t="str">
        <f t="shared" si="18"/>
        <v/>
      </c>
      <c r="L43" s="31" t="str">
        <f t="shared" si="18"/>
        <v/>
      </c>
      <c r="M43" s="31" t="str">
        <f t="shared" si="18"/>
        <v/>
      </c>
      <c r="N43" s="40">
        <v>18</v>
      </c>
      <c r="O43" s="31" t="str">
        <f t="shared" si="18"/>
        <v/>
      </c>
      <c r="P43" s="31" t="str">
        <f t="shared" si="18"/>
        <v/>
      </c>
      <c r="Q43" s="31" t="str">
        <f t="shared" si="18"/>
        <v/>
      </c>
      <c r="R43" s="31" t="str">
        <f t="shared" si="18"/>
        <v/>
      </c>
      <c r="S43" s="31" t="str">
        <f t="shared" si="18"/>
        <v/>
      </c>
      <c r="T43" s="31" t="str">
        <f t="shared" si="18"/>
        <v/>
      </c>
      <c r="U43" s="31" t="str">
        <f t="shared" si="18"/>
        <v/>
      </c>
      <c r="V43" s="31" t="str">
        <f t="shared" si="18"/>
        <v/>
      </c>
      <c r="W43" s="31" t="str">
        <f t="shared" si="18"/>
        <v/>
      </c>
      <c r="X43" s="31" t="str">
        <f t="shared" si="18"/>
        <v/>
      </c>
      <c r="Y43" s="31" t="str">
        <f t="shared" si="18"/>
        <v/>
      </c>
      <c r="Z43" s="31" t="str">
        <f t="shared" si="18"/>
        <v/>
      </c>
      <c r="AA43" s="31" t="str">
        <f t="shared" si="18"/>
        <v/>
      </c>
      <c r="AB43" s="31" t="str">
        <f t="shared" si="18"/>
        <v/>
      </c>
      <c r="AC43" s="31" t="str">
        <f t="shared" si="18"/>
        <v/>
      </c>
      <c r="AD43" s="31" t="str">
        <f t="shared" si="18"/>
        <v/>
      </c>
      <c r="AE43" s="31" t="str">
        <f t="shared" si="18"/>
        <v/>
      </c>
      <c r="AF43" s="31" t="str">
        <f t="shared" si="18"/>
        <v/>
      </c>
      <c r="AG43" s="31" t="str">
        <f t="shared" si="18"/>
        <v/>
      </c>
      <c r="AH43" s="31" t="str">
        <f t="shared" si="18"/>
        <v/>
      </c>
      <c r="AI43" s="31" t="str">
        <f t="shared" si="18"/>
        <v/>
      </c>
      <c r="AJ43" s="31" t="str">
        <f t="shared" si="18"/>
        <v/>
      </c>
      <c r="AK43" s="31" t="str">
        <f t="shared" si="18"/>
        <v/>
      </c>
      <c r="AL43" s="31" t="str">
        <f t="shared" si="18"/>
        <v/>
      </c>
      <c r="AM43" s="31" t="str">
        <f t="shared" si="18"/>
        <v/>
      </c>
      <c r="AN43" s="31" t="str">
        <f t="shared" si="18"/>
        <v/>
      </c>
      <c r="AO43" s="31" t="str">
        <f t="shared" si="18"/>
        <v/>
      </c>
      <c r="AP43" s="31" t="str">
        <f t="shared" si="18"/>
        <v/>
      </c>
      <c r="AQ43" s="31" t="str">
        <f t="shared" si="18"/>
        <v/>
      </c>
      <c r="AR43" s="31" t="str">
        <f t="shared" si="18"/>
        <v/>
      </c>
      <c r="AS43" s="31" t="str">
        <f t="shared" si="18"/>
        <v/>
      </c>
      <c r="AT43" s="31" t="str">
        <f t="shared" si="18"/>
        <v/>
      </c>
      <c r="AU43" s="31" t="str">
        <f t="shared" si="18"/>
        <v/>
      </c>
      <c r="AV43" s="31" t="str">
        <f t="shared" si="18"/>
        <v/>
      </c>
      <c r="AW43" s="31" t="str">
        <f t="shared" si="18"/>
        <v/>
      </c>
      <c r="AX43" s="31" t="str">
        <f t="shared" si="18"/>
        <v/>
      </c>
      <c r="AY43" s="31" t="str">
        <f t="shared" si="18"/>
        <v/>
      </c>
      <c r="AZ43" s="31" t="str">
        <f t="shared" si="18"/>
        <v/>
      </c>
      <c r="BA43" s="31" t="str">
        <f t="shared" si="18"/>
        <v/>
      </c>
      <c r="BB43" s="31">
        <f t="shared" si="2"/>
        <v>18</v>
      </c>
      <c r="BC43" s="31" t="str">
        <f t="shared" si="18"/>
        <v/>
      </c>
      <c r="BD43" s="31" t="str">
        <f t="shared" si="18"/>
        <v/>
      </c>
      <c r="BE43" s="31">
        <f t="shared" si="3"/>
        <v>0</v>
      </c>
      <c r="BF43" s="31">
        <f t="shared" si="4"/>
        <v>18</v>
      </c>
    </row>
    <row r="44" spans="1:58" ht="21" x14ac:dyDescent="0.25">
      <c r="A44" s="39" t="s">
        <v>82</v>
      </c>
      <c r="B44" s="33" t="str">
        <f>VLOOKUP(A44,Лист1!B:C,2,0)</f>
        <v>Применяет основные понятия и законы естественных наук для решения предметно-профильных задач</v>
      </c>
      <c r="C44" s="31" t="str">
        <f>IFERROR(SEARCH($A44,C$3),"")</f>
        <v/>
      </c>
      <c r="D44" s="31" t="str">
        <f t="shared" si="18"/>
        <v/>
      </c>
      <c r="E44" s="31" t="str">
        <f t="shared" si="18"/>
        <v/>
      </c>
      <c r="F44" s="31" t="str">
        <f t="shared" si="18"/>
        <v/>
      </c>
      <c r="G44" s="31" t="str">
        <f t="shared" si="18"/>
        <v/>
      </c>
      <c r="H44" s="31" t="str">
        <f t="shared" si="18"/>
        <v/>
      </c>
      <c r="I44" s="31" t="str">
        <f t="shared" si="18"/>
        <v/>
      </c>
      <c r="J44" s="31" t="str">
        <f t="shared" si="18"/>
        <v/>
      </c>
      <c r="K44" s="31" t="str">
        <f t="shared" si="18"/>
        <v/>
      </c>
      <c r="L44" s="40">
        <v>9</v>
      </c>
      <c r="M44" s="40">
        <v>9</v>
      </c>
      <c r="N44" s="31" t="str">
        <f t="shared" si="18"/>
        <v/>
      </c>
      <c r="O44" s="31" t="str">
        <f t="shared" si="18"/>
        <v/>
      </c>
      <c r="P44" s="31" t="str">
        <f t="shared" si="18"/>
        <v/>
      </c>
      <c r="Q44" s="31" t="str">
        <f t="shared" si="18"/>
        <v/>
      </c>
      <c r="R44" s="31" t="str">
        <f t="shared" si="18"/>
        <v/>
      </c>
      <c r="S44" s="31" t="str">
        <f t="shared" si="18"/>
        <v/>
      </c>
      <c r="T44" s="31" t="str">
        <f t="shared" si="18"/>
        <v/>
      </c>
      <c r="U44" s="31" t="str">
        <f t="shared" si="18"/>
        <v/>
      </c>
      <c r="V44" s="31" t="str">
        <f t="shared" si="18"/>
        <v/>
      </c>
      <c r="W44" s="31" t="str">
        <f t="shared" si="18"/>
        <v/>
      </c>
      <c r="X44" s="31" t="str">
        <f t="shared" si="18"/>
        <v/>
      </c>
      <c r="Y44" s="31" t="str">
        <f t="shared" si="18"/>
        <v/>
      </c>
      <c r="Z44" s="31" t="str">
        <f t="shared" si="18"/>
        <v/>
      </c>
      <c r="AA44" s="31" t="str">
        <f t="shared" si="18"/>
        <v/>
      </c>
      <c r="AB44" s="31" t="str">
        <f t="shared" si="18"/>
        <v/>
      </c>
      <c r="AC44" s="31" t="str">
        <f t="shared" si="18"/>
        <v/>
      </c>
      <c r="AD44" s="31" t="str">
        <f t="shared" si="18"/>
        <v/>
      </c>
      <c r="AE44" s="31" t="str">
        <f t="shared" si="18"/>
        <v/>
      </c>
      <c r="AF44" s="31" t="str">
        <f t="shared" si="18"/>
        <v/>
      </c>
      <c r="AG44" s="31" t="str">
        <f t="shared" si="18"/>
        <v/>
      </c>
      <c r="AH44" s="31" t="str">
        <f t="shared" si="18"/>
        <v/>
      </c>
      <c r="AI44" s="31" t="str">
        <f t="shared" si="18"/>
        <v/>
      </c>
      <c r="AJ44" s="31" t="str">
        <f t="shared" si="18"/>
        <v/>
      </c>
      <c r="AK44" s="31" t="str">
        <f t="shared" si="18"/>
        <v/>
      </c>
      <c r="AL44" s="31" t="str">
        <f t="shared" si="18"/>
        <v/>
      </c>
      <c r="AM44" s="31" t="str">
        <f t="shared" si="18"/>
        <v/>
      </c>
      <c r="AN44" s="31" t="str">
        <f t="shared" si="18"/>
        <v/>
      </c>
      <c r="AO44" s="31" t="str">
        <f t="shared" si="18"/>
        <v/>
      </c>
      <c r="AP44" s="31" t="str">
        <f t="shared" si="18"/>
        <v/>
      </c>
      <c r="AQ44" s="31" t="str">
        <f t="shared" si="18"/>
        <v/>
      </c>
      <c r="AR44" s="31" t="str">
        <f t="shared" si="18"/>
        <v/>
      </c>
      <c r="AS44" s="31" t="str">
        <f t="shared" si="18"/>
        <v/>
      </c>
      <c r="AT44" s="31" t="str">
        <f t="shared" si="18"/>
        <v/>
      </c>
      <c r="AU44" s="31" t="str">
        <f t="shared" si="18"/>
        <v/>
      </c>
      <c r="AV44" s="31" t="str">
        <f t="shared" si="18"/>
        <v/>
      </c>
      <c r="AW44" s="31" t="str">
        <f t="shared" si="18"/>
        <v/>
      </c>
      <c r="AX44" s="31" t="str">
        <f t="shared" si="18"/>
        <v/>
      </c>
      <c r="AY44" s="31" t="str">
        <f t="shared" si="18"/>
        <v/>
      </c>
      <c r="AZ44" s="31" t="str">
        <f t="shared" si="18"/>
        <v/>
      </c>
      <c r="BA44" s="31" t="str">
        <f t="shared" si="18"/>
        <v/>
      </c>
      <c r="BB44" s="31">
        <f t="shared" si="2"/>
        <v>18</v>
      </c>
      <c r="BC44" s="31" t="str">
        <f t="shared" si="18"/>
        <v/>
      </c>
      <c r="BD44" s="31" t="str">
        <f t="shared" si="18"/>
        <v/>
      </c>
      <c r="BE44" s="31">
        <f t="shared" si="3"/>
        <v>0</v>
      </c>
      <c r="BF44" s="31">
        <f t="shared" si="4"/>
        <v>18</v>
      </c>
    </row>
    <row r="45" spans="1:58" ht="31.5" x14ac:dyDescent="0.25">
      <c r="A45" s="39" t="s">
        <v>339</v>
      </c>
      <c r="B45" s="33" t="str">
        <f>VLOOKUP(A45,Лист1!B:C,2,0)</f>
        <v>Применяет естественнонаучные методы теоретического и экспериментального исследования объектов, процессов, явлений, проводит эксперименты по заданной методике и анализирует результаты</v>
      </c>
      <c r="C45" s="31" t="str">
        <f>IFERROR(SEARCH($A45,C$3),"")</f>
        <v/>
      </c>
      <c r="D45" s="31" t="str">
        <f t="shared" si="18"/>
        <v/>
      </c>
      <c r="E45" s="31" t="str">
        <f t="shared" si="18"/>
        <v/>
      </c>
      <c r="F45" s="31" t="str">
        <f t="shared" si="18"/>
        <v/>
      </c>
      <c r="G45" s="31" t="str">
        <f t="shared" si="18"/>
        <v/>
      </c>
      <c r="H45" s="31" t="str">
        <f t="shared" si="18"/>
        <v/>
      </c>
      <c r="I45" s="31" t="str">
        <f t="shared" si="18"/>
        <v/>
      </c>
      <c r="J45" s="31" t="str">
        <f t="shared" si="18"/>
        <v/>
      </c>
      <c r="K45" s="31" t="str">
        <f t="shared" si="18"/>
        <v/>
      </c>
      <c r="L45" s="40">
        <v>9</v>
      </c>
      <c r="M45" s="40">
        <v>9</v>
      </c>
      <c r="N45" s="31" t="str">
        <f t="shared" si="18"/>
        <v/>
      </c>
      <c r="O45" s="31" t="str">
        <f t="shared" si="18"/>
        <v/>
      </c>
      <c r="P45" s="31" t="str">
        <f t="shared" si="18"/>
        <v/>
      </c>
      <c r="Q45" s="31" t="str">
        <f t="shared" si="18"/>
        <v/>
      </c>
      <c r="R45" s="31" t="str">
        <f t="shared" si="18"/>
        <v/>
      </c>
      <c r="S45" s="31" t="str">
        <f t="shared" si="18"/>
        <v/>
      </c>
      <c r="T45" s="31" t="str">
        <f t="shared" si="18"/>
        <v/>
      </c>
      <c r="U45" s="31" t="str">
        <f t="shared" si="18"/>
        <v/>
      </c>
      <c r="V45" s="31" t="str">
        <f t="shared" si="18"/>
        <v/>
      </c>
      <c r="W45" s="31" t="str">
        <f t="shared" si="18"/>
        <v/>
      </c>
      <c r="X45" s="31" t="str">
        <f t="shared" si="18"/>
        <v/>
      </c>
      <c r="Y45" s="31" t="str">
        <f t="shared" si="18"/>
        <v/>
      </c>
      <c r="Z45" s="31" t="str">
        <f t="shared" si="18"/>
        <v/>
      </c>
      <c r="AA45" s="31" t="str">
        <f t="shared" si="18"/>
        <v/>
      </c>
      <c r="AB45" s="31" t="str">
        <f t="shared" si="18"/>
        <v/>
      </c>
      <c r="AC45" s="31" t="str">
        <f t="shared" si="18"/>
        <v/>
      </c>
      <c r="AD45" s="31" t="str">
        <f t="shared" si="18"/>
        <v/>
      </c>
      <c r="AE45" s="31" t="str">
        <f t="shared" si="18"/>
        <v/>
      </c>
      <c r="AF45" s="31" t="str">
        <f t="shared" si="18"/>
        <v/>
      </c>
      <c r="AG45" s="31" t="str">
        <f t="shared" si="18"/>
        <v/>
      </c>
      <c r="AH45" s="31" t="str">
        <f t="shared" si="18"/>
        <v/>
      </c>
      <c r="AI45" s="31" t="str">
        <f t="shared" si="18"/>
        <v/>
      </c>
      <c r="AJ45" s="31" t="str">
        <f t="shared" si="18"/>
        <v/>
      </c>
      <c r="AK45" s="31" t="str">
        <f t="shared" si="18"/>
        <v/>
      </c>
      <c r="AL45" s="31" t="str">
        <f t="shared" si="18"/>
        <v/>
      </c>
      <c r="AM45" s="31" t="str">
        <f t="shared" si="18"/>
        <v/>
      </c>
      <c r="AN45" s="31" t="str">
        <f t="shared" si="18"/>
        <v/>
      </c>
      <c r="AO45" s="31" t="str">
        <f t="shared" si="18"/>
        <v/>
      </c>
      <c r="AP45" s="31" t="str">
        <f t="shared" si="18"/>
        <v/>
      </c>
      <c r="AQ45" s="31" t="str">
        <f t="shared" si="18"/>
        <v/>
      </c>
      <c r="AR45" s="31" t="str">
        <f t="shared" si="18"/>
        <v/>
      </c>
      <c r="AS45" s="31" t="str">
        <f t="shared" si="18"/>
        <v/>
      </c>
      <c r="AT45" s="31" t="str">
        <f t="shared" si="18"/>
        <v/>
      </c>
      <c r="AU45" s="31" t="str">
        <f t="shared" si="18"/>
        <v/>
      </c>
      <c r="AV45" s="31" t="str">
        <f t="shared" si="18"/>
        <v/>
      </c>
      <c r="AW45" s="31" t="str">
        <f t="shared" si="18"/>
        <v/>
      </c>
      <c r="AX45" s="31" t="str">
        <f t="shared" si="18"/>
        <v/>
      </c>
      <c r="AY45" s="31" t="str">
        <f t="shared" si="18"/>
        <v/>
      </c>
      <c r="AZ45" s="31" t="str">
        <f t="shared" si="18"/>
        <v/>
      </c>
      <c r="BA45" s="31" t="str">
        <f t="shared" si="18"/>
        <v/>
      </c>
      <c r="BB45" s="31">
        <f t="shared" si="2"/>
        <v>18</v>
      </c>
      <c r="BC45" s="31" t="str">
        <f t="shared" si="18"/>
        <v/>
      </c>
      <c r="BD45" s="31" t="str">
        <f t="shared" si="18"/>
        <v/>
      </c>
      <c r="BE45" s="31">
        <f t="shared" si="3"/>
        <v>0</v>
      </c>
      <c r="BF45" s="31">
        <f t="shared" si="4"/>
        <v>18</v>
      </c>
    </row>
    <row r="46" spans="1:58" ht="31.5" x14ac:dyDescent="0.25">
      <c r="A46" s="39" t="s">
        <v>208</v>
      </c>
      <c r="B46" s="33" t="str">
        <f>VLOOKUP(A46,Лист1!B:C,2,0)</f>
        <v>Разрабатывает графическую техническую документацию в соответствии с требованиями ЕСКД, в том числе с использованием пакетов прикладных программ для автоматизированного построения модели деталей техники</v>
      </c>
      <c r="C46" s="31" t="str">
        <f>IFERROR(SEARCH($A46,C$3),"")</f>
        <v/>
      </c>
      <c r="D46" s="31" t="str">
        <f t="shared" si="18"/>
        <v/>
      </c>
      <c r="E46" s="31" t="str">
        <f t="shared" si="18"/>
        <v/>
      </c>
      <c r="F46" s="31" t="str">
        <f t="shared" si="18"/>
        <v/>
      </c>
      <c r="G46" s="31" t="str">
        <f t="shared" si="18"/>
        <v/>
      </c>
      <c r="H46" s="31" t="str">
        <f t="shared" si="18"/>
        <v/>
      </c>
      <c r="I46" s="31" t="str">
        <f t="shared" si="18"/>
        <v/>
      </c>
      <c r="J46" s="31" t="str">
        <f t="shared" si="18"/>
        <v/>
      </c>
      <c r="K46" s="31" t="str">
        <f t="shared" si="18"/>
        <v/>
      </c>
      <c r="L46" s="31" t="str">
        <f t="shared" si="18"/>
        <v/>
      </c>
      <c r="M46" s="31" t="str">
        <f t="shared" si="18"/>
        <v/>
      </c>
      <c r="N46" s="31" t="str">
        <f t="shared" si="18"/>
        <v/>
      </c>
      <c r="O46" s="31" t="str">
        <f t="shared" si="18"/>
        <v/>
      </c>
      <c r="P46" s="31" t="str">
        <f t="shared" si="18"/>
        <v/>
      </c>
      <c r="Q46" s="31" t="str">
        <f t="shared" si="18"/>
        <v/>
      </c>
      <c r="R46" s="31" t="str">
        <f t="shared" si="18"/>
        <v/>
      </c>
      <c r="S46" s="40">
        <v>18</v>
      </c>
      <c r="T46" s="31" t="str">
        <f t="shared" si="18"/>
        <v/>
      </c>
      <c r="U46" s="31" t="str">
        <f t="shared" si="18"/>
        <v/>
      </c>
      <c r="V46" s="31" t="str">
        <f t="shared" si="18"/>
        <v/>
      </c>
      <c r="W46" s="31" t="str">
        <f t="shared" si="18"/>
        <v/>
      </c>
      <c r="X46" s="31" t="str">
        <f t="shared" si="18"/>
        <v/>
      </c>
      <c r="Y46" s="31" t="str">
        <f t="shared" si="18"/>
        <v/>
      </c>
      <c r="Z46" s="31" t="str">
        <f t="shared" si="18"/>
        <v/>
      </c>
      <c r="AA46" s="31" t="str">
        <f t="shared" si="18"/>
        <v/>
      </c>
      <c r="AB46" s="31" t="str">
        <f t="shared" si="18"/>
        <v/>
      </c>
      <c r="AC46" s="31" t="str">
        <f t="shared" si="18"/>
        <v/>
      </c>
      <c r="AD46" s="31" t="str">
        <f t="shared" si="18"/>
        <v/>
      </c>
      <c r="AE46" s="31" t="str">
        <f t="shared" si="18"/>
        <v/>
      </c>
      <c r="AF46" s="31" t="str">
        <f t="shared" si="18"/>
        <v/>
      </c>
      <c r="AG46" s="31" t="str">
        <f t="shared" si="18"/>
        <v/>
      </c>
      <c r="AH46" s="31" t="str">
        <f t="shared" si="18"/>
        <v/>
      </c>
      <c r="AI46" s="31" t="str">
        <f t="shared" si="18"/>
        <v/>
      </c>
      <c r="AJ46" s="31" t="str">
        <f t="shared" si="18"/>
        <v/>
      </c>
      <c r="AK46" s="31" t="str">
        <f t="shared" si="18"/>
        <v/>
      </c>
      <c r="AL46" s="31" t="str">
        <f t="shared" si="18"/>
        <v/>
      </c>
      <c r="AM46" s="31" t="str">
        <f t="shared" ref="AM46:BD46" si="19">IFERROR(SEARCH($A46,AM$3),"")</f>
        <v/>
      </c>
      <c r="AN46" s="31" t="str">
        <f t="shared" si="19"/>
        <v/>
      </c>
      <c r="AO46" s="31" t="str">
        <f t="shared" si="19"/>
        <v/>
      </c>
      <c r="AP46" s="31" t="str">
        <f t="shared" si="19"/>
        <v/>
      </c>
      <c r="AQ46" s="31" t="str">
        <f t="shared" si="19"/>
        <v/>
      </c>
      <c r="AR46" s="31" t="str">
        <f t="shared" si="19"/>
        <v/>
      </c>
      <c r="AS46" s="31" t="str">
        <f t="shared" si="19"/>
        <v/>
      </c>
      <c r="AT46" s="31" t="str">
        <f t="shared" si="19"/>
        <v/>
      </c>
      <c r="AU46" s="31" t="str">
        <f t="shared" si="19"/>
        <v/>
      </c>
      <c r="AV46" s="31" t="str">
        <f t="shared" si="19"/>
        <v/>
      </c>
      <c r="AW46" s="31" t="str">
        <f t="shared" si="19"/>
        <v/>
      </c>
      <c r="AX46" s="31" t="str">
        <f t="shared" si="19"/>
        <v/>
      </c>
      <c r="AY46" s="31" t="str">
        <f t="shared" si="19"/>
        <v/>
      </c>
      <c r="AZ46" s="31" t="str">
        <f t="shared" si="19"/>
        <v/>
      </c>
      <c r="BA46" s="31" t="str">
        <f t="shared" si="19"/>
        <v/>
      </c>
      <c r="BB46" s="31">
        <f t="shared" si="2"/>
        <v>18</v>
      </c>
      <c r="BC46" s="31" t="str">
        <f t="shared" si="19"/>
        <v/>
      </c>
      <c r="BD46" s="31" t="str">
        <f t="shared" si="19"/>
        <v/>
      </c>
      <c r="BE46" s="31">
        <f t="shared" si="3"/>
        <v>0</v>
      </c>
      <c r="BF46" s="31">
        <f t="shared" si="4"/>
        <v>18</v>
      </c>
    </row>
    <row r="47" spans="1:58" ht="21" x14ac:dyDescent="0.25">
      <c r="A47" s="39" t="s">
        <v>342</v>
      </c>
      <c r="B47" s="33" t="str">
        <f>VLOOKUP(A47,Лист1!B:C,2,0)</f>
        <v>Применяет методы математического анализа и моделирования для решения прикладных задач</v>
      </c>
      <c r="C47" s="31" t="str">
        <f>IFERROR(SEARCH($A47,C$3),"")</f>
        <v/>
      </c>
      <c r="D47" s="31" t="str">
        <f t="shared" ref="D47:BD47" si="20">IFERROR(SEARCH($A47,D$3),"")</f>
        <v/>
      </c>
      <c r="E47" s="31" t="str">
        <f t="shared" si="20"/>
        <v/>
      </c>
      <c r="F47" s="31" t="str">
        <f t="shared" si="20"/>
        <v/>
      </c>
      <c r="G47" s="31" t="str">
        <f t="shared" si="20"/>
        <v/>
      </c>
      <c r="H47" s="31" t="str">
        <f t="shared" si="20"/>
        <v/>
      </c>
      <c r="I47" s="31" t="str">
        <f t="shared" si="20"/>
        <v/>
      </c>
      <c r="J47" s="31" t="str">
        <f t="shared" si="20"/>
        <v/>
      </c>
      <c r="K47" s="31" t="str">
        <f t="shared" si="20"/>
        <v/>
      </c>
      <c r="L47" s="31" t="str">
        <f t="shared" si="20"/>
        <v/>
      </c>
      <c r="M47" s="31" t="str">
        <f t="shared" si="20"/>
        <v/>
      </c>
      <c r="N47" s="31" t="str">
        <f t="shared" si="20"/>
        <v/>
      </c>
      <c r="O47" s="31" t="str">
        <f t="shared" si="20"/>
        <v/>
      </c>
      <c r="P47" s="31" t="str">
        <f t="shared" si="20"/>
        <v/>
      </c>
      <c r="Q47" s="31" t="str">
        <f t="shared" si="20"/>
        <v/>
      </c>
      <c r="R47" s="31" t="str">
        <f t="shared" si="20"/>
        <v/>
      </c>
      <c r="S47" s="31" t="str">
        <f t="shared" si="20"/>
        <v/>
      </c>
      <c r="T47" s="31" t="str">
        <f t="shared" si="20"/>
        <v/>
      </c>
      <c r="U47" s="31" t="str">
        <f t="shared" si="20"/>
        <v/>
      </c>
      <c r="V47" s="31" t="str">
        <f t="shared" si="20"/>
        <v/>
      </c>
      <c r="W47" s="31" t="str">
        <f t="shared" si="20"/>
        <v/>
      </c>
      <c r="X47" s="31" t="str">
        <f t="shared" si="20"/>
        <v/>
      </c>
      <c r="Y47" s="31" t="str">
        <f t="shared" si="20"/>
        <v/>
      </c>
      <c r="Z47" s="31" t="str">
        <f t="shared" si="20"/>
        <v/>
      </c>
      <c r="AA47" s="40">
        <v>9</v>
      </c>
      <c r="AB47" s="31" t="str">
        <f t="shared" si="20"/>
        <v/>
      </c>
      <c r="AC47" s="31" t="str">
        <f t="shared" si="20"/>
        <v/>
      </c>
      <c r="AD47" s="31" t="str">
        <f t="shared" si="20"/>
        <v/>
      </c>
      <c r="AE47" s="31" t="str">
        <f t="shared" si="20"/>
        <v/>
      </c>
      <c r="AF47" s="31" t="str">
        <f t="shared" si="20"/>
        <v/>
      </c>
      <c r="AG47" s="31" t="str">
        <f t="shared" si="20"/>
        <v/>
      </c>
      <c r="AH47" s="31" t="str">
        <f t="shared" si="20"/>
        <v/>
      </c>
      <c r="AI47" s="31" t="str">
        <f t="shared" si="20"/>
        <v/>
      </c>
      <c r="AJ47" s="31" t="str">
        <f t="shared" si="20"/>
        <v/>
      </c>
      <c r="AK47" s="31" t="str">
        <f t="shared" si="20"/>
        <v/>
      </c>
      <c r="AL47" s="31" t="str">
        <f t="shared" si="20"/>
        <v/>
      </c>
      <c r="AM47" s="31" t="str">
        <f t="shared" si="20"/>
        <v/>
      </c>
      <c r="AN47" s="31" t="str">
        <f t="shared" si="20"/>
        <v/>
      </c>
      <c r="AO47" s="31" t="str">
        <f t="shared" si="20"/>
        <v/>
      </c>
      <c r="AP47" s="31" t="str">
        <f t="shared" si="20"/>
        <v/>
      </c>
      <c r="AQ47" s="31" t="str">
        <f t="shared" si="20"/>
        <v/>
      </c>
      <c r="AR47" s="31" t="str">
        <f t="shared" si="20"/>
        <v/>
      </c>
      <c r="AS47" s="31" t="str">
        <f t="shared" si="20"/>
        <v/>
      </c>
      <c r="AT47" s="31" t="str">
        <f t="shared" si="20"/>
        <v/>
      </c>
      <c r="AU47" s="31" t="str">
        <f t="shared" si="20"/>
        <v/>
      </c>
      <c r="AV47" s="31" t="str">
        <f t="shared" si="20"/>
        <v/>
      </c>
      <c r="AW47" s="31" t="str">
        <f t="shared" si="20"/>
        <v/>
      </c>
      <c r="AX47" s="31" t="str">
        <f t="shared" si="20"/>
        <v/>
      </c>
      <c r="AY47" s="31" t="str">
        <f t="shared" si="20"/>
        <v/>
      </c>
      <c r="AZ47" s="31" t="str">
        <f t="shared" si="20"/>
        <v/>
      </c>
      <c r="BA47" s="31" t="str">
        <f t="shared" si="20"/>
        <v/>
      </c>
      <c r="BB47" s="31">
        <f t="shared" si="2"/>
        <v>9</v>
      </c>
      <c r="BC47" s="31" t="str">
        <f t="shared" si="20"/>
        <v/>
      </c>
      <c r="BD47" s="31" t="str">
        <f t="shared" si="20"/>
        <v/>
      </c>
      <c r="BE47" s="31">
        <f t="shared" si="3"/>
        <v>0</v>
      </c>
      <c r="BF47" s="31">
        <f t="shared" si="4"/>
        <v>9</v>
      </c>
    </row>
    <row r="48" spans="1:58" s="38" customFormat="1" ht="42" x14ac:dyDescent="0.25">
      <c r="A48" s="36" t="s">
        <v>84</v>
      </c>
      <c r="B48" s="36" t="str">
        <f>VLOOKUP(A48,Лист1!B:C,2,0)</f>
        <v>Способен осуществлять профессиональную деятельность с учетом экономических, экологических и социальных ограничений на всех этапах жизненного цикла транспортно-технологических машин и комплексов</v>
      </c>
      <c r="C48" s="37" t="str">
        <f t="shared" si="5"/>
        <v/>
      </c>
      <c r="D48" s="37" t="str">
        <f t="shared" si="5"/>
        <v/>
      </c>
      <c r="E48" s="37" t="str">
        <f t="shared" si="5"/>
        <v/>
      </c>
      <c r="F48" s="37" t="str">
        <f t="shared" si="5"/>
        <v/>
      </c>
      <c r="G48" s="37" t="str">
        <f t="shared" si="5"/>
        <v/>
      </c>
      <c r="H48" s="37" t="str">
        <f t="shared" si="5"/>
        <v/>
      </c>
      <c r="I48" s="37" t="str">
        <f t="shared" si="5"/>
        <v/>
      </c>
      <c r="J48" s="37" t="str">
        <f t="shared" si="17"/>
        <v/>
      </c>
      <c r="K48" s="37" t="str">
        <f t="shared" si="17"/>
        <v/>
      </c>
      <c r="L48" s="37" t="str">
        <f t="shared" si="17"/>
        <v/>
      </c>
      <c r="M48" s="37" t="str">
        <f t="shared" si="17"/>
        <v/>
      </c>
      <c r="N48" s="37" t="str">
        <f t="shared" si="17"/>
        <v/>
      </c>
      <c r="O48" s="37" t="str">
        <f t="shared" si="17"/>
        <v/>
      </c>
      <c r="P48" s="37" t="str">
        <f t="shared" si="17"/>
        <v/>
      </c>
      <c r="Q48" s="37" t="str">
        <f t="shared" si="17"/>
        <v/>
      </c>
      <c r="R48" s="37" t="str">
        <f t="shared" si="17"/>
        <v/>
      </c>
      <c r="S48" s="37" t="str">
        <f t="shared" si="17"/>
        <v/>
      </c>
      <c r="T48" s="37">
        <v>2</v>
      </c>
      <c r="U48" s="37">
        <v>18</v>
      </c>
      <c r="V48" s="37">
        <v>2</v>
      </c>
      <c r="W48" s="37" t="str">
        <f t="shared" si="17"/>
        <v/>
      </c>
      <c r="X48" s="37">
        <v>9</v>
      </c>
      <c r="Y48" s="37" t="str">
        <f t="shared" si="17"/>
        <v/>
      </c>
      <c r="Z48" s="37" t="str">
        <f t="shared" si="17"/>
        <v/>
      </c>
      <c r="AA48" s="37" t="str">
        <f t="shared" si="17"/>
        <v/>
      </c>
      <c r="AB48" s="37" t="str">
        <f t="shared" si="17"/>
        <v/>
      </c>
      <c r="AC48" s="37" t="str">
        <f t="shared" si="17"/>
        <v/>
      </c>
      <c r="AD48" s="37" t="str">
        <f t="shared" si="17"/>
        <v/>
      </c>
      <c r="AE48" s="37" t="str">
        <f t="shared" si="17"/>
        <v/>
      </c>
      <c r="AF48" s="37" t="str">
        <f t="shared" si="17"/>
        <v/>
      </c>
      <c r="AG48" s="37" t="str">
        <f t="shared" si="17"/>
        <v/>
      </c>
      <c r="AH48" s="37" t="str">
        <f t="shared" si="17"/>
        <v/>
      </c>
      <c r="AI48" s="37" t="str">
        <f t="shared" si="17"/>
        <v/>
      </c>
      <c r="AJ48" s="37" t="str">
        <f t="shared" si="17"/>
        <v/>
      </c>
      <c r="AK48" s="37" t="str">
        <f t="shared" si="17"/>
        <v/>
      </c>
      <c r="AL48" s="37" t="str">
        <f t="shared" si="17"/>
        <v/>
      </c>
      <c r="AM48" s="37" t="str">
        <f t="shared" si="17"/>
        <v/>
      </c>
      <c r="AN48" s="37" t="str">
        <f t="shared" si="17"/>
        <v/>
      </c>
      <c r="AO48" s="37" t="str">
        <f t="shared" si="17"/>
        <v/>
      </c>
      <c r="AP48" s="37" t="str">
        <f t="shared" si="17"/>
        <v/>
      </c>
      <c r="AQ48" s="37" t="str">
        <f t="shared" si="17"/>
        <v/>
      </c>
      <c r="AR48" s="37" t="str">
        <f t="shared" si="17"/>
        <v/>
      </c>
      <c r="AS48" s="37" t="str">
        <f t="shared" si="17"/>
        <v/>
      </c>
      <c r="AT48" s="37" t="str">
        <f t="shared" si="17"/>
        <v/>
      </c>
      <c r="AU48" s="37" t="str">
        <f t="shared" si="17"/>
        <v/>
      </c>
      <c r="AV48" s="37" t="str">
        <f t="shared" si="17"/>
        <v/>
      </c>
      <c r="AW48" s="37" t="str">
        <f t="shared" si="17"/>
        <v/>
      </c>
      <c r="AX48" s="37" t="str">
        <f t="shared" si="17"/>
        <v/>
      </c>
      <c r="AY48" s="37" t="str">
        <f t="shared" si="17"/>
        <v/>
      </c>
      <c r="AZ48" s="37" t="str">
        <f t="shared" si="17"/>
        <v/>
      </c>
      <c r="BA48" s="37" t="str">
        <f t="shared" si="17"/>
        <v/>
      </c>
      <c r="BB48" s="37">
        <f t="shared" si="2"/>
        <v>31</v>
      </c>
      <c r="BC48" s="37" t="s">
        <v>140</v>
      </c>
      <c r="BD48" s="37"/>
      <c r="BE48" s="37">
        <f t="shared" si="3"/>
        <v>0</v>
      </c>
      <c r="BF48" s="37">
        <f t="shared" si="4"/>
        <v>31</v>
      </c>
    </row>
    <row r="49" spans="1:58" ht="21" x14ac:dyDescent="0.25">
      <c r="A49" s="39" t="s">
        <v>210</v>
      </c>
      <c r="B49" s="33" t="str">
        <f>VLOOKUP(A49,Лист1!B:C,2,0)</f>
        <v>Осуществляет мониторинг, прогнозирование и оценку экологической безопасности действующих, вновь строящихся и реконструируемых объектов</v>
      </c>
      <c r="C49" s="31" t="str">
        <f>IFERROR(SEARCH($A49,C$3),"")</f>
        <v/>
      </c>
      <c r="D49" s="31" t="str">
        <f t="shared" ref="D49:BD52" si="21">IFERROR(SEARCH($A49,D$3),"")</f>
        <v/>
      </c>
      <c r="E49" s="31" t="str">
        <f t="shared" si="21"/>
        <v/>
      </c>
      <c r="F49" s="31" t="str">
        <f t="shared" si="21"/>
        <v/>
      </c>
      <c r="G49" s="31" t="str">
        <f t="shared" si="21"/>
        <v/>
      </c>
      <c r="H49" s="31" t="str">
        <f t="shared" si="21"/>
        <v/>
      </c>
      <c r="I49" s="31" t="str">
        <f t="shared" si="21"/>
        <v/>
      </c>
      <c r="J49" s="31" t="str">
        <f t="shared" si="21"/>
        <v/>
      </c>
      <c r="K49" s="31" t="str">
        <f t="shared" si="21"/>
        <v/>
      </c>
      <c r="L49" s="31" t="str">
        <f t="shared" si="21"/>
        <v/>
      </c>
      <c r="M49" s="31" t="str">
        <f t="shared" si="21"/>
        <v/>
      </c>
      <c r="N49" s="31" t="str">
        <f t="shared" si="21"/>
        <v/>
      </c>
      <c r="O49" s="31" t="str">
        <f t="shared" si="21"/>
        <v/>
      </c>
      <c r="P49" s="31" t="str">
        <f t="shared" si="21"/>
        <v/>
      </c>
      <c r="Q49" s="31" t="str">
        <f t="shared" si="21"/>
        <v/>
      </c>
      <c r="R49" s="31" t="str">
        <f t="shared" si="21"/>
        <v/>
      </c>
      <c r="S49" s="31" t="str">
        <f t="shared" si="21"/>
        <v/>
      </c>
      <c r="T49" s="31" t="str">
        <f t="shared" si="21"/>
        <v/>
      </c>
      <c r="U49" s="40">
        <v>18</v>
      </c>
      <c r="V49" s="31" t="str">
        <f t="shared" si="21"/>
        <v/>
      </c>
      <c r="W49" s="31" t="str">
        <f t="shared" si="21"/>
        <v/>
      </c>
      <c r="X49" s="31" t="str">
        <f t="shared" si="21"/>
        <v/>
      </c>
      <c r="Y49" s="31" t="str">
        <f t="shared" si="21"/>
        <v/>
      </c>
      <c r="Z49" s="31" t="str">
        <f t="shared" si="21"/>
        <v/>
      </c>
      <c r="AA49" s="31" t="str">
        <f t="shared" si="21"/>
        <v/>
      </c>
      <c r="AB49" s="31" t="str">
        <f t="shared" si="21"/>
        <v/>
      </c>
      <c r="AC49" s="31" t="str">
        <f t="shared" si="21"/>
        <v/>
      </c>
      <c r="AD49" s="31" t="str">
        <f t="shared" si="21"/>
        <v/>
      </c>
      <c r="AE49" s="31" t="str">
        <f t="shared" si="21"/>
        <v/>
      </c>
      <c r="AF49" s="31" t="str">
        <f t="shared" si="21"/>
        <v/>
      </c>
      <c r="AG49" s="31" t="str">
        <f t="shared" si="21"/>
        <v/>
      </c>
      <c r="AH49" s="31" t="str">
        <f t="shared" si="21"/>
        <v/>
      </c>
      <c r="AI49" s="31" t="str">
        <f t="shared" si="21"/>
        <v/>
      </c>
      <c r="AJ49" s="31" t="str">
        <f t="shared" si="21"/>
        <v/>
      </c>
      <c r="AK49" s="31" t="str">
        <f t="shared" si="21"/>
        <v/>
      </c>
      <c r="AL49" s="31" t="str">
        <f t="shared" si="21"/>
        <v/>
      </c>
      <c r="AM49" s="31" t="str">
        <f t="shared" si="21"/>
        <v/>
      </c>
      <c r="AN49" s="31" t="str">
        <f t="shared" si="21"/>
        <v/>
      </c>
      <c r="AO49" s="31" t="str">
        <f t="shared" si="21"/>
        <v/>
      </c>
      <c r="AP49" s="31" t="str">
        <f t="shared" si="21"/>
        <v/>
      </c>
      <c r="AQ49" s="31" t="str">
        <f t="shared" si="21"/>
        <v/>
      </c>
      <c r="AR49" s="31" t="str">
        <f t="shared" si="21"/>
        <v/>
      </c>
      <c r="AS49" s="31" t="str">
        <f t="shared" si="21"/>
        <v/>
      </c>
      <c r="AT49" s="31" t="str">
        <f t="shared" si="21"/>
        <v/>
      </c>
      <c r="AU49" s="31" t="str">
        <f t="shared" si="21"/>
        <v/>
      </c>
      <c r="AV49" s="31" t="str">
        <f t="shared" si="21"/>
        <v/>
      </c>
      <c r="AW49" s="31" t="str">
        <f t="shared" si="21"/>
        <v/>
      </c>
      <c r="AX49" s="31" t="str">
        <f t="shared" si="21"/>
        <v/>
      </c>
      <c r="AY49" s="31" t="str">
        <f t="shared" si="21"/>
        <v/>
      </c>
      <c r="AZ49" s="31" t="str">
        <f t="shared" si="21"/>
        <v/>
      </c>
      <c r="BA49" s="31" t="str">
        <f t="shared" si="21"/>
        <v/>
      </c>
      <c r="BB49" s="31">
        <f t="shared" si="2"/>
        <v>18</v>
      </c>
      <c r="BC49" s="31" t="str">
        <f t="shared" si="21"/>
        <v/>
      </c>
      <c r="BD49" s="31" t="str">
        <f t="shared" si="21"/>
        <v/>
      </c>
      <c r="BE49" s="31">
        <f t="shared" si="3"/>
        <v>0</v>
      </c>
      <c r="BF49" s="31">
        <f t="shared" si="4"/>
        <v>18</v>
      </c>
    </row>
    <row r="50" spans="1:58" ht="31.5" x14ac:dyDescent="0.25">
      <c r="A50" s="39" t="s">
        <v>346</v>
      </c>
      <c r="B50" s="33" t="str">
        <f>VLOOKUP(A50,Лист1!B:C,2,0)</f>
        <v>Решает задачи профессиональной деятельности с учетом экономических ограничений на всех этапах жизненного цикла транспортно-технологических машин и комплексов</v>
      </c>
      <c r="C50" s="31" t="str">
        <f>IFERROR(SEARCH($A50,C$3),"")</f>
        <v/>
      </c>
      <c r="D50" s="31" t="str">
        <f t="shared" si="21"/>
        <v/>
      </c>
      <c r="E50" s="31" t="str">
        <f t="shared" si="21"/>
        <v/>
      </c>
      <c r="F50" s="31" t="str">
        <f t="shared" si="21"/>
        <v/>
      </c>
      <c r="G50" s="31" t="str">
        <f t="shared" si="21"/>
        <v/>
      </c>
      <c r="H50" s="31" t="str">
        <f t="shared" si="21"/>
        <v/>
      </c>
      <c r="I50" s="31" t="str">
        <f t="shared" si="21"/>
        <v/>
      </c>
      <c r="J50" s="31" t="str">
        <f t="shared" si="21"/>
        <v/>
      </c>
      <c r="K50" s="31" t="str">
        <f t="shared" si="21"/>
        <v/>
      </c>
      <c r="L50" s="31" t="str">
        <f t="shared" si="21"/>
        <v/>
      </c>
      <c r="M50" s="31" t="str">
        <f t="shared" si="21"/>
        <v/>
      </c>
      <c r="N50" s="31" t="str">
        <f t="shared" si="21"/>
        <v/>
      </c>
      <c r="O50" s="31" t="str">
        <f t="shared" si="21"/>
        <v/>
      </c>
      <c r="P50" s="31" t="str">
        <f t="shared" si="21"/>
        <v/>
      </c>
      <c r="Q50" s="31" t="str">
        <f t="shared" si="21"/>
        <v/>
      </c>
      <c r="R50" s="31" t="str">
        <f t="shared" si="21"/>
        <v/>
      </c>
      <c r="S50" s="31" t="str">
        <f t="shared" si="21"/>
        <v/>
      </c>
      <c r="T50" s="40">
        <v>2</v>
      </c>
      <c r="U50" s="31" t="str">
        <f t="shared" si="21"/>
        <v/>
      </c>
      <c r="V50" s="31" t="str">
        <f t="shared" si="21"/>
        <v/>
      </c>
      <c r="W50" s="31" t="str">
        <f t="shared" si="21"/>
        <v/>
      </c>
      <c r="X50" s="31" t="str">
        <f t="shared" si="21"/>
        <v/>
      </c>
      <c r="Y50" s="31" t="str">
        <f t="shared" si="21"/>
        <v/>
      </c>
      <c r="Z50" s="31" t="str">
        <f t="shared" si="21"/>
        <v/>
      </c>
      <c r="AA50" s="31" t="str">
        <f t="shared" si="21"/>
        <v/>
      </c>
      <c r="AB50" s="31" t="str">
        <f t="shared" si="21"/>
        <v/>
      </c>
      <c r="AC50" s="31" t="str">
        <f t="shared" si="21"/>
        <v/>
      </c>
      <c r="AD50" s="31" t="str">
        <f t="shared" si="21"/>
        <v/>
      </c>
      <c r="AE50" s="31" t="str">
        <f t="shared" si="21"/>
        <v/>
      </c>
      <c r="AF50" s="31" t="str">
        <f t="shared" si="21"/>
        <v/>
      </c>
      <c r="AG50" s="31" t="str">
        <f t="shared" si="21"/>
        <v/>
      </c>
      <c r="AH50" s="31" t="str">
        <f t="shared" si="21"/>
        <v/>
      </c>
      <c r="AI50" s="31" t="str">
        <f t="shared" si="21"/>
        <v/>
      </c>
      <c r="AJ50" s="31" t="str">
        <f t="shared" si="21"/>
        <v/>
      </c>
      <c r="AK50" s="31" t="str">
        <f t="shared" si="21"/>
        <v/>
      </c>
      <c r="AL50" s="31" t="str">
        <f t="shared" si="21"/>
        <v/>
      </c>
      <c r="AM50" s="31" t="str">
        <f t="shared" si="21"/>
        <v/>
      </c>
      <c r="AN50" s="31" t="str">
        <f t="shared" si="21"/>
        <v/>
      </c>
      <c r="AO50" s="31" t="str">
        <f t="shared" si="21"/>
        <v/>
      </c>
      <c r="AP50" s="31" t="str">
        <f t="shared" si="21"/>
        <v/>
      </c>
      <c r="AQ50" s="31" t="str">
        <f t="shared" si="21"/>
        <v/>
      </c>
      <c r="AR50" s="31" t="str">
        <f t="shared" si="21"/>
        <v/>
      </c>
      <c r="AS50" s="31" t="str">
        <f t="shared" si="21"/>
        <v/>
      </c>
      <c r="AT50" s="31" t="str">
        <f t="shared" si="21"/>
        <v/>
      </c>
      <c r="AU50" s="31" t="str">
        <f t="shared" si="21"/>
        <v/>
      </c>
      <c r="AV50" s="31" t="str">
        <f t="shared" si="21"/>
        <v/>
      </c>
      <c r="AW50" s="31" t="str">
        <f t="shared" si="21"/>
        <v/>
      </c>
      <c r="AX50" s="31" t="str">
        <f t="shared" si="21"/>
        <v/>
      </c>
      <c r="AY50" s="31" t="str">
        <f t="shared" si="21"/>
        <v/>
      </c>
      <c r="AZ50" s="31" t="str">
        <f t="shared" si="21"/>
        <v/>
      </c>
      <c r="BA50" s="31" t="str">
        <f t="shared" si="21"/>
        <v/>
      </c>
      <c r="BB50" s="31">
        <f t="shared" si="2"/>
        <v>2</v>
      </c>
      <c r="BC50" s="31" t="str">
        <f t="shared" si="21"/>
        <v/>
      </c>
      <c r="BD50" s="31" t="str">
        <f t="shared" si="21"/>
        <v/>
      </c>
      <c r="BE50" s="31">
        <f t="shared" si="3"/>
        <v>0</v>
      </c>
      <c r="BF50" s="31">
        <f t="shared" si="4"/>
        <v>2</v>
      </c>
    </row>
    <row r="51" spans="1:58" ht="21" x14ac:dyDescent="0.25">
      <c r="A51" s="39" t="s">
        <v>348</v>
      </c>
      <c r="B51" s="33" t="str">
        <f>VLOOKUP(A51,Лист1!B:C,2,0)</f>
        <v>Применяет теоретические основы менеджмента при решении профессиональных задач</v>
      </c>
      <c r="C51" s="31" t="str">
        <f>IFERROR(SEARCH($A51,C$3),"")</f>
        <v/>
      </c>
      <c r="D51" s="31" t="str">
        <f t="shared" si="21"/>
        <v/>
      </c>
      <c r="E51" s="31" t="str">
        <f t="shared" si="21"/>
        <v/>
      </c>
      <c r="F51" s="31" t="str">
        <f t="shared" si="21"/>
        <v/>
      </c>
      <c r="G51" s="31" t="str">
        <f t="shared" si="21"/>
        <v/>
      </c>
      <c r="H51" s="31" t="str">
        <f t="shared" si="21"/>
        <v/>
      </c>
      <c r="I51" s="31" t="str">
        <f t="shared" si="21"/>
        <v/>
      </c>
      <c r="J51" s="31" t="str">
        <f t="shared" si="21"/>
        <v/>
      </c>
      <c r="K51" s="31" t="str">
        <f t="shared" si="21"/>
        <v/>
      </c>
      <c r="L51" s="31" t="str">
        <f t="shared" si="21"/>
        <v/>
      </c>
      <c r="M51" s="31" t="str">
        <f t="shared" si="21"/>
        <v/>
      </c>
      <c r="N51" s="31" t="str">
        <f t="shared" si="21"/>
        <v/>
      </c>
      <c r="O51" s="31" t="str">
        <f t="shared" si="21"/>
        <v/>
      </c>
      <c r="P51" s="31" t="str">
        <f t="shared" si="21"/>
        <v/>
      </c>
      <c r="Q51" s="31" t="str">
        <f t="shared" si="21"/>
        <v/>
      </c>
      <c r="R51" s="31" t="str">
        <f t="shared" si="21"/>
        <v/>
      </c>
      <c r="S51" s="31" t="str">
        <f t="shared" si="21"/>
        <v/>
      </c>
      <c r="T51" s="31" t="str">
        <f t="shared" si="21"/>
        <v/>
      </c>
      <c r="U51" s="31" t="str">
        <f t="shared" si="21"/>
        <v/>
      </c>
      <c r="V51" s="40">
        <v>2</v>
      </c>
      <c r="W51" s="31" t="str">
        <f t="shared" si="21"/>
        <v/>
      </c>
      <c r="X51" s="31" t="str">
        <f t="shared" si="21"/>
        <v/>
      </c>
      <c r="Y51" s="31" t="str">
        <f t="shared" si="21"/>
        <v/>
      </c>
      <c r="Z51" s="31" t="str">
        <f t="shared" si="21"/>
        <v/>
      </c>
      <c r="AA51" s="31" t="str">
        <f t="shared" si="21"/>
        <v/>
      </c>
      <c r="AB51" s="31" t="str">
        <f t="shared" si="21"/>
        <v/>
      </c>
      <c r="AC51" s="31" t="str">
        <f t="shared" si="21"/>
        <v/>
      </c>
      <c r="AD51" s="31" t="str">
        <f t="shared" si="21"/>
        <v/>
      </c>
      <c r="AE51" s="31" t="str">
        <f t="shared" si="21"/>
        <v/>
      </c>
      <c r="AF51" s="31" t="str">
        <f t="shared" si="21"/>
        <v/>
      </c>
      <c r="AG51" s="31" t="str">
        <f t="shared" si="21"/>
        <v/>
      </c>
      <c r="AH51" s="31" t="str">
        <f t="shared" si="21"/>
        <v/>
      </c>
      <c r="AI51" s="31" t="str">
        <f t="shared" si="21"/>
        <v/>
      </c>
      <c r="AJ51" s="31" t="str">
        <f t="shared" si="21"/>
        <v/>
      </c>
      <c r="AK51" s="31" t="str">
        <f t="shared" si="21"/>
        <v/>
      </c>
      <c r="AL51" s="31" t="str">
        <f t="shared" si="21"/>
        <v/>
      </c>
      <c r="AM51" s="31" t="str">
        <f t="shared" si="21"/>
        <v/>
      </c>
      <c r="AN51" s="31" t="str">
        <f t="shared" si="21"/>
        <v/>
      </c>
      <c r="AO51" s="31" t="str">
        <f t="shared" si="21"/>
        <v/>
      </c>
      <c r="AP51" s="31" t="str">
        <f t="shared" si="21"/>
        <v/>
      </c>
      <c r="AQ51" s="31" t="str">
        <f t="shared" si="21"/>
        <v/>
      </c>
      <c r="AR51" s="31" t="str">
        <f t="shared" si="21"/>
        <v/>
      </c>
      <c r="AS51" s="31" t="str">
        <f t="shared" si="21"/>
        <v/>
      </c>
      <c r="AT51" s="31" t="str">
        <f t="shared" si="21"/>
        <v/>
      </c>
      <c r="AU51" s="31" t="str">
        <f t="shared" si="21"/>
        <v/>
      </c>
      <c r="AV51" s="31" t="str">
        <f t="shared" si="21"/>
        <v/>
      </c>
      <c r="AW51" s="31" t="str">
        <f t="shared" si="21"/>
        <v/>
      </c>
      <c r="AX51" s="31" t="str">
        <f t="shared" si="21"/>
        <v/>
      </c>
      <c r="AY51" s="31" t="str">
        <f t="shared" si="21"/>
        <v/>
      </c>
      <c r="AZ51" s="31" t="str">
        <f t="shared" si="21"/>
        <v/>
      </c>
      <c r="BA51" s="31" t="str">
        <f t="shared" si="21"/>
        <v/>
      </c>
      <c r="BB51" s="31">
        <f t="shared" si="2"/>
        <v>2</v>
      </c>
      <c r="BC51" s="31" t="str">
        <f t="shared" si="21"/>
        <v/>
      </c>
      <c r="BD51" s="31" t="str">
        <f t="shared" si="21"/>
        <v/>
      </c>
      <c r="BE51" s="31">
        <f t="shared" si="3"/>
        <v>0</v>
      </c>
      <c r="BF51" s="31">
        <f t="shared" si="4"/>
        <v>2</v>
      </c>
    </row>
    <row r="52" spans="1:58" ht="21" x14ac:dyDescent="0.25">
      <c r="A52" s="39" t="s">
        <v>350</v>
      </c>
      <c r="B52" s="33" t="str">
        <f>VLOOKUP(A52,Лист1!B:C,2,0)</f>
        <v>Предлагает решение проблем, связанных с формированием или развитием транспортно-технологических систем (в том числе машин и комплексов)</v>
      </c>
      <c r="C52" s="31" t="str">
        <f>IFERROR(SEARCH($A52,C$3),"")</f>
        <v/>
      </c>
      <c r="D52" s="31" t="str">
        <f t="shared" si="21"/>
        <v/>
      </c>
      <c r="E52" s="31" t="str">
        <f t="shared" si="21"/>
        <v/>
      </c>
      <c r="F52" s="31" t="str">
        <f t="shared" si="21"/>
        <v/>
      </c>
      <c r="G52" s="31" t="str">
        <f t="shared" si="21"/>
        <v/>
      </c>
      <c r="H52" s="31" t="str">
        <f t="shared" si="21"/>
        <v/>
      </c>
      <c r="I52" s="31" t="str">
        <f t="shared" si="21"/>
        <v/>
      </c>
      <c r="J52" s="31" t="str">
        <f t="shared" si="21"/>
        <v/>
      </c>
      <c r="K52" s="31" t="str">
        <f t="shared" si="21"/>
        <v/>
      </c>
      <c r="L52" s="31" t="str">
        <f t="shared" si="21"/>
        <v/>
      </c>
      <c r="M52" s="31" t="str">
        <f t="shared" si="21"/>
        <v/>
      </c>
      <c r="N52" s="31" t="str">
        <f t="shared" si="21"/>
        <v/>
      </c>
      <c r="O52" s="31" t="str">
        <f t="shared" si="21"/>
        <v/>
      </c>
      <c r="P52" s="31" t="str">
        <f t="shared" si="21"/>
        <v/>
      </c>
      <c r="Q52" s="31" t="str">
        <f t="shared" si="21"/>
        <v/>
      </c>
      <c r="R52" s="31" t="str">
        <f t="shared" si="21"/>
        <v/>
      </c>
      <c r="S52" s="31" t="str">
        <f t="shared" si="21"/>
        <v/>
      </c>
      <c r="T52" s="31" t="str">
        <f t="shared" si="21"/>
        <v/>
      </c>
      <c r="U52" s="31" t="str">
        <f t="shared" si="21"/>
        <v/>
      </c>
      <c r="V52" s="31" t="str">
        <f t="shared" si="21"/>
        <v/>
      </c>
      <c r="W52" s="31" t="str">
        <f t="shared" si="21"/>
        <v/>
      </c>
      <c r="X52" s="40">
        <v>9</v>
      </c>
      <c r="Y52" s="31" t="str">
        <f t="shared" si="21"/>
        <v/>
      </c>
      <c r="Z52" s="31" t="str">
        <f t="shared" si="21"/>
        <v/>
      </c>
      <c r="AA52" s="31" t="str">
        <f t="shared" si="21"/>
        <v/>
      </c>
      <c r="AB52" s="31" t="str">
        <f t="shared" si="21"/>
        <v/>
      </c>
      <c r="AC52" s="31" t="str">
        <f t="shared" si="21"/>
        <v/>
      </c>
      <c r="AD52" s="31" t="str">
        <f t="shared" si="21"/>
        <v/>
      </c>
      <c r="AE52" s="31" t="str">
        <f t="shared" si="21"/>
        <v/>
      </c>
      <c r="AF52" s="31" t="str">
        <f t="shared" si="21"/>
        <v/>
      </c>
      <c r="AG52" s="31" t="str">
        <f t="shared" si="21"/>
        <v/>
      </c>
      <c r="AH52" s="31" t="str">
        <f t="shared" si="21"/>
        <v/>
      </c>
      <c r="AI52" s="31" t="str">
        <f t="shared" si="21"/>
        <v/>
      </c>
      <c r="AJ52" s="31" t="str">
        <f t="shared" si="21"/>
        <v/>
      </c>
      <c r="AK52" s="31" t="str">
        <f t="shared" si="21"/>
        <v/>
      </c>
      <c r="AL52" s="31" t="str">
        <f t="shared" si="21"/>
        <v/>
      </c>
      <c r="AM52" s="31" t="str">
        <f t="shared" si="21"/>
        <v/>
      </c>
      <c r="AN52" s="31" t="str">
        <f t="shared" si="21"/>
        <v/>
      </c>
      <c r="AO52" s="31" t="str">
        <f t="shared" si="21"/>
        <v/>
      </c>
      <c r="AP52" s="31" t="str">
        <f t="shared" si="21"/>
        <v/>
      </c>
      <c r="AQ52" s="31" t="str">
        <f t="shared" si="21"/>
        <v/>
      </c>
      <c r="AR52" s="31" t="str">
        <f t="shared" si="21"/>
        <v/>
      </c>
      <c r="AS52" s="31" t="str">
        <f t="shared" si="21"/>
        <v/>
      </c>
      <c r="AT52" s="31" t="str">
        <f t="shared" si="21"/>
        <v/>
      </c>
      <c r="AU52" s="31" t="str">
        <f t="shared" si="21"/>
        <v/>
      </c>
      <c r="AV52" s="31" t="str">
        <f t="shared" si="21"/>
        <v/>
      </c>
      <c r="AW52" s="31" t="str">
        <f t="shared" si="21"/>
        <v/>
      </c>
      <c r="AX52" s="31" t="str">
        <f t="shared" si="21"/>
        <v/>
      </c>
      <c r="AY52" s="31" t="str">
        <f t="shared" si="21"/>
        <v/>
      </c>
      <c r="AZ52" s="31" t="str">
        <f t="shared" si="21"/>
        <v/>
      </c>
      <c r="BA52" s="31" t="str">
        <f t="shared" si="21"/>
        <v/>
      </c>
      <c r="BB52" s="31">
        <f t="shared" si="2"/>
        <v>9</v>
      </c>
      <c r="BC52" s="31" t="str">
        <f t="shared" si="21"/>
        <v/>
      </c>
      <c r="BD52" s="31" t="str">
        <f t="shared" si="21"/>
        <v/>
      </c>
      <c r="BE52" s="31">
        <f t="shared" si="3"/>
        <v>0</v>
      </c>
      <c r="BF52" s="31">
        <f t="shared" si="4"/>
        <v>9</v>
      </c>
    </row>
    <row r="53" spans="1:58" s="38" customFormat="1" ht="31.5" x14ac:dyDescent="0.25">
      <c r="A53" s="36" t="s">
        <v>88</v>
      </c>
      <c r="B53" s="36" t="str">
        <f>VLOOKUP(A53,Лист1!B:C,2,0)</f>
        <v>Способен в сфере своей профессиональной деятельности проводить измерения и наблюдения, обрабатывать и представлять экспериментальные данные и результаты испытаний</v>
      </c>
      <c r="C53" s="37" t="str">
        <f t="shared" si="5"/>
        <v/>
      </c>
      <c r="D53" s="37" t="str">
        <f t="shared" si="5"/>
        <v/>
      </c>
      <c r="E53" s="37" t="str">
        <f t="shared" si="5"/>
        <v/>
      </c>
      <c r="F53" s="37" t="str">
        <f t="shared" si="5"/>
        <v/>
      </c>
      <c r="G53" s="37" t="str">
        <f t="shared" si="5"/>
        <v/>
      </c>
      <c r="H53" s="37" t="str">
        <f t="shared" si="5"/>
        <v/>
      </c>
      <c r="I53" s="37" t="str">
        <f t="shared" si="5"/>
        <v/>
      </c>
      <c r="J53" s="37" t="str">
        <f t="shared" si="17"/>
        <v/>
      </c>
      <c r="K53" s="37" t="str">
        <f t="shared" si="17"/>
        <v/>
      </c>
      <c r="L53" s="37" t="str">
        <f t="shared" si="17"/>
        <v/>
      </c>
      <c r="M53" s="37" t="str">
        <f t="shared" si="17"/>
        <v/>
      </c>
      <c r="N53" s="37" t="str">
        <f t="shared" si="17"/>
        <v/>
      </c>
      <c r="O53" s="37" t="str">
        <f t="shared" si="17"/>
        <v/>
      </c>
      <c r="P53" s="37" t="str">
        <f t="shared" si="17"/>
        <v/>
      </c>
      <c r="Q53" s="37" t="str">
        <f t="shared" si="17"/>
        <v/>
      </c>
      <c r="R53" s="37" t="str">
        <f t="shared" si="17"/>
        <v/>
      </c>
      <c r="S53" s="37" t="str">
        <f t="shared" si="17"/>
        <v/>
      </c>
      <c r="T53" s="37" t="str">
        <f t="shared" si="17"/>
        <v/>
      </c>
      <c r="U53" s="37" t="str">
        <f t="shared" si="17"/>
        <v/>
      </c>
      <c r="V53" s="37" t="str">
        <f t="shared" si="17"/>
        <v/>
      </c>
      <c r="W53" s="37">
        <v>16</v>
      </c>
      <c r="X53" s="37" t="str">
        <f t="shared" si="17"/>
        <v/>
      </c>
      <c r="Y53" s="37" t="str">
        <f t="shared" si="17"/>
        <v/>
      </c>
      <c r="Z53" s="37" t="str">
        <f t="shared" si="17"/>
        <v/>
      </c>
      <c r="AA53" s="37" t="str">
        <f t="shared" si="17"/>
        <v/>
      </c>
      <c r="AB53" s="37" t="str">
        <f t="shared" si="17"/>
        <v/>
      </c>
      <c r="AC53" s="37" t="str">
        <f t="shared" si="17"/>
        <v/>
      </c>
      <c r="AD53" s="37" t="str">
        <f t="shared" si="17"/>
        <v/>
      </c>
      <c r="AE53" s="37" t="str">
        <f t="shared" si="17"/>
        <v/>
      </c>
      <c r="AF53" s="37" t="str">
        <f t="shared" si="17"/>
        <v/>
      </c>
      <c r="AG53" s="37" t="str">
        <f t="shared" si="17"/>
        <v/>
      </c>
      <c r="AH53" s="37" t="str">
        <f t="shared" si="17"/>
        <v/>
      </c>
      <c r="AI53" s="37" t="str">
        <f t="shared" si="17"/>
        <v/>
      </c>
      <c r="AJ53" s="37" t="str">
        <f t="shared" si="17"/>
        <v/>
      </c>
      <c r="AK53" s="37" t="str">
        <f t="shared" si="17"/>
        <v/>
      </c>
      <c r="AL53" s="37" t="str">
        <f t="shared" si="17"/>
        <v/>
      </c>
      <c r="AM53" s="37" t="str">
        <f t="shared" si="17"/>
        <v/>
      </c>
      <c r="AN53" s="37" t="str">
        <f t="shared" si="17"/>
        <v/>
      </c>
      <c r="AO53" s="37" t="str">
        <f t="shared" si="17"/>
        <v/>
      </c>
      <c r="AP53" s="37" t="str">
        <f t="shared" si="17"/>
        <v/>
      </c>
      <c r="AQ53" s="37" t="str">
        <f t="shared" si="17"/>
        <v/>
      </c>
      <c r="AR53" s="37" t="str">
        <f t="shared" si="17"/>
        <v/>
      </c>
      <c r="AS53" s="37" t="str">
        <f t="shared" si="17"/>
        <v/>
      </c>
      <c r="AT53" s="37" t="str">
        <f t="shared" si="17"/>
        <v/>
      </c>
      <c r="AU53" s="37" t="str">
        <f t="shared" si="17"/>
        <v/>
      </c>
      <c r="AV53" s="37" t="str">
        <f t="shared" si="17"/>
        <v/>
      </c>
      <c r="AW53" s="37" t="str">
        <f t="shared" si="17"/>
        <v/>
      </c>
      <c r="AX53" s="37" t="str">
        <f t="shared" si="17"/>
        <v/>
      </c>
      <c r="AY53" s="37" t="str">
        <f t="shared" si="17"/>
        <v/>
      </c>
      <c r="AZ53" s="37" t="str">
        <f t="shared" si="17"/>
        <v/>
      </c>
      <c r="BA53" s="37" t="str">
        <f t="shared" si="17"/>
        <v/>
      </c>
      <c r="BB53" s="37">
        <f t="shared" si="2"/>
        <v>16</v>
      </c>
      <c r="BC53" s="37" t="str">
        <f>IFERROR(SEARCH(_xlfn.CONCAT(" ",$A53),#REF!),"")</f>
        <v/>
      </c>
      <c r="BD53" s="37"/>
      <c r="BE53" s="37">
        <f t="shared" si="3"/>
        <v>0</v>
      </c>
      <c r="BF53" s="37">
        <f t="shared" si="4"/>
        <v>16</v>
      </c>
    </row>
    <row r="54" spans="1:58" ht="21" x14ac:dyDescent="0.25">
      <c r="A54" s="39" t="s">
        <v>353</v>
      </c>
      <c r="B54" s="33" t="str">
        <f>VLOOKUP(A54,Лист1!B:C,2,0)</f>
        <v>Проводит измерения и наблюдения с использованием технических средств с учетом правовых норм метрологии</v>
      </c>
      <c r="C54" s="31" t="str">
        <f>IFERROR(SEARCH($A54,C$3),"")</f>
        <v/>
      </c>
      <c r="D54" s="31" t="str">
        <f t="shared" ref="D54:BD55" si="22">IFERROR(SEARCH($A54,D$3),"")</f>
        <v/>
      </c>
      <c r="E54" s="31" t="str">
        <f t="shared" si="22"/>
        <v/>
      </c>
      <c r="F54" s="31" t="str">
        <f t="shared" si="22"/>
        <v/>
      </c>
      <c r="G54" s="31" t="str">
        <f t="shared" si="22"/>
        <v/>
      </c>
      <c r="H54" s="31" t="str">
        <f t="shared" si="22"/>
        <v/>
      </c>
      <c r="I54" s="31" t="str">
        <f t="shared" si="22"/>
        <v/>
      </c>
      <c r="J54" s="31" t="str">
        <f t="shared" si="22"/>
        <v/>
      </c>
      <c r="K54" s="31" t="str">
        <f t="shared" si="22"/>
        <v/>
      </c>
      <c r="L54" s="31" t="str">
        <f t="shared" si="22"/>
        <v/>
      </c>
      <c r="M54" s="31" t="str">
        <f t="shared" si="22"/>
        <v/>
      </c>
      <c r="N54" s="31" t="str">
        <f t="shared" si="22"/>
        <v/>
      </c>
      <c r="O54" s="31" t="str">
        <f t="shared" si="22"/>
        <v/>
      </c>
      <c r="P54" s="31" t="str">
        <f t="shared" si="22"/>
        <v/>
      </c>
      <c r="Q54" s="31" t="str">
        <f t="shared" si="22"/>
        <v/>
      </c>
      <c r="R54" s="31" t="str">
        <f t="shared" si="22"/>
        <v/>
      </c>
      <c r="S54" s="31" t="str">
        <f t="shared" si="22"/>
        <v/>
      </c>
      <c r="T54" s="31" t="str">
        <f t="shared" si="22"/>
        <v/>
      </c>
      <c r="U54" s="31" t="str">
        <f t="shared" si="22"/>
        <v/>
      </c>
      <c r="V54" s="31" t="str">
        <f t="shared" si="22"/>
        <v/>
      </c>
      <c r="W54" s="40">
        <v>8</v>
      </c>
      <c r="X54" s="31" t="str">
        <f t="shared" si="22"/>
        <v/>
      </c>
      <c r="Y54" s="31" t="str">
        <f t="shared" si="22"/>
        <v/>
      </c>
      <c r="Z54" s="31" t="str">
        <f t="shared" si="22"/>
        <v/>
      </c>
      <c r="AA54" s="31" t="str">
        <f t="shared" si="22"/>
        <v/>
      </c>
      <c r="AB54" s="31" t="str">
        <f t="shared" si="22"/>
        <v/>
      </c>
      <c r="AC54" s="31" t="str">
        <f t="shared" si="22"/>
        <v/>
      </c>
      <c r="AD54" s="31" t="str">
        <f t="shared" si="22"/>
        <v/>
      </c>
      <c r="AE54" s="31" t="str">
        <f t="shared" si="22"/>
        <v/>
      </c>
      <c r="AF54" s="31" t="str">
        <f t="shared" si="22"/>
        <v/>
      </c>
      <c r="AG54" s="31" t="str">
        <f t="shared" si="22"/>
        <v/>
      </c>
      <c r="AH54" s="31" t="str">
        <f t="shared" si="22"/>
        <v/>
      </c>
      <c r="AI54" s="31" t="str">
        <f t="shared" si="22"/>
        <v/>
      </c>
      <c r="AJ54" s="31" t="str">
        <f t="shared" si="22"/>
        <v/>
      </c>
      <c r="AK54" s="31" t="str">
        <f t="shared" si="22"/>
        <v/>
      </c>
      <c r="AL54" s="31" t="str">
        <f t="shared" si="22"/>
        <v/>
      </c>
      <c r="AM54" s="31" t="str">
        <f t="shared" si="22"/>
        <v/>
      </c>
      <c r="AN54" s="31" t="str">
        <f t="shared" si="22"/>
        <v/>
      </c>
      <c r="AO54" s="31" t="str">
        <f t="shared" si="22"/>
        <v/>
      </c>
      <c r="AP54" s="31" t="str">
        <f t="shared" si="22"/>
        <v/>
      </c>
      <c r="AQ54" s="31" t="str">
        <f t="shared" si="22"/>
        <v/>
      </c>
      <c r="AR54" s="31" t="str">
        <f t="shared" si="22"/>
        <v/>
      </c>
      <c r="AS54" s="31" t="str">
        <f t="shared" si="22"/>
        <v/>
      </c>
      <c r="AT54" s="31" t="str">
        <f t="shared" si="22"/>
        <v/>
      </c>
      <c r="AU54" s="31" t="str">
        <f t="shared" si="22"/>
        <v/>
      </c>
      <c r="AV54" s="31" t="str">
        <f t="shared" si="22"/>
        <v/>
      </c>
      <c r="AW54" s="31" t="str">
        <f t="shared" si="22"/>
        <v/>
      </c>
      <c r="AX54" s="31" t="str">
        <f t="shared" si="22"/>
        <v/>
      </c>
      <c r="AY54" s="31" t="str">
        <f t="shared" si="22"/>
        <v/>
      </c>
      <c r="AZ54" s="31" t="str">
        <f t="shared" si="22"/>
        <v/>
      </c>
      <c r="BA54" s="31" t="str">
        <f t="shared" si="22"/>
        <v/>
      </c>
      <c r="BB54" s="31">
        <f t="shared" si="2"/>
        <v>8</v>
      </c>
      <c r="BC54" s="31" t="str">
        <f t="shared" si="22"/>
        <v/>
      </c>
      <c r="BD54" s="31" t="str">
        <f t="shared" si="22"/>
        <v/>
      </c>
      <c r="BE54" s="31">
        <f t="shared" si="3"/>
        <v>0</v>
      </c>
      <c r="BF54" s="31">
        <f t="shared" si="4"/>
        <v>8</v>
      </c>
    </row>
    <row r="55" spans="1:58" ht="31.5" x14ac:dyDescent="0.25">
      <c r="A55" s="39" t="s">
        <v>355</v>
      </c>
      <c r="B55" s="33" t="str">
        <f>VLOOKUP(A55,Лист1!B:C,2,0)</f>
        <v>Обрабатывает и представляет результаты измерений в ходе выполнения экспериментальных испытаний в соответствии с требованиями действующих стандартов</v>
      </c>
      <c r="C55" s="31" t="str">
        <f>IFERROR(SEARCH($A55,C$3),"")</f>
        <v/>
      </c>
      <c r="D55" s="31" t="str">
        <f t="shared" si="22"/>
        <v/>
      </c>
      <c r="E55" s="31" t="str">
        <f t="shared" si="22"/>
        <v/>
      </c>
      <c r="F55" s="31" t="str">
        <f t="shared" si="22"/>
        <v/>
      </c>
      <c r="G55" s="31" t="str">
        <f t="shared" si="22"/>
        <v/>
      </c>
      <c r="H55" s="31" t="str">
        <f t="shared" si="22"/>
        <v/>
      </c>
      <c r="I55" s="31" t="str">
        <f t="shared" si="22"/>
        <v/>
      </c>
      <c r="J55" s="31" t="str">
        <f t="shared" si="22"/>
        <v/>
      </c>
      <c r="K55" s="31" t="str">
        <f t="shared" si="22"/>
        <v/>
      </c>
      <c r="L55" s="31" t="str">
        <f t="shared" si="22"/>
        <v/>
      </c>
      <c r="M55" s="31" t="str">
        <f t="shared" si="22"/>
        <v/>
      </c>
      <c r="N55" s="31" t="str">
        <f t="shared" si="22"/>
        <v/>
      </c>
      <c r="O55" s="31" t="str">
        <f t="shared" si="22"/>
        <v/>
      </c>
      <c r="P55" s="31" t="str">
        <f t="shared" si="22"/>
        <v/>
      </c>
      <c r="Q55" s="31" t="str">
        <f t="shared" si="22"/>
        <v/>
      </c>
      <c r="R55" s="31" t="str">
        <f t="shared" si="22"/>
        <v/>
      </c>
      <c r="S55" s="31" t="str">
        <f t="shared" si="22"/>
        <v/>
      </c>
      <c r="T55" s="31" t="str">
        <f t="shared" si="22"/>
        <v/>
      </c>
      <c r="U55" s="31" t="str">
        <f t="shared" si="22"/>
        <v/>
      </c>
      <c r="V55" s="31" t="str">
        <f t="shared" si="22"/>
        <v/>
      </c>
      <c r="W55" s="40">
        <v>8</v>
      </c>
      <c r="X55" s="31" t="str">
        <f t="shared" si="22"/>
        <v/>
      </c>
      <c r="Y55" s="31" t="str">
        <f t="shared" si="22"/>
        <v/>
      </c>
      <c r="Z55" s="31" t="str">
        <f t="shared" si="22"/>
        <v/>
      </c>
      <c r="AA55" s="31" t="str">
        <f t="shared" si="22"/>
        <v/>
      </c>
      <c r="AB55" s="31" t="str">
        <f t="shared" si="22"/>
        <v/>
      </c>
      <c r="AC55" s="31" t="str">
        <f t="shared" si="22"/>
        <v/>
      </c>
      <c r="AD55" s="31" t="str">
        <f t="shared" si="22"/>
        <v/>
      </c>
      <c r="AE55" s="31" t="str">
        <f t="shared" si="22"/>
        <v/>
      </c>
      <c r="AF55" s="31" t="str">
        <f t="shared" si="22"/>
        <v/>
      </c>
      <c r="AG55" s="31" t="str">
        <f t="shared" si="22"/>
        <v/>
      </c>
      <c r="AH55" s="31" t="str">
        <f t="shared" si="22"/>
        <v/>
      </c>
      <c r="AI55" s="31" t="str">
        <f t="shared" si="22"/>
        <v/>
      </c>
      <c r="AJ55" s="31" t="str">
        <f t="shared" si="22"/>
        <v/>
      </c>
      <c r="AK55" s="31" t="str">
        <f t="shared" si="22"/>
        <v/>
      </c>
      <c r="AL55" s="31" t="str">
        <f t="shared" si="22"/>
        <v/>
      </c>
      <c r="AM55" s="31" t="str">
        <f t="shared" si="22"/>
        <v/>
      </c>
      <c r="AN55" s="31" t="str">
        <f t="shared" si="22"/>
        <v/>
      </c>
      <c r="AO55" s="31" t="str">
        <f t="shared" si="22"/>
        <v/>
      </c>
      <c r="AP55" s="31" t="str">
        <f t="shared" si="22"/>
        <v/>
      </c>
      <c r="AQ55" s="31" t="str">
        <f t="shared" si="22"/>
        <v/>
      </c>
      <c r="AR55" s="31" t="str">
        <f t="shared" si="22"/>
        <v/>
      </c>
      <c r="AS55" s="31" t="str">
        <f t="shared" si="22"/>
        <v/>
      </c>
      <c r="AT55" s="31" t="str">
        <f t="shared" si="22"/>
        <v/>
      </c>
      <c r="AU55" s="31" t="str">
        <f t="shared" si="22"/>
        <v/>
      </c>
      <c r="AV55" s="31" t="str">
        <f t="shared" si="22"/>
        <v/>
      </c>
      <c r="AW55" s="31" t="str">
        <f t="shared" si="22"/>
        <v/>
      </c>
      <c r="AX55" s="31" t="str">
        <f t="shared" si="22"/>
        <v/>
      </c>
      <c r="AY55" s="31" t="str">
        <f t="shared" si="22"/>
        <v/>
      </c>
      <c r="AZ55" s="31" t="str">
        <f t="shared" si="22"/>
        <v/>
      </c>
      <c r="BA55" s="31" t="str">
        <f t="shared" si="22"/>
        <v/>
      </c>
      <c r="BB55" s="31">
        <f t="shared" si="2"/>
        <v>8</v>
      </c>
      <c r="BC55" s="31" t="str">
        <f t="shared" si="22"/>
        <v/>
      </c>
      <c r="BD55" s="31" t="str">
        <f t="shared" si="22"/>
        <v/>
      </c>
      <c r="BE55" s="31">
        <f t="shared" si="3"/>
        <v>0</v>
      </c>
      <c r="BF55" s="31">
        <f t="shared" si="4"/>
        <v>8</v>
      </c>
    </row>
    <row r="56" spans="1:58" s="38" customFormat="1" ht="31.5" x14ac:dyDescent="0.25">
      <c r="A56" s="36" t="s">
        <v>92</v>
      </c>
      <c r="B56" s="36" t="str">
        <f>VLOOKUP(A56,Лист1!B:C,2,0)</f>
        <v>Способен понимать принципы работы современных информационных технологий и использовать их для решения задач профессиональной деятельности</v>
      </c>
      <c r="C56" s="37" t="str">
        <f t="shared" si="5"/>
        <v/>
      </c>
      <c r="D56" s="37" t="str">
        <f t="shared" si="5"/>
        <v/>
      </c>
      <c r="E56" s="37" t="str">
        <f t="shared" si="5"/>
        <v/>
      </c>
      <c r="F56" s="37" t="str">
        <f t="shared" si="5"/>
        <v/>
      </c>
      <c r="G56" s="37" t="str">
        <f t="shared" si="5"/>
        <v/>
      </c>
      <c r="H56" s="37">
        <v>18</v>
      </c>
      <c r="I56" s="37">
        <v>18</v>
      </c>
      <c r="J56" s="37" t="str">
        <f t="shared" si="17"/>
        <v/>
      </c>
      <c r="K56" s="37" t="str">
        <f t="shared" si="17"/>
        <v/>
      </c>
      <c r="L56" s="37" t="str">
        <f t="shared" si="17"/>
        <v/>
      </c>
      <c r="M56" s="37" t="str">
        <f t="shared" si="17"/>
        <v/>
      </c>
      <c r="N56" s="37" t="str">
        <f t="shared" si="17"/>
        <v/>
      </c>
      <c r="O56" s="37" t="str">
        <f t="shared" si="17"/>
        <v/>
      </c>
      <c r="P56" s="37" t="str">
        <f t="shared" si="17"/>
        <v/>
      </c>
      <c r="Q56" s="37" t="str">
        <f t="shared" si="17"/>
        <v/>
      </c>
      <c r="R56" s="37" t="str">
        <f t="shared" si="17"/>
        <v/>
      </c>
      <c r="S56" s="37" t="str">
        <f t="shared" si="17"/>
        <v/>
      </c>
      <c r="T56" s="37" t="str">
        <f t="shared" si="17"/>
        <v/>
      </c>
      <c r="U56" s="37" t="str">
        <f t="shared" si="17"/>
        <v/>
      </c>
      <c r="V56" s="37" t="str">
        <f t="shared" si="17"/>
        <v/>
      </c>
      <c r="W56" s="37" t="str">
        <f t="shared" si="17"/>
        <v/>
      </c>
      <c r="X56" s="37" t="str">
        <f t="shared" si="17"/>
        <v/>
      </c>
      <c r="Y56" s="37">
        <v>18</v>
      </c>
      <c r="Z56" s="37">
        <v>18</v>
      </c>
      <c r="AA56" s="37" t="str">
        <f t="shared" si="17"/>
        <v/>
      </c>
      <c r="AB56" s="37" t="str">
        <f t="shared" si="17"/>
        <v/>
      </c>
      <c r="AC56" s="37" t="str">
        <f t="shared" si="17"/>
        <v/>
      </c>
      <c r="AD56" s="37" t="str">
        <f t="shared" si="17"/>
        <v/>
      </c>
      <c r="AE56" s="37" t="str">
        <f t="shared" si="17"/>
        <v/>
      </c>
      <c r="AF56" s="37" t="str">
        <f t="shared" si="17"/>
        <v/>
      </c>
      <c r="AG56" s="37" t="str">
        <f t="shared" si="17"/>
        <v/>
      </c>
      <c r="AH56" s="37" t="str">
        <f t="shared" si="17"/>
        <v/>
      </c>
      <c r="AI56" s="37" t="str">
        <f t="shared" si="17"/>
        <v/>
      </c>
      <c r="AJ56" s="37" t="str">
        <f t="shared" si="17"/>
        <v/>
      </c>
      <c r="AK56" s="37" t="str">
        <f t="shared" si="17"/>
        <v/>
      </c>
      <c r="AL56" s="37" t="str">
        <f t="shared" si="17"/>
        <v/>
      </c>
      <c r="AM56" s="37" t="str">
        <f t="shared" si="17"/>
        <v/>
      </c>
      <c r="AN56" s="37" t="str">
        <f t="shared" si="17"/>
        <v/>
      </c>
      <c r="AO56" s="37" t="str">
        <f t="shared" si="17"/>
        <v/>
      </c>
      <c r="AP56" s="37" t="str">
        <f t="shared" si="17"/>
        <v/>
      </c>
      <c r="AQ56" s="37" t="str">
        <f t="shared" si="17"/>
        <v/>
      </c>
      <c r="AR56" s="37" t="str">
        <f t="shared" si="17"/>
        <v/>
      </c>
      <c r="AS56" s="37" t="str">
        <f t="shared" si="17"/>
        <v/>
      </c>
      <c r="AT56" s="37" t="str">
        <f t="shared" si="17"/>
        <v/>
      </c>
      <c r="AU56" s="37" t="str">
        <f t="shared" si="17"/>
        <v/>
      </c>
      <c r="AV56" s="37" t="str">
        <f t="shared" si="17"/>
        <v/>
      </c>
      <c r="AW56" s="37" t="str">
        <f t="shared" si="17"/>
        <v/>
      </c>
      <c r="AX56" s="37" t="str">
        <f t="shared" si="17"/>
        <v/>
      </c>
      <c r="AY56" s="37" t="str">
        <f t="shared" si="17"/>
        <v/>
      </c>
      <c r="AZ56" s="37" t="str">
        <f t="shared" si="17"/>
        <v/>
      </c>
      <c r="BA56" s="37" t="str">
        <f t="shared" si="17"/>
        <v/>
      </c>
      <c r="BB56" s="37">
        <f t="shared" si="2"/>
        <v>72</v>
      </c>
      <c r="BC56" s="37" t="str">
        <f>IFERROR(SEARCH(_xlfn.CONCAT(" ",$A56),#REF!),"")</f>
        <v/>
      </c>
      <c r="BD56" s="37" t="str">
        <f>IFERROR(SEARCH(_xlfn.CONCAT(" ",$A56),#REF!),"")</f>
        <v/>
      </c>
      <c r="BE56" s="37">
        <f t="shared" si="3"/>
        <v>0</v>
      </c>
      <c r="BF56" s="37">
        <f t="shared" si="4"/>
        <v>72</v>
      </c>
    </row>
    <row r="57" spans="1:58" ht="21" x14ac:dyDescent="0.25">
      <c r="A57" s="39" t="s">
        <v>199</v>
      </c>
      <c r="B57" s="33" t="str">
        <f>VLOOKUP(A57,Лист1!B:C,2,0)</f>
        <v>Применяет основные методы представления информации и алгоритмы обработки данных в профессиональной деятельности</v>
      </c>
      <c r="C57" s="31" t="str">
        <f>IFERROR(SEARCH($A57,C$3),"")</f>
        <v/>
      </c>
      <c r="D57" s="31" t="str">
        <f t="shared" ref="D57:BD60" si="23">IFERROR(SEARCH($A57,D$3),"")</f>
        <v/>
      </c>
      <c r="E57" s="31" t="str">
        <f t="shared" si="23"/>
        <v/>
      </c>
      <c r="F57" s="31" t="str">
        <f t="shared" si="23"/>
        <v/>
      </c>
      <c r="G57" s="31" t="str">
        <f t="shared" si="23"/>
        <v/>
      </c>
      <c r="H57" s="40">
        <v>18</v>
      </c>
      <c r="I57" s="31" t="str">
        <f t="shared" si="23"/>
        <v/>
      </c>
      <c r="J57" s="31" t="str">
        <f t="shared" si="23"/>
        <v/>
      </c>
      <c r="K57" s="31" t="str">
        <f t="shared" si="23"/>
        <v/>
      </c>
      <c r="L57" s="31" t="str">
        <f t="shared" si="23"/>
        <v/>
      </c>
      <c r="M57" s="31" t="str">
        <f t="shared" si="23"/>
        <v/>
      </c>
      <c r="N57" s="31" t="str">
        <f t="shared" si="23"/>
        <v/>
      </c>
      <c r="O57" s="31" t="str">
        <f t="shared" si="23"/>
        <v/>
      </c>
      <c r="P57" s="31" t="str">
        <f t="shared" si="23"/>
        <v/>
      </c>
      <c r="Q57" s="31" t="str">
        <f t="shared" si="23"/>
        <v/>
      </c>
      <c r="R57" s="31" t="str">
        <f t="shared" si="23"/>
        <v/>
      </c>
      <c r="S57" s="31" t="str">
        <f t="shared" si="23"/>
        <v/>
      </c>
      <c r="T57" s="31" t="str">
        <f t="shared" si="23"/>
        <v/>
      </c>
      <c r="U57" s="31" t="str">
        <f t="shared" si="23"/>
        <v/>
      </c>
      <c r="V57" s="31" t="str">
        <f t="shared" si="23"/>
        <v/>
      </c>
      <c r="W57" s="31" t="str">
        <f t="shared" si="23"/>
        <v/>
      </c>
      <c r="X57" s="31" t="str">
        <f t="shared" si="23"/>
        <v/>
      </c>
      <c r="Y57" s="31" t="str">
        <f t="shared" si="23"/>
        <v/>
      </c>
      <c r="Z57" s="31" t="str">
        <f t="shared" si="23"/>
        <v/>
      </c>
      <c r="AA57" s="31" t="str">
        <f t="shared" si="23"/>
        <v/>
      </c>
      <c r="AB57" s="31" t="str">
        <f t="shared" si="23"/>
        <v/>
      </c>
      <c r="AC57" s="31" t="str">
        <f t="shared" si="23"/>
        <v/>
      </c>
      <c r="AD57" s="31" t="str">
        <f t="shared" si="23"/>
        <v/>
      </c>
      <c r="AE57" s="31" t="str">
        <f t="shared" si="23"/>
        <v/>
      </c>
      <c r="AF57" s="31" t="str">
        <f t="shared" si="23"/>
        <v/>
      </c>
      <c r="AG57" s="31" t="str">
        <f t="shared" si="23"/>
        <v/>
      </c>
      <c r="AH57" s="31" t="str">
        <f t="shared" si="23"/>
        <v/>
      </c>
      <c r="AI57" s="31" t="str">
        <f t="shared" si="23"/>
        <v/>
      </c>
      <c r="AJ57" s="31" t="str">
        <f t="shared" si="23"/>
        <v/>
      </c>
      <c r="AK57" s="31" t="str">
        <f t="shared" si="23"/>
        <v/>
      </c>
      <c r="AL57" s="31" t="str">
        <f t="shared" si="23"/>
        <v/>
      </c>
      <c r="AM57" s="31" t="str">
        <f t="shared" si="23"/>
        <v/>
      </c>
      <c r="AN57" s="31" t="str">
        <f t="shared" si="23"/>
        <v/>
      </c>
      <c r="AO57" s="31" t="str">
        <f t="shared" si="23"/>
        <v/>
      </c>
      <c r="AP57" s="31" t="str">
        <f t="shared" si="23"/>
        <v/>
      </c>
      <c r="AQ57" s="31" t="str">
        <f t="shared" si="23"/>
        <v/>
      </c>
      <c r="AR57" s="31" t="str">
        <f t="shared" si="23"/>
        <v/>
      </c>
      <c r="AS57" s="31" t="str">
        <f t="shared" si="23"/>
        <v/>
      </c>
      <c r="AT57" s="31" t="str">
        <f t="shared" si="23"/>
        <v/>
      </c>
      <c r="AU57" s="31" t="str">
        <f t="shared" si="23"/>
        <v/>
      </c>
      <c r="AV57" s="31" t="str">
        <f t="shared" si="23"/>
        <v/>
      </c>
      <c r="AW57" s="31" t="str">
        <f t="shared" si="23"/>
        <v/>
      </c>
      <c r="AX57" s="31" t="str">
        <f t="shared" si="23"/>
        <v/>
      </c>
      <c r="AY57" s="31" t="str">
        <f t="shared" si="23"/>
        <v/>
      </c>
      <c r="AZ57" s="31" t="str">
        <f t="shared" si="23"/>
        <v/>
      </c>
      <c r="BA57" s="31" t="str">
        <f t="shared" si="23"/>
        <v/>
      </c>
      <c r="BB57" s="31">
        <f t="shared" si="2"/>
        <v>18</v>
      </c>
      <c r="BC57" s="31" t="str">
        <f t="shared" si="23"/>
        <v/>
      </c>
      <c r="BD57" s="31" t="str">
        <f t="shared" si="23"/>
        <v/>
      </c>
      <c r="BE57" s="31">
        <f t="shared" si="3"/>
        <v>0</v>
      </c>
      <c r="BF57" s="31">
        <f t="shared" si="4"/>
        <v>18</v>
      </c>
    </row>
    <row r="58" spans="1:58" ht="21" x14ac:dyDescent="0.25">
      <c r="A58" s="39" t="s">
        <v>200</v>
      </c>
      <c r="B58" s="33" t="str">
        <f>VLOOKUP(A58,Лист1!B:C,2,0)</f>
        <v>Использует ресурсы электронной образовательной среды в рамках своей образовательной деятельности</v>
      </c>
      <c r="C58" s="31" t="str">
        <f>IFERROR(SEARCH($A58,C$3),"")</f>
        <v/>
      </c>
      <c r="D58" s="31" t="str">
        <f t="shared" si="23"/>
        <v/>
      </c>
      <c r="E58" s="31" t="str">
        <f t="shared" si="23"/>
        <v/>
      </c>
      <c r="F58" s="31" t="str">
        <f t="shared" si="23"/>
        <v/>
      </c>
      <c r="G58" s="31" t="str">
        <f t="shared" si="23"/>
        <v/>
      </c>
      <c r="H58" s="31" t="str">
        <f t="shared" si="23"/>
        <v/>
      </c>
      <c r="I58" s="40">
        <v>18</v>
      </c>
      <c r="J58" s="31" t="str">
        <f t="shared" si="23"/>
        <v/>
      </c>
      <c r="K58" s="31" t="str">
        <f t="shared" si="23"/>
        <v/>
      </c>
      <c r="L58" s="31" t="str">
        <f t="shared" si="23"/>
        <v/>
      </c>
      <c r="M58" s="31" t="str">
        <f t="shared" si="23"/>
        <v/>
      </c>
      <c r="N58" s="31" t="str">
        <f t="shared" si="23"/>
        <v/>
      </c>
      <c r="O58" s="31" t="str">
        <f t="shared" si="23"/>
        <v/>
      </c>
      <c r="P58" s="31" t="str">
        <f t="shared" si="23"/>
        <v/>
      </c>
      <c r="Q58" s="31" t="str">
        <f t="shared" si="23"/>
        <v/>
      </c>
      <c r="R58" s="31" t="str">
        <f t="shared" si="23"/>
        <v/>
      </c>
      <c r="S58" s="31" t="str">
        <f t="shared" si="23"/>
        <v/>
      </c>
      <c r="T58" s="31" t="str">
        <f t="shared" si="23"/>
        <v/>
      </c>
      <c r="U58" s="31" t="str">
        <f t="shared" si="23"/>
        <v/>
      </c>
      <c r="V58" s="31" t="str">
        <f t="shared" si="23"/>
        <v/>
      </c>
      <c r="W58" s="31" t="str">
        <f t="shared" si="23"/>
        <v/>
      </c>
      <c r="X58" s="31" t="str">
        <f t="shared" si="23"/>
        <v/>
      </c>
      <c r="Y58" s="31" t="str">
        <f t="shared" si="23"/>
        <v/>
      </c>
      <c r="Z58" s="40">
        <v>9</v>
      </c>
      <c r="AA58" s="31" t="str">
        <f t="shared" si="23"/>
        <v/>
      </c>
      <c r="AB58" s="31" t="str">
        <f t="shared" si="23"/>
        <v/>
      </c>
      <c r="AC58" s="31" t="str">
        <f t="shared" si="23"/>
        <v/>
      </c>
      <c r="AD58" s="31" t="str">
        <f t="shared" si="23"/>
        <v/>
      </c>
      <c r="AE58" s="31" t="str">
        <f t="shared" si="23"/>
        <v/>
      </c>
      <c r="AF58" s="31" t="str">
        <f t="shared" si="23"/>
        <v/>
      </c>
      <c r="AG58" s="31" t="str">
        <f t="shared" si="23"/>
        <v/>
      </c>
      <c r="AH58" s="31" t="str">
        <f t="shared" si="23"/>
        <v/>
      </c>
      <c r="AI58" s="31" t="str">
        <f t="shared" si="23"/>
        <v/>
      </c>
      <c r="AJ58" s="31" t="str">
        <f t="shared" si="23"/>
        <v/>
      </c>
      <c r="AK58" s="31" t="str">
        <f t="shared" si="23"/>
        <v/>
      </c>
      <c r="AL58" s="31" t="str">
        <f t="shared" si="23"/>
        <v/>
      </c>
      <c r="AM58" s="31" t="str">
        <f t="shared" si="23"/>
        <v/>
      </c>
      <c r="AN58" s="31" t="str">
        <f t="shared" si="23"/>
        <v/>
      </c>
      <c r="AO58" s="31" t="str">
        <f t="shared" si="23"/>
        <v/>
      </c>
      <c r="AP58" s="31" t="str">
        <f t="shared" si="23"/>
        <v/>
      </c>
      <c r="AQ58" s="31" t="str">
        <f t="shared" si="23"/>
        <v/>
      </c>
      <c r="AR58" s="31" t="str">
        <f t="shared" si="23"/>
        <v/>
      </c>
      <c r="AS58" s="31" t="str">
        <f t="shared" si="23"/>
        <v/>
      </c>
      <c r="AT58" s="31" t="str">
        <f t="shared" si="23"/>
        <v/>
      </c>
      <c r="AU58" s="31" t="str">
        <f t="shared" si="23"/>
        <v/>
      </c>
      <c r="AV58" s="31" t="str">
        <f t="shared" si="23"/>
        <v/>
      </c>
      <c r="AW58" s="31" t="str">
        <f t="shared" si="23"/>
        <v/>
      </c>
      <c r="AX58" s="31" t="str">
        <f t="shared" si="23"/>
        <v/>
      </c>
      <c r="AY58" s="31" t="str">
        <f t="shared" si="23"/>
        <v/>
      </c>
      <c r="AZ58" s="31" t="str">
        <f t="shared" si="23"/>
        <v/>
      </c>
      <c r="BA58" s="31" t="str">
        <f t="shared" si="23"/>
        <v/>
      </c>
      <c r="BB58" s="31">
        <f t="shared" si="2"/>
        <v>27</v>
      </c>
      <c r="BC58" s="31" t="str">
        <f t="shared" si="23"/>
        <v/>
      </c>
      <c r="BD58" s="31" t="str">
        <f t="shared" si="23"/>
        <v/>
      </c>
      <c r="BE58" s="31">
        <f t="shared" si="3"/>
        <v>0</v>
      </c>
      <c r="BF58" s="31">
        <f t="shared" si="4"/>
        <v>27</v>
      </c>
    </row>
    <row r="59" spans="1:58" ht="31.5" x14ac:dyDescent="0.25">
      <c r="A59" s="39" t="s">
        <v>361</v>
      </c>
      <c r="B59" s="33" t="str">
        <f>VLOOKUP(A59,Лист1!B:C,2,0)</f>
        <v>Использует в своей профессиональной деятельности автоматизированные информационно-управляющие и аналитические системы, применяемые на транспорте</v>
      </c>
      <c r="C59" s="31" t="str">
        <f>IFERROR(SEARCH($A59,C$3),"")</f>
        <v/>
      </c>
      <c r="D59" s="31" t="str">
        <f t="shared" si="23"/>
        <v/>
      </c>
      <c r="E59" s="31" t="str">
        <f t="shared" si="23"/>
        <v/>
      </c>
      <c r="F59" s="31" t="str">
        <f t="shared" si="23"/>
        <v/>
      </c>
      <c r="G59" s="31" t="str">
        <f t="shared" si="23"/>
        <v/>
      </c>
      <c r="H59" s="31" t="str">
        <f t="shared" si="23"/>
        <v/>
      </c>
      <c r="I59" s="31" t="str">
        <f t="shared" si="23"/>
        <v/>
      </c>
      <c r="J59" s="31" t="str">
        <f t="shared" si="23"/>
        <v/>
      </c>
      <c r="K59" s="31" t="str">
        <f t="shared" si="23"/>
        <v/>
      </c>
      <c r="L59" s="31" t="str">
        <f t="shared" si="23"/>
        <v/>
      </c>
      <c r="M59" s="31" t="str">
        <f t="shared" si="23"/>
        <v/>
      </c>
      <c r="N59" s="31" t="str">
        <f t="shared" si="23"/>
        <v/>
      </c>
      <c r="O59" s="31" t="str">
        <f t="shared" si="23"/>
        <v/>
      </c>
      <c r="P59" s="31" t="str">
        <f t="shared" si="23"/>
        <v/>
      </c>
      <c r="Q59" s="31" t="str">
        <f t="shared" si="23"/>
        <v/>
      </c>
      <c r="R59" s="31" t="str">
        <f t="shared" si="23"/>
        <v/>
      </c>
      <c r="S59" s="31" t="str">
        <f t="shared" si="23"/>
        <v/>
      </c>
      <c r="T59" s="31" t="str">
        <f t="shared" si="23"/>
        <v/>
      </c>
      <c r="U59" s="31" t="str">
        <f t="shared" si="23"/>
        <v/>
      </c>
      <c r="V59" s="31" t="str">
        <f t="shared" si="23"/>
        <v/>
      </c>
      <c r="W59" s="31" t="str">
        <f t="shared" si="23"/>
        <v/>
      </c>
      <c r="X59" s="31" t="str">
        <f t="shared" si="23"/>
        <v/>
      </c>
      <c r="Y59" s="31" t="str">
        <f t="shared" si="23"/>
        <v/>
      </c>
      <c r="Z59" s="40">
        <v>9</v>
      </c>
      <c r="AA59" s="31" t="str">
        <f t="shared" si="23"/>
        <v/>
      </c>
      <c r="AB59" s="31" t="str">
        <f t="shared" si="23"/>
        <v/>
      </c>
      <c r="AC59" s="31" t="str">
        <f t="shared" si="23"/>
        <v/>
      </c>
      <c r="AD59" s="31" t="str">
        <f t="shared" si="23"/>
        <v/>
      </c>
      <c r="AE59" s="31" t="str">
        <f t="shared" si="23"/>
        <v/>
      </c>
      <c r="AF59" s="31" t="str">
        <f t="shared" si="23"/>
        <v/>
      </c>
      <c r="AG59" s="31" t="str">
        <f t="shared" si="23"/>
        <v/>
      </c>
      <c r="AH59" s="31" t="str">
        <f t="shared" si="23"/>
        <v/>
      </c>
      <c r="AI59" s="31" t="str">
        <f t="shared" si="23"/>
        <v/>
      </c>
      <c r="AJ59" s="31" t="str">
        <f t="shared" si="23"/>
        <v/>
      </c>
      <c r="AK59" s="31" t="str">
        <f t="shared" si="23"/>
        <v/>
      </c>
      <c r="AL59" s="31" t="str">
        <f t="shared" si="23"/>
        <v/>
      </c>
      <c r="AM59" s="31" t="str">
        <f t="shared" si="23"/>
        <v/>
      </c>
      <c r="AN59" s="31" t="str">
        <f t="shared" si="23"/>
        <v/>
      </c>
      <c r="AO59" s="31" t="str">
        <f t="shared" si="23"/>
        <v/>
      </c>
      <c r="AP59" s="31" t="str">
        <f t="shared" si="23"/>
        <v/>
      </c>
      <c r="AQ59" s="31" t="str">
        <f t="shared" si="23"/>
        <v/>
      </c>
      <c r="AR59" s="31" t="str">
        <f t="shared" si="23"/>
        <v/>
      </c>
      <c r="AS59" s="31" t="str">
        <f t="shared" si="23"/>
        <v/>
      </c>
      <c r="AT59" s="31" t="str">
        <f t="shared" si="23"/>
        <v/>
      </c>
      <c r="AU59" s="31" t="str">
        <f t="shared" si="23"/>
        <v/>
      </c>
      <c r="AV59" s="31" t="str">
        <f t="shared" si="23"/>
        <v/>
      </c>
      <c r="AW59" s="31" t="str">
        <f t="shared" si="23"/>
        <v/>
      </c>
      <c r="AX59" s="31" t="str">
        <f t="shared" si="23"/>
        <v/>
      </c>
      <c r="AY59" s="31" t="str">
        <f t="shared" si="23"/>
        <v/>
      </c>
      <c r="AZ59" s="31" t="str">
        <f t="shared" si="23"/>
        <v/>
      </c>
      <c r="BA59" s="31" t="str">
        <f t="shared" si="23"/>
        <v/>
      </c>
      <c r="BB59" s="31">
        <f t="shared" si="2"/>
        <v>9</v>
      </c>
      <c r="BC59" s="31" t="str">
        <f t="shared" si="23"/>
        <v/>
      </c>
      <c r="BD59" s="31" t="str">
        <f t="shared" si="23"/>
        <v/>
      </c>
      <c r="BE59" s="31">
        <f t="shared" si="3"/>
        <v>0</v>
      </c>
      <c r="BF59" s="31">
        <f t="shared" si="4"/>
        <v>9</v>
      </c>
    </row>
    <row r="60" spans="1:58" ht="21" x14ac:dyDescent="0.25">
      <c r="A60" s="39" t="s">
        <v>214</v>
      </c>
      <c r="B60" s="33" t="str">
        <f>VLOOKUP(A60,Лист1!B:C,2,0)</f>
        <v>Использует методы искусственного интеллекта (машинного обучения) и анализа больших данных для решения прикладных задач</v>
      </c>
      <c r="C60" s="31" t="str">
        <f>IFERROR(SEARCH($A60,C$3),"")</f>
        <v/>
      </c>
      <c r="D60" s="31" t="str">
        <f t="shared" si="23"/>
        <v/>
      </c>
      <c r="E60" s="31" t="str">
        <f t="shared" si="23"/>
        <v/>
      </c>
      <c r="F60" s="31" t="str">
        <f t="shared" si="23"/>
        <v/>
      </c>
      <c r="G60" s="31" t="str">
        <f t="shared" si="23"/>
        <v/>
      </c>
      <c r="H60" s="31" t="str">
        <f t="shared" si="23"/>
        <v/>
      </c>
      <c r="I60" s="31" t="str">
        <f t="shared" si="23"/>
        <v/>
      </c>
      <c r="J60" s="31" t="str">
        <f t="shared" si="23"/>
        <v/>
      </c>
      <c r="K60" s="31" t="str">
        <f t="shared" si="23"/>
        <v/>
      </c>
      <c r="L60" s="31" t="str">
        <f t="shared" si="23"/>
        <v/>
      </c>
      <c r="M60" s="31" t="str">
        <f t="shared" si="23"/>
        <v/>
      </c>
      <c r="N60" s="31" t="str">
        <f t="shared" si="23"/>
        <v/>
      </c>
      <c r="O60" s="31" t="str">
        <f t="shared" si="23"/>
        <v/>
      </c>
      <c r="P60" s="31" t="str">
        <f t="shared" si="23"/>
        <v/>
      </c>
      <c r="Q60" s="31" t="str">
        <f t="shared" si="23"/>
        <v/>
      </c>
      <c r="R60" s="31" t="str">
        <f t="shared" si="23"/>
        <v/>
      </c>
      <c r="S60" s="31" t="str">
        <f t="shared" si="23"/>
        <v/>
      </c>
      <c r="T60" s="31" t="str">
        <f t="shared" si="23"/>
        <v/>
      </c>
      <c r="U60" s="31" t="str">
        <f t="shared" si="23"/>
        <v/>
      </c>
      <c r="V60" s="31" t="str">
        <f t="shared" si="23"/>
        <v/>
      </c>
      <c r="W60" s="31" t="str">
        <f t="shared" si="23"/>
        <v/>
      </c>
      <c r="X60" s="31" t="str">
        <f t="shared" si="23"/>
        <v/>
      </c>
      <c r="Y60" s="40">
        <v>18</v>
      </c>
      <c r="Z60" s="31" t="str">
        <f t="shared" si="23"/>
        <v/>
      </c>
      <c r="AA60" s="31" t="str">
        <f t="shared" si="23"/>
        <v/>
      </c>
      <c r="AB60" s="31" t="str">
        <f t="shared" si="23"/>
        <v/>
      </c>
      <c r="AC60" s="31" t="str">
        <f t="shared" si="23"/>
        <v/>
      </c>
      <c r="AD60" s="31" t="str">
        <f t="shared" si="23"/>
        <v/>
      </c>
      <c r="AE60" s="31" t="str">
        <f t="shared" si="23"/>
        <v/>
      </c>
      <c r="AF60" s="31" t="str">
        <f t="shared" si="23"/>
        <v/>
      </c>
      <c r="AG60" s="31" t="str">
        <f t="shared" si="23"/>
        <v/>
      </c>
      <c r="AH60" s="31" t="str">
        <f t="shared" si="23"/>
        <v/>
      </c>
      <c r="AI60" s="31" t="str">
        <f t="shared" si="23"/>
        <v/>
      </c>
      <c r="AJ60" s="31" t="str">
        <f t="shared" si="23"/>
        <v/>
      </c>
      <c r="AK60" s="31" t="str">
        <f t="shared" si="23"/>
        <v/>
      </c>
      <c r="AL60" s="31" t="str">
        <f t="shared" si="23"/>
        <v/>
      </c>
      <c r="AM60" s="31" t="str">
        <f t="shared" si="23"/>
        <v/>
      </c>
      <c r="AN60" s="31" t="str">
        <f t="shared" si="23"/>
        <v/>
      </c>
      <c r="AO60" s="31" t="str">
        <f t="shared" si="23"/>
        <v/>
      </c>
      <c r="AP60" s="31" t="str">
        <f t="shared" si="23"/>
        <v/>
      </c>
      <c r="AQ60" s="31" t="str">
        <f t="shared" si="23"/>
        <v/>
      </c>
      <c r="AR60" s="31" t="str">
        <f t="shared" si="23"/>
        <v/>
      </c>
      <c r="AS60" s="31" t="str">
        <f t="shared" si="23"/>
        <v/>
      </c>
      <c r="AT60" s="31" t="str">
        <f t="shared" si="23"/>
        <v/>
      </c>
      <c r="AU60" s="31" t="str">
        <f t="shared" si="23"/>
        <v/>
      </c>
      <c r="AV60" s="31" t="str">
        <f t="shared" si="23"/>
        <v/>
      </c>
      <c r="AW60" s="31" t="str">
        <f t="shared" si="23"/>
        <v/>
      </c>
      <c r="AX60" s="31" t="str">
        <f t="shared" si="23"/>
        <v/>
      </c>
      <c r="AY60" s="31" t="str">
        <f t="shared" si="23"/>
        <v/>
      </c>
      <c r="AZ60" s="31" t="str">
        <f t="shared" si="23"/>
        <v/>
      </c>
      <c r="BA60" s="31" t="str">
        <f t="shared" si="23"/>
        <v/>
      </c>
      <c r="BB60" s="31">
        <f t="shared" si="2"/>
        <v>18</v>
      </c>
      <c r="BC60" s="31" t="str">
        <f t="shared" si="23"/>
        <v/>
      </c>
      <c r="BD60" s="31" t="str">
        <f t="shared" si="23"/>
        <v/>
      </c>
      <c r="BE60" s="31">
        <f t="shared" si="3"/>
        <v>0</v>
      </c>
      <c r="BF60" s="31">
        <f t="shared" si="4"/>
        <v>18</v>
      </c>
    </row>
    <row r="61" spans="1:58" s="38" customFormat="1" ht="31.5" x14ac:dyDescent="0.25">
      <c r="A61" s="36" t="s">
        <v>96</v>
      </c>
      <c r="B61" s="36" t="str">
        <f>VLOOKUP(A61,Лист1!B:C,2,0)</f>
        <v>Способен принимать обоснованные технические решения, выбирать эффективные и безопасные технические средства и технологии при решении задач профессиональной деятельности</v>
      </c>
      <c r="C61" s="37" t="str">
        <f t="shared" si="5"/>
        <v/>
      </c>
      <c r="D61" s="37" t="str">
        <f t="shared" si="5"/>
        <v/>
      </c>
      <c r="E61" s="37" t="str">
        <f t="shared" si="5"/>
        <v/>
      </c>
      <c r="F61" s="37" t="str">
        <f t="shared" si="5"/>
        <v/>
      </c>
      <c r="G61" s="37" t="str">
        <f t="shared" si="5"/>
        <v/>
      </c>
      <c r="H61" s="37" t="str">
        <f t="shared" si="5"/>
        <v/>
      </c>
      <c r="I61" s="37" t="str">
        <f t="shared" si="5"/>
        <v/>
      </c>
      <c r="J61" s="37" t="str">
        <f t="shared" si="17"/>
        <v/>
      </c>
      <c r="K61" s="37" t="str">
        <f t="shared" si="17"/>
        <v/>
      </c>
      <c r="L61" s="37" t="str">
        <f t="shared" si="17"/>
        <v/>
      </c>
      <c r="M61" s="37" t="str">
        <f t="shared" si="17"/>
        <v/>
      </c>
      <c r="N61" s="37" t="str">
        <f t="shared" si="17"/>
        <v/>
      </c>
      <c r="O61" s="37" t="str">
        <f t="shared" si="17"/>
        <v/>
      </c>
      <c r="P61" s="37">
        <v>18</v>
      </c>
      <c r="Q61" s="37" t="str">
        <f t="shared" si="17"/>
        <v/>
      </c>
      <c r="R61" s="37" t="str">
        <f t="shared" si="17"/>
        <v/>
      </c>
      <c r="S61" s="37" t="str">
        <f t="shared" si="17"/>
        <v/>
      </c>
      <c r="T61" s="37" t="str">
        <f t="shared" si="17"/>
        <v/>
      </c>
      <c r="U61" s="37" t="str">
        <f t="shared" si="17"/>
        <v/>
      </c>
      <c r="V61" s="37" t="str">
        <f t="shared" si="17"/>
        <v/>
      </c>
      <c r="W61" s="37" t="str">
        <f t="shared" si="17"/>
        <v/>
      </c>
      <c r="X61" s="37">
        <v>9</v>
      </c>
      <c r="Y61" s="37" t="str">
        <f t="shared" si="17"/>
        <v/>
      </c>
      <c r="Z61" s="37" t="str">
        <f t="shared" si="17"/>
        <v/>
      </c>
      <c r="AA61" s="37" t="str">
        <f t="shared" si="17"/>
        <v/>
      </c>
      <c r="AB61" s="37">
        <v>6</v>
      </c>
      <c r="AC61" s="37" t="str">
        <f t="shared" si="17"/>
        <v/>
      </c>
      <c r="AD61" s="37" t="str">
        <f t="shared" si="17"/>
        <v/>
      </c>
      <c r="AE61" s="37" t="str">
        <f t="shared" si="17"/>
        <v/>
      </c>
      <c r="AF61" s="37" t="str">
        <f t="shared" si="17"/>
        <v/>
      </c>
      <c r="AG61" s="37" t="str">
        <f t="shared" si="17"/>
        <v/>
      </c>
      <c r="AH61" s="37" t="str">
        <f t="shared" si="17"/>
        <v/>
      </c>
      <c r="AI61" s="37" t="str">
        <f t="shared" si="17"/>
        <v/>
      </c>
      <c r="AJ61" s="37" t="str">
        <f t="shared" si="17"/>
        <v/>
      </c>
      <c r="AK61" s="37" t="str">
        <f t="shared" si="17"/>
        <v/>
      </c>
      <c r="AL61" s="37" t="str">
        <f t="shared" si="17"/>
        <v/>
      </c>
      <c r="AM61" s="37" t="str">
        <f t="shared" si="17"/>
        <v/>
      </c>
      <c r="AN61" s="37" t="str">
        <f t="shared" si="17"/>
        <v/>
      </c>
      <c r="AO61" s="37" t="str">
        <f t="shared" si="17"/>
        <v/>
      </c>
      <c r="AP61" s="37" t="str">
        <f t="shared" si="17"/>
        <v/>
      </c>
      <c r="AQ61" s="37" t="str">
        <f t="shared" si="17"/>
        <v/>
      </c>
      <c r="AR61" s="37" t="str">
        <f t="shared" si="17"/>
        <v/>
      </c>
      <c r="AS61" s="37" t="str">
        <f t="shared" si="17"/>
        <v/>
      </c>
      <c r="AT61" s="37" t="str">
        <f t="shared" si="17"/>
        <v/>
      </c>
      <c r="AU61" s="37" t="str">
        <f t="shared" si="17"/>
        <v/>
      </c>
      <c r="AV61" s="37" t="str">
        <f t="shared" si="17"/>
        <v/>
      </c>
      <c r="AW61" s="37" t="str">
        <f t="shared" si="17"/>
        <v/>
      </c>
      <c r="AX61" s="37">
        <v>2</v>
      </c>
      <c r="AY61" s="37" t="str">
        <f t="shared" si="17"/>
        <v/>
      </c>
      <c r="AZ61" s="37" t="str">
        <f t="shared" si="17"/>
        <v/>
      </c>
      <c r="BA61" s="37" t="str">
        <f t="shared" si="17"/>
        <v/>
      </c>
      <c r="BB61" s="37">
        <f t="shared" si="2"/>
        <v>35</v>
      </c>
      <c r="BC61" s="37" t="s">
        <v>140</v>
      </c>
      <c r="BD61" s="37" t="s">
        <v>140</v>
      </c>
      <c r="BE61" s="37">
        <f t="shared" si="3"/>
        <v>0</v>
      </c>
      <c r="BF61" s="37">
        <f t="shared" si="4"/>
        <v>35</v>
      </c>
    </row>
    <row r="62" spans="1:58" ht="31.5" x14ac:dyDescent="0.25">
      <c r="A62" s="39" t="s">
        <v>365</v>
      </c>
      <c r="B62" s="33" t="str">
        <f>VLOOKUP(A62,Лист1!B:C,2,0)</f>
        <v>Обосновывает технические решения, выбирает эффективные и безопасные технические средства и технологии при решении задач профессиональной деятельности</v>
      </c>
      <c r="C62" s="31" t="str">
        <f>IFERROR(SEARCH($A62,C$3),"")</f>
        <v/>
      </c>
      <c r="D62" s="31" t="str">
        <f t="shared" ref="D62:BD64" si="24">IFERROR(SEARCH($A62,D$3),"")</f>
        <v/>
      </c>
      <c r="E62" s="31" t="str">
        <f t="shared" si="24"/>
        <v/>
      </c>
      <c r="F62" s="31" t="str">
        <f t="shared" si="24"/>
        <v/>
      </c>
      <c r="G62" s="31" t="str">
        <f t="shared" si="24"/>
        <v/>
      </c>
      <c r="H62" s="31" t="str">
        <f t="shared" si="24"/>
        <v/>
      </c>
      <c r="I62" s="31" t="str">
        <f t="shared" si="24"/>
        <v/>
      </c>
      <c r="J62" s="31" t="str">
        <f t="shared" si="24"/>
        <v/>
      </c>
      <c r="K62" s="31" t="str">
        <f t="shared" si="24"/>
        <v/>
      </c>
      <c r="L62" s="31" t="str">
        <f t="shared" si="24"/>
        <v/>
      </c>
      <c r="M62" s="31" t="str">
        <f t="shared" si="24"/>
        <v/>
      </c>
      <c r="N62" s="31" t="str">
        <f t="shared" si="24"/>
        <v/>
      </c>
      <c r="O62" s="31" t="str">
        <f t="shared" si="24"/>
        <v/>
      </c>
      <c r="P62" s="31" t="str">
        <f t="shared" si="24"/>
        <v/>
      </c>
      <c r="Q62" s="31" t="str">
        <f t="shared" si="24"/>
        <v/>
      </c>
      <c r="R62" s="31" t="str">
        <f t="shared" si="24"/>
        <v/>
      </c>
      <c r="S62" s="31" t="str">
        <f t="shared" si="24"/>
        <v/>
      </c>
      <c r="T62" s="31" t="str">
        <f t="shared" si="24"/>
        <v/>
      </c>
      <c r="U62" s="31" t="str">
        <f t="shared" si="24"/>
        <v/>
      </c>
      <c r="V62" s="31" t="str">
        <f t="shared" si="24"/>
        <v/>
      </c>
      <c r="W62" s="31" t="str">
        <f t="shared" si="24"/>
        <v/>
      </c>
      <c r="X62" s="31" t="str">
        <f t="shared" si="24"/>
        <v/>
      </c>
      <c r="Y62" s="31" t="str">
        <f t="shared" si="24"/>
        <v/>
      </c>
      <c r="Z62" s="31" t="str">
        <f t="shared" si="24"/>
        <v/>
      </c>
      <c r="AA62" s="31" t="str">
        <f t="shared" si="24"/>
        <v/>
      </c>
      <c r="AB62" s="40">
        <v>6</v>
      </c>
      <c r="AC62" s="31" t="str">
        <f t="shared" si="24"/>
        <v/>
      </c>
      <c r="AD62" s="31" t="str">
        <f t="shared" si="24"/>
        <v/>
      </c>
      <c r="AE62" s="31" t="str">
        <f t="shared" si="24"/>
        <v/>
      </c>
      <c r="AF62" s="31" t="str">
        <f t="shared" si="24"/>
        <v/>
      </c>
      <c r="AG62" s="31" t="str">
        <f t="shared" si="24"/>
        <v/>
      </c>
      <c r="AH62" s="31" t="str">
        <f t="shared" si="24"/>
        <v/>
      </c>
      <c r="AI62" s="31" t="str">
        <f t="shared" si="24"/>
        <v/>
      </c>
      <c r="AJ62" s="31" t="str">
        <f t="shared" si="24"/>
        <v/>
      </c>
      <c r="AK62" s="31" t="str">
        <f t="shared" si="24"/>
        <v/>
      </c>
      <c r="AL62" s="31" t="str">
        <f t="shared" si="24"/>
        <v/>
      </c>
      <c r="AM62" s="31" t="str">
        <f t="shared" si="24"/>
        <v/>
      </c>
      <c r="AN62" s="31" t="str">
        <f t="shared" si="24"/>
        <v/>
      </c>
      <c r="AO62" s="31" t="str">
        <f t="shared" si="24"/>
        <v/>
      </c>
      <c r="AP62" s="31" t="str">
        <f t="shared" si="24"/>
        <v/>
      </c>
      <c r="AQ62" s="31" t="str">
        <f t="shared" si="24"/>
        <v/>
      </c>
      <c r="AR62" s="31" t="str">
        <f t="shared" si="24"/>
        <v/>
      </c>
      <c r="AS62" s="31" t="str">
        <f t="shared" si="24"/>
        <v/>
      </c>
      <c r="AT62" s="31" t="str">
        <f t="shared" si="24"/>
        <v/>
      </c>
      <c r="AU62" s="31" t="str">
        <f t="shared" si="24"/>
        <v/>
      </c>
      <c r="AV62" s="31" t="str">
        <f t="shared" si="24"/>
        <v/>
      </c>
      <c r="AW62" s="31" t="str">
        <f t="shared" si="24"/>
        <v/>
      </c>
      <c r="AX62" s="31" t="str">
        <f t="shared" si="24"/>
        <v/>
      </c>
      <c r="AY62" s="31" t="str">
        <f t="shared" si="24"/>
        <v/>
      </c>
      <c r="AZ62" s="31" t="str">
        <f t="shared" si="24"/>
        <v/>
      </c>
      <c r="BA62" s="31" t="str">
        <f t="shared" si="24"/>
        <v/>
      </c>
      <c r="BB62" s="31">
        <f t="shared" si="2"/>
        <v>6</v>
      </c>
      <c r="BC62" s="31" t="str">
        <f t="shared" si="24"/>
        <v/>
      </c>
      <c r="BD62" s="31" t="str">
        <f t="shared" si="24"/>
        <v/>
      </c>
      <c r="BE62" s="31">
        <f t="shared" si="3"/>
        <v>0</v>
      </c>
      <c r="BF62" s="31">
        <f t="shared" si="4"/>
        <v>6</v>
      </c>
    </row>
    <row r="63" spans="1:58" ht="21" x14ac:dyDescent="0.25">
      <c r="A63" s="39" t="s">
        <v>367</v>
      </c>
      <c r="B63" s="33" t="str">
        <f>VLOOKUP(A63,Лист1!B:C,2,0)</f>
        <v>Выбирает эффективные и безопасные технические средства и технологии погрузочно-разгрузочных работ</v>
      </c>
      <c r="C63" s="31" t="str">
        <f>IFERROR(SEARCH($A63,C$3),"")</f>
        <v/>
      </c>
      <c r="D63" s="31" t="str">
        <f t="shared" si="24"/>
        <v/>
      </c>
      <c r="E63" s="31" t="str">
        <f t="shared" si="24"/>
        <v/>
      </c>
      <c r="F63" s="31" t="str">
        <f t="shared" si="24"/>
        <v/>
      </c>
      <c r="G63" s="31" t="str">
        <f t="shared" si="24"/>
        <v/>
      </c>
      <c r="H63" s="31" t="str">
        <f t="shared" si="24"/>
        <v/>
      </c>
      <c r="I63" s="31" t="str">
        <f t="shared" si="24"/>
        <v/>
      </c>
      <c r="J63" s="31" t="str">
        <f t="shared" si="24"/>
        <v/>
      </c>
      <c r="K63" s="31" t="str">
        <f t="shared" si="24"/>
        <v/>
      </c>
      <c r="L63" s="31" t="str">
        <f t="shared" si="24"/>
        <v/>
      </c>
      <c r="M63" s="31" t="str">
        <f t="shared" si="24"/>
        <v/>
      </c>
      <c r="N63" s="31" t="str">
        <f t="shared" si="24"/>
        <v/>
      </c>
      <c r="O63" s="31" t="str">
        <f t="shared" si="24"/>
        <v/>
      </c>
      <c r="P63" s="31" t="str">
        <f t="shared" si="24"/>
        <v/>
      </c>
      <c r="Q63" s="31" t="str">
        <f t="shared" si="24"/>
        <v/>
      </c>
      <c r="R63" s="31" t="str">
        <f t="shared" si="24"/>
        <v/>
      </c>
      <c r="S63" s="31" t="str">
        <f t="shared" si="24"/>
        <v/>
      </c>
      <c r="T63" s="31" t="str">
        <f t="shared" si="24"/>
        <v/>
      </c>
      <c r="U63" s="31" t="str">
        <f t="shared" si="24"/>
        <v/>
      </c>
      <c r="V63" s="31" t="str">
        <f t="shared" si="24"/>
        <v/>
      </c>
      <c r="W63" s="31" t="str">
        <f t="shared" si="24"/>
        <v/>
      </c>
      <c r="X63" s="40">
        <v>9</v>
      </c>
      <c r="Y63" s="31" t="str">
        <f t="shared" si="24"/>
        <v/>
      </c>
      <c r="Z63" s="31" t="str">
        <f t="shared" si="24"/>
        <v/>
      </c>
      <c r="AA63" s="31" t="str">
        <f t="shared" si="24"/>
        <v/>
      </c>
      <c r="AB63" s="31" t="str">
        <f t="shared" si="24"/>
        <v/>
      </c>
      <c r="AC63" s="31" t="str">
        <f t="shared" si="24"/>
        <v/>
      </c>
      <c r="AD63" s="31" t="str">
        <f t="shared" si="24"/>
        <v/>
      </c>
      <c r="AE63" s="31" t="str">
        <f t="shared" si="24"/>
        <v/>
      </c>
      <c r="AF63" s="31" t="str">
        <f t="shared" si="24"/>
        <v/>
      </c>
      <c r="AG63" s="31" t="str">
        <f t="shared" si="24"/>
        <v/>
      </c>
      <c r="AH63" s="31" t="str">
        <f t="shared" si="24"/>
        <v/>
      </c>
      <c r="AI63" s="31" t="str">
        <f t="shared" si="24"/>
        <v/>
      </c>
      <c r="AJ63" s="31" t="str">
        <f t="shared" si="24"/>
        <v/>
      </c>
      <c r="AK63" s="31" t="str">
        <f t="shared" si="24"/>
        <v/>
      </c>
      <c r="AL63" s="31" t="str">
        <f t="shared" si="24"/>
        <v/>
      </c>
      <c r="AM63" s="31" t="str">
        <f t="shared" si="24"/>
        <v/>
      </c>
      <c r="AN63" s="31" t="str">
        <f t="shared" si="24"/>
        <v/>
      </c>
      <c r="AO63" s="31" t="str">
        <f t="shared" si="24"/>
        <v/>
      </c>
      <c r="AP63" s="31" t="str">
        <f t="shared" si="24"/>
        <v/>
      </c>
      <c r="AQ63" s="31" t="str">
        <f t="shared" si="24"/>
        <v/>
      </c>
      <c r="AR63" s="31" t="str">
        <f t="shared" si="24"/>
        <v/>
      </c>
      <c r="AS63" s="31" t="str">
        <f t="shared" si="24"/>
        <v/>
      </c>
      <c r="AT63" s="31" t="str">
        <f t="shared" si="24"/>
        <v/>
      </c>
      <c r="AU63" s="31" t="str">
        <f t="shared" si="24"/>
        <v/>
      </c>
      <c r="AV63" s="31" t="str">
        <f t="shared" si="24"/>
        <v/>
      </c>
      <c r="AW63" s="31" t="str">
        <f t="shared" si="24"/>
        <v/>
      </c>
      <c r="AX63" s="31" t="str">
        <f t="shared" si="24"/>
        <v/>
      </c>
      <c r="AY63" s="31" t="str">
        <f t="shared" si="24"/>
        <v/>
      </c>
      <c r="AZ63" s="31" t="str">
        <f t="shared" si="24"/>
        <v/>
      </c>
      <c r="BA63" s="31" t="str">
        <f t="shared" si="24"/>
        <v/>
      </c>
      <c r="BB63" s="31">
        <f t="shared" si="2"/>
        <v>9</v>
      </c>
      <c r="BC63" s="31" t="str">
        <f t="shared" si="24"/>
        <v/>
      </c>
      <c r="BD63" s="31" t="str">
        <f t="shared" si="24"/>
        <v/>
      </c>
      <c r="BE63" s="31">
        <f t="shared" si="3"/>
        <v>0</v>
      </c>
      <c r="BF63" s="31">
        <f t="shared" si="4"/>
        <v>9</v>
      </c>
    </row>
    <row r="64" spans="1:58" ht="21" x14ac:dyDescent="0.25">
      <c r="A64" s="39" t="s">
        <v>100</v>
      </c>
      <c r="B64" s="33" t="str">
        <f>VLOOKUP(A64,Лист1!B:C,2,0)</f>
        <v>Обосновывает выбор эффективных и безопасных технических средств и технологий при решении задач профессиональной деятельности</v>
      </c>
      <c r="C64" s="31" t="str">
        <f>IFERROR(SEARCH($A64,C$3),"")</f>
        <v/>
      </c>
      <c r="D64" s="31" t="str">
        <f t="shared" si="24"/>
        <v/>
      </c>
      <c r="E64" s="31" t="str">
        <f t="shared" si="24"/>
        <v/>
      </c>
      <c r="F64" s="31" t="str">
        <f t="shared" si="24"/>
        <v/>
      </c>
      <c r="G64" s="31" t="str">
        <f t="shared" si="24"/>
        <v/>
      </c>
      <c r="H64" s="31" t="str">
        <f t="shared" si="24"/>
        <v/>
      </c>
      <c r="I64" s="31" t="str">
        <f t="shared" si="24"/>
        <v/>
      </c>
      <c r="J64" s="31" t="str">
        <f t="shared" si="24"/>
        <v/>
      </c>
      <c r="K64" s="31" t="str">
        <f t="shared" si="24"/>
        <v/>
      </c>
      <c r="L64" s="31" t="str">
        <f t="shared" si="24"/>
        <v/>
      </c>
      <c r="M64" s="31" t="str">
        <f t="shared" si="24"/>
        <v/>
      </c>
      <c r="N64" s="31" t="str">
        <f t="shared" si="24"/>
        <v/>
      </c>
      <c r="O64" s="31" t="str">
        <f t="shared" si="24"/>
        <v/>
      </c>
      <c r="P64" s="40">
        <v>18</v>
      </c>
      <c r="Q64" s="31" t="str">
        <f t="shared" si="24"/>
        <v/>
      </c>
      <c r="R64" s="31" t="str">
        <f t="shared" si="24"/>
        <v/>
      </c>
      <c r="S64" s="31" t="str">
        <f t="shared" si="24"/>
        <v/>
      </c>
      <c r="T64" s="31" t="str">
        <f t="shared" si="24"/>
        <v/>
      </c>
      <c r="U64" s="31" t="str">
        <f t="shared" si="24"/>
        <v/>
      </c>
      <c r="V64" s="31" t="str">
        <f t="shared" si="24"/>
        <v/>
      </c>
      <c r="W64" s="31" t="str">
        <f t="shared" si="24"/>
        <v/>
      </c>
      <c r="X64" s="31" t="str">
        <f t="shared" si="24"/>
        <v/>
      </c>
      <c r="Y64" s="31" t="str">
        <f t="shared" si="24"/>
        <v/>
      </c>
      <c r="Z64" s="31" t="str">
        <f t="shared" si="24"/>
        <v/>
      </c>
      <c r="AA64" s="31" t="str">
        <f t="shared" si="24"/>
        <v/>
      </c>
      <c r="AB64" s="31" t="str">
        <f t="shared" si="24"/>
        <v/>
      </c>
      <c r="AC64" s="31" t="str">
        <f t="shared" si="24"/>
        <v/>
      </c>
      <c r="AD64" s="31" t="str">
        <f t="shared" si="24"/>
        <v/>
      </c>
      <c r="AE64" s="31" t="str">
        <f t="shared" si="24"/>
        <v/>
      </c>
      <c r="AF64" s="31" t="str">
        <f t="shared" si="24"/>
        <v/>
      </c>
      <c r="AG64" s="31" t="str">
        <f t="shared" si="24"/>
        <v/>
      </c>
      <c r="AH64" s="31" t="str">
        <f t="shared" si="24"/>
        <v/>
      </c>
      <c r="AI64" s="31" t="str">
        <f t="shared" si="24"/>
        <v/>
      </c>
      <c r="AJ64" s="31" t="str">
        <f t="shared" si="24"/>
        <v/>
      </c>
      <c r="AK64" s="31" t="str">
        <f t="shared" si="24"/>
        <v/>
      </c>
      <c r="AL64" s="31" t="str">
        <f t="shared" si="24"/>
        <v/>
      </c>
      <c r="AM64" s="31" t="str">
        <f t="shared" si="24"/>
        <v/>
      </c>
      <c r="AN64" s="31" t="str">
        <f t="shared" si="24"/>
        <v/>
      </c>
      <c r="AO64" s="31" t="str">
        <f t="shared" si="24"/>
        <v/>
      </c>
      <c r="AP64" s="31" t="str">
        <f t="shared" si="24"/>
        <v/>
      </c>
      <c r="AQ64" s="31" t="str">
        <f t="shared" si="24"/>
        <v/>
      </c>
      <c r="AR64" s="31" t="str">
        <f t="shared" si="24"/>
        <v/>
      </c>
      <c r="AS64" s="31" t="str">
        <f t="shared" si="24"/>
        <v/>
      </c>
      <c r="AT64" s="31" t="str">
        <f t="shared" si="24"/>
        <v/>
      </c>
      <c r="AU64" s="31" t="str">
        <f t="shared" si="24"/>
        <v/>
      </c>
      <c r="AV64" s="31" t="str">
        <f t="shared" si="24"/>
        <v/>
      </c>
      <c r="AW64" s="31" t="str">
        <f t="shared" si="24"/>
        <v/>
      </c>
      <c r="AX64" s="40">
        <v>2</v>
      </c>
      <c r="AY64" s="31" t="str">
        <f t="shared" si="24"/>
        <v/>
      </c>
      <c r="AZ64" s="31" t="str">
        <f t="shared" si="24"/>
        <v/>
      </c>
      <c r="BA64" s="31" t="str">
        <f t="shared" si="24"/>
        <v/>
      </c>
      <c r="BB64" s="31">
        <f t="shared" si="2"/>
        <v>20</v>
      </c>
      <c r="BC64" s="31" t="str">
        <f t="shared" si="24"/>
        <v/>
      </c>
      <c r="BD64" s="31" t="str">
        <f t="shared" si="24"/>
        <v/>
      </c>
      <c r="BE64" s="31">
        <f t="shared" si="3"/>
        <v>0</v>
      </c>
      <c r="BF64" s="31">
        <f t="shared" si="4"/>
        <v>20</v>
      </c>
    </row>
    <row r="65" spans="1:58" s="38" customFormat="1" ht="31.5" x14ac:dyDescent="0.25">
      <c r="A65" s="36" t="s">
        <v>102</v>
      </c>
      <c r="B65" s="36" t="str">
        <f>VLOOKUP(A65,Лист1!B:C,2,0)</f>
        <v>Способен участвовать в разработке технической документации с использованием стандартов, норм и правил, связанных с профессиональной деятельностью</v>
      </c>
      <c r="C65" s="37" t="str">
        <f t="shared" si="5"/>
        <v/>
      </c>
      <c r="D65" s="37" t="str">
        <f t="shared" si="5"/>
        <v/>
      </c>
      <c r="E65" s="37" t="str">
        <f t="shared" si="5"/>
        <v/>
      </c>
      <c r="F65" s="37" t="str">
        <f t="shared" si="5"/>
        <v/>
      </c>
      <c r="G65" s="37" t="str">
        <f t="shared" si="5"/>
        <v/>
      </c>
      <c r="H65" s="37" t="str">
        <f t="shared" si="5"/>
        <v/>
      </c>
      <c r="I65" s="37" t="str">
        <f t="shared" si="5"/>
        <v/>
      </c>
      <c r="J65" s="37" t="str">
        <f t="shared" si="17"/>
        <v/>
      </c>
      <c r="K65" s="37" t="str">
        <f t="shared" si="17"/>
        <v/>
      </c>
      <c r="L65" s="37" t="str">
        <f t="shared" si="17"/>
        <v/>
      </c>
      <c r="M65" s="37" t="str">
        <f t="shared" si="17"/>
        <v/>
      </c>
      <c r="N65" s="37" t="str">
        <f t="shared" si="17"/>
        <v/>
      </c>
      <c r="O65" s="37" t="str">
        <f t="shared" si="17"/>
        <v/>
      </c>
      <c r="P65" s="37" t="str">
        <f t="shared" si="17"/>
        <v/>
      </c>
      <c r="Q65" s="37" t="str">
        <f t="shared" si="17"/>
        <v/>
      </c>
      <c r="R65" s="37" t="str">
        <f t="shared" si="17"/>
        <v/>
      </c>
      <c r="S65" s="37" t="str">
        <f t="shared" si="17"/>
        <v/>
      </c>
      <c r="T65" s="37" t="str">
        <f t="shared" si="17"/>
        <v/>
      </c>
      <c r="U65" s="37" t="str">
        <f t="shared" si="17"/>
        <v/>
      </c>
      <c r="V65" s="37" t="str">
        <f t="shared" si="17"/>
        <v/>
      </c>
      <c r="W65" s="37">
        <v>16</v>
      </c>
      <c r="X65" s="37" t="str">
        <f t="shared" si="17"/>
        <v/>
      </c>
      <c r="Y65" s="37" t="str">
        <f t="shared" si="17"/>
        <v/>
      </c>
      <c r="Z65" s="37" t="str">
        <f t="shared" si="17"/>
        <v/>
      </c>
      <c r="AA65" s="37" t="str">
        <f t="shared" si="17"/>
        <v/>
      </c>
      <c r="AB65" s="37">
        <v>6</v>
      </c>
      <c r="AC65" s="37" t="str">
        <f t="shared" si="17"/>
        <v/>
      </c>
      <c r="AD65" s="37" t="str">
        <f t="shared" si="17"/>
        <v/>
      </c>
      <c r="AE65" s="37" t="str">
        <f t="shared" si="17"/>
        <v/>
      </c>
      <c r="AF65" s="37" t="str">
        <f t="shared" si="17"/>
        <v/>
      </c>
      <c r="AG65" s="37" t="str">
        <f t="shared" si="17"/>
        <v/>
      </c>
      <c r="AH65" s="37" t="str">
        <f t="shared" si="17"/>
        <v/>
      </c>
      <c r="AI65" s="37" t="str">
        <f t="shared" si="17"/>
        <v/>
      </c>
      <c r="AJ65" s="37" t="str">
        <f t="shared" si="17"/>
        <v/>
      </c>
      <c r="AK65" s="37" t="str">
        <f t="shared" si="17"/>
        <v/>
      </c>
      <c r="AL65" s="37" t="str">
        <f t="shared" si="17"/>
        <v/>
      </c>
      <c r="AM65" s="37" t="str">
        <f t="shared" si="17"/>
        <v/>
      </c>
      <c r="AN65" s="37" t="str">
        <f t="shared" si="17"/>
        <v/>
      </c>
      <c r="AO65" s="37" t="str">
        <f t="shared" si="17"/>
        <v/>
      </c>
      <c r="AP65" s="37" t="str">
        <f t="shared" si="17"/>
        <v/>
      </c>
      <c r="AQ65" s="37" t="str">
        <f t="shared" si="17"/>
        <v/>
      </c>
      <c r="AR65" s="37" t="str">
        <f t="shared" si="17"/>
        <v/>
      </c>
      <c r="AS65" s="37" t="str">
        <f t="shared" si="17"/>
        <v/>
      </c>
      <c r="AT65" s="37" t="str">
        <f t="shared" si="17"/>
        <v/>
      </c>
      <c r="AU65" s="37" t="str">
        <f t="shared" si="17"/>
        <v/>
      </c>
      <c r="AV65" s="37" t="str">
        <f t="shared" si="17"/>
        <v/>
      </c>
      <c r="AW65" s="37" t="str">
        <f t="shared" si="17"/>
        <v/>
      </c>
      <c r="AX65" s="37" t="str">
        <f t="shared" si="17"/>
        <v/>
      </c>
      <c r="AY65" s="37" t="str">
        <f t="shared" si="17"/>
        <v/>
      </c>
      <c r="AZ65" s="37" t="str">
        <f t="shared" si="17"/>
        <v/>
      </c>
      <c r="BA65" s="37" t="str">
        <f t="shared" si="17"/>
        <v/>
      </c>
      <c r="BB65" s="37">
        <f t="shared" si="2"/>
        <v>22</v>
      </c>
      <c r="BC65" s="37" t="str">
        <f>IFERROR(SEARCH(_xlfn.CONCAT(" ",$A65),#REF!),"")</f>
        <v/>
      </c>
      <c r="BD65" s="37" t="str">
        <f>IFERROR(SEARCH(_xlfn.CONCAT(" ",$A65),#REF!),"")</f>
        <v/>
      </c>
      <c r="BE65" s="37">
        <f t="shared" si="3"/>
        <v>0</v>
      </c>
      <c r="BF65" s="37">
        <f t="shared" si="4"/>
        <v>22</v>
      </c>
    </row>
    <row r="66" spans="1:58" ht="31.5" x14ac:dyDescent="0.25">
      <c r="A66" s="39" t="s">
        <v>104</v>
      </c>
      <c r="B66" s="33" t="str">
        <f>VLOOKUP(A66,Лист1!B:C,2,0)</f>
        <v>Использует стандарты, нормы и правила, связанные с профессиональной деятельностью, при разработке технических и технологических мероприятий в организации перевозочного процесса и оказании логистических услуг</v>
      </c>
      <c r="C66" s="31" t="str">
        <f>IFERROR(SEARCH($A66,C$3),"")</f>
        <v/>
      </c>
      <c r="D66" s="31" t="str">
        <f t="shared" ref="D66:BD67" si="25">IFERROR(SEARCH($A66,D$3),"")</f>
        <v/>
      </c>
      <c r="E66" s="31" t="str">
        <f t="shared" si="25"/>
        <v/>
      </c>
      <c r="F66" s="31" t="str">
        <f t="shared" si="25"/>
        <v/>
      </c>
      <c r="G66" s="31" t="str">
        <f t="shared" si="25"/>
        <v/>
      </c>
      <c r="H66" s="31" t="str">
        <f t="shared" si="25"/>
        <v/>
      </c>
      <c r="I66" s="31" t="str">
        <f t="shared" si="25"/>
        <v/>
      </c>
      <c r="J66" s="31" t="str">
        <f t="shared" si="25"/>
        <v/>
      </c>
      <c r="K66" s="31" t="str">
        <f t="shared" si="25"/>
        <v/>
      </c>
      <c r="L66" s="31" t="str">
        <f t="shared" si="25"/>
        <v/>
      </c>
      <c r="M66" s="31" t="str">
        <f t="shared" si="25"/>
        <v/>
      </c>
      <c r="N66" s="31" t="str">
        <f t="shared" si="25"/>
        <v/>
      </c>
      <c r="O66" s="31" t="str">
        <f t="shared" si="25"/>
        <v/>
      </c>
      <c r="P66" s="31" t="str">
        <f t="shared" si="25"/>
        <v/>
      </c>
      <c r="Q66" s="31" t="str">
        <f t="shared" si="25"/>
        <v/>
      </c>
      <c r="R66" s="31" t="str">
        <f t="shared" si="25"/>
        <v/>
      </c>
      <c r="S66" s="31" t="str">
        <f t="shared" si="25"/>
        <v/>
      </c>
      <c r="T66" s="31" t="str">
        <f t="shared" si="25"/>
        <v/>
      </c>
      <c r="U66" s="31" t="str">
        <f t="shared" si="25"/>
        <v/>
      </c>
      <c r="V66" s="31" t="str">
        <f t="shared" si="25"/>
        <v/>
      </c>
      <c r="W66" s="31" t="str">
        <f t="shared" si="25"/>
        <v/>
      </c>
      <c r="X66" s="31" t="str">
        <f t="shared" si="25"/>
        <v/>
      </c>
      <c r="Y66" s="31" t="str">
        <f t="shared" si="25"/>
        <v/>
      </c>
      <c r="Z66" s="31" t="str">
        <f t="shared" si="25"/>
        <v/>
      </c>
      <c r="AA66" s="31" t="str">
        <f t="shared" si="25"/>
        <v/>
      </c>
      <c r="AB66" s="40">
        <v>6</v>
      </c>
      <c r="AC66" s="31" t="str">
        <f t="shared" si="25"/>
        <v/>
      </c>
      <c r="AD66" s="31" t="str">
        <f t="shared" si="25"/>
        <v/>
      </c>
      <c r="AE66" s="31" t="str">
        <f t="shared" si="25"/>
        <v/>
      </c>
      <c r="AF66" s="31" t="str">
        <f t="shared" si="25"/>
        <v/>
      </c>
      <c r="AG66" s="31" t="str">
        <f t="shared" si="25"/>
        <v/>
      </c>
      <c r="AH66" s="31" t="str">
        <f t="shared" si="25"/>
        <v/>
      </c>
      <c r="AI66" s="31" t="str">
        <f t="shared" si="25"/>
        <v/>
      </c>
      <c r="AJ66" s="31" t="str">
        <f t="shared" si="25"/>
        <v/>
      </c>
      <c r="AK66" s="31" t="str">
        <f t="shared" si="25"/>
        <v/>
      </c>
      <c r="AL66" s="31" t="str">
        <f t="shared" si="25"/>
        <v/>
      </c>
      <c r="AM66" s="31" t="str">
        <f t="shared" si="25"/>
        <v/>
      </c>
      <c r="AN66" s="31" t="str">
        <f t="shared" si="25"/>
        <v/>
      </c>
      <c r="AO66" s="31" t="str">
        <f t="shared" si="25"/>
        <v/>
      </c>
      <c r="AP66" s="31" t="str">
        <f t="shared" si="25"/>
        <v/>
      </c>
      <c r="AQ66" s="31" t="str">
        <f t="shared" si="25"/>
        <v/>
      </c>
      <c r="AR66" s="31" t="str">
        <f t="shared" si="25"/>
        <v/>
      </c>
      <c r="AS66" s="31" t="str">
        <f t="shared" si="25"/>
        <v/>
      </c>
      <c r="AT66" s="31" t="str">
        <f t="shared" si="25"/>
        <v/>
      </c>
      <c r="AU66" s="31" t="str">
        <f t="shared" si="25"/>
        <v/>
      </c>
      <c r="AV66" s="31" t="str">
        <f t="shared" si="25"/>
        <v/>
      </c>
      <c r="AW66" s="31" t="str">
        <f t="shared" si="25"/>
        <v/>
      </c>
      <c r="AX66" s="31" t="str">
        <f t="shared" si="25"/>
        <v/>
      </c>
      <c r="AY66" s="31" t="str">
        <f t="shared" si="25"/>
        <v/>
      </c>
      <c r="AZ66" s="31" t="str">
        <f t="shared" si="25"/>
        <v/>
      </c>
      <c r="BA66" s="31" t="str">
        <f t="shared" si="25"/>
        <v/>
      </c>
      <c r="BB66" s="31">
        <f t="shared" si="2"/>
        <v>6</v>
      </c>
      <c r="BC66" s="31" t="str">
        <f t="shared" si="25"/>
        <v/>
      </c>
      <c r="BD66" s="31" t="str">
        <f t="shared" si="25"/>
        <v/>
      </c>
      <c r="BE66" s="31">
        <f t="shared" si="3"/>
        <v>0</v>
      </c>
      <c r="BF66" s="31">
        <f t="shared" si="4"/>
        <v>6</v>
      </c>
    </row>
    <row r="67" spans="1:58" ht="31.5" x14ac:dyDescent="0.25">
      <c r="A67" s="39" t="s">
        <v>372</v>
      </c>
      <c r="B67" s="33" t="str">
        <f>VLOOKUP(A67,Лист1!B:C,2,0)</f>
        <v>Разрабатывает технические и технологические мероприятия производственной деятельности с учетом действующих международных, российских, отраслевых стандартов, норм и правил</v>
      </c>
      <c r="C67" s="31" t="str">
        <f>IFERROR(SEARCH($A67,C$3),"")</f>
        <v/>
      </c>
      <c r="D67" s="31" t="str">
        <f t="shared" si="25"/>
        <v/>
      </c>
      <c r="E67" s="31" t="str">
        <f t="shared" si="25"/>
        <v/>
      </c>
      <c r="F67" s="31" t="str">
        <f t="shared" si="25"/>
        <v/>
      </c>
      <c r="G67" s="31" t="str">
        <f t="shared" si="25"/>
        <v/>
      </c>
      <c r="H67" s="31" t="str">
        <f t="shared" si="25"/>
        <v/>
      </c>
      <c r="I67" s="31" t="str">
        <f t="shared" si="25"/>
        <v/>
      </c>
      <c r="J67" s="31" t="str">
        <f t="shared" si="25"/>
        <v/>
      </c>
      <c r="K67" s="31" t="str">
        <f t="shared" si="25"/>
        <v/>
      </c>
      <c r="L67" s="31" t="str">
        <f t="shared" si="25"/>
        <v/>
      </c>
      <c r="M67" s="31" t="str">
        <f t="shared" si="25"/>
        <v/>
      </c>
      <c r="N67" s="31" t="str">
        <f t="shared" si="25"/>
        <v/>
      </c>
      <c r="O67" s="31" t="str">
        <f t="shared" si="25"/>
        <v/>
      </c>
      <c r="P67" s="31" t="str">
        <f t="shared" si="25"/>
        <v/>
      </c>
      <c r="Q67" s="31" t="str">
        <f t="shared" si="25"/>
        <v/>
      </c>
      <c r="R67" s="31" t="str">
        <f t="shared" si="25"/>
        <v/>
      </c>
      <c r="S67" s="31" t="str">
        <f t="shared" si="25"/>
        <v/>
      </c>
      <c r="T67" s="31" t="str">
        <f t="shared" si="25"/>
        <v/>
      </c>
      <c r="U67" s="31" t="str">
        <f t="shared" si="25"/>
        <v/>
      </c>
      <c r="V67" s="31" t="str">
        <f t="shared" si="25"/>
        <v/>
      </c>
      <c r="W67" s="40">
        <v>16</v>
      </c>
      <c r="X67" s="31" t="str">
        <f t="shared" si="25"/>
        <v/>
      </c>
      <c r="Y67" s="31" t="str">
        <f t="shared" si="25"/>
        <v/>
      </c>
      <c r="Z67" s="31" t="str">
        <f t="shared" si="25"/>
        <v/>
      </c>
      <c r="AA67" s="31" t="str">
        <f t="shared" si="25"/>
        <v/>
      </c>
      <c r="AB67" s="31" t="str">
        <f t="shared" si="25"/>
        <v/>
      </c>
      <c r="AC67" s="31" t="str">
        <f t="shared" si="25"/>
        <v/>
      </c>
      <c r="AD67" s="31" t="str">
        <f t="shared" si="25"/>
        <v/>
      </c>
      <c r="AE67" s="31" t="str">
        <f t="shared" si="25"/>
        <v/>
      </c>
      <c r="AF67" s="31" t="str">
        <f t="shared" si="25"/>
        <v/>
      </c>
      <c r="AG67" s="31" t="str">
        <f t="shared" si="25"/>
        <v/>
      </c>
      <c r="AH67" s="31" t="str">
        <f t="shared" si="25"/>
        <v/>
      </c>
      <c r="AI67" s="31" t="str">
        <f t="shared" si="25"/>
        <v/>
      </c>
      <c r="AJ67" s="31" t="str">
        <f t="shared" si="25"/>
        <v/>
      </c>
      <c r="AK67" s="31" t="str">
        <f t="shared" si="25"/>
        <v/>
      </c>
      <c r="AL67" s="31" t="str">
        <f t="shared" si="25"/>
        <v/>
      </c>
      <c r="AM67" s="31" t="str">
        <f t="shared" si="25"/>
        <v/>
      </c>
      <c r="AN67" s="31" t="str">
        <f t="shared" si="25"/>
        <v/>
      </c>
      <c r="AO67" s="31" t="str">
        <f t="shared" si="25"/>
        <v/>
      </c>
      <c r="AP67" s="31" t="str">
        <f t="shared" si="25"/>
        <v/>
      </c>
      <c r="AQ67" s="31" t="str">
        <f t="shared" si="25"/>
        <v/>
      </c>
      <c r="AR67" s="31" t="str">
        <f t="shared" si="25"/>
        <v/>
      </c>
      <c r="AS67" s="31" t="str">
        <f t="shared" si="25"/>
        <v/>
      </c>
      <c r="AT67" s="31" t="str">
        <f t="shared" si="25"/>
        <v/>
      </c>
      <c r="AU67" s="31" t="str">
        <f t="shared" si="25"/>
        <v/>
      </c>
      <c r="AV67" s="31" t="str">
        <f t="shared" si="25"/>
        <v/>
      </c>
      <c r="AW67" s="31" t="str">
        <f t="shared" si="25"/>
        <v/>
      </c>
      <c r="AX67" s="31" t="str">
        <f t="shared" si="25"/>
        <v/>
      </c>
      <c r="AY67" s="31" t="str">
        <f t="shared" si="25"/>
        <v/>
      </c>
      <c r="AZ67" s="31" t="str">
        <f t="shared" si="25"/>
        <v/>
      </c>
      <c r="BA67" s="31" t="str">
        <f t="shared" si="25"/>
        <v/>
      </c>
      <c r="BB67" s="31">
        <f t="shared" si="2"/>
        <v>16</v>
      </c>
      <c r="BC67" s="31" t="str">
        <f t="shared" si="25"/>
        <v/>
      </c>
      <c r="BD67" s="31" t="str">
        <f t="shared" si="25"/>
        <v/>
      </c>
      <c r="BE67" s="31">
        <f t="shared" si="3"/>
        <v>0</v>
      </c>
      <c r="BF67" s="31">
        <f t="shared" si="4"/>
        <v>16</v>
      </c>
    </row>
    <row r="68" spans="1:58" s="38" customFormat="1" ht="52.5" x14ac:dyDescent="0.25">
      <c r="A68" s="36" t="s">
        <v>107</v>
      </c>
      <c r="B68" s="36" t="str">
        <f>VLOOKUP(A68,Лист1!B:C,2,0)</f>
        <v>Способен выполнять комплекс услуг по транспортному обслуживанию грузоотправителей и грузополучателей при перевозке грузов, в том числе скоропортящихся, на основе принципов логистики с учетом эффективного и рационального взаимодействия видов транспорта, составляющих единую транспортную систему</v>
      </c>
      <c r="C68" s="37" t="str">
        <f t="shared" si="5"/>
        <v/>
      </c>
      <c r="D68" s="37" t="str">
        <f t="shared" si="5"/>
        <v/>
      </c>
      <c r="E68" s="37" t="str">
        <f t="shared" si="5"/>
        <v/>
      </c>
      <c r="F68" s="37" t="str">
        <f t="shared" si="5"/>
        <v/>
      </c>
      <c r="G68" s="37" t="str">
        <f t="shared" si="5"/>
        <v/>
      </c>
      <c r="H68" s="37" t="str">
        <f t="shared" si="5"/>
        <v/>
      </c>
      <c r="I68" s="37" t="str">
        <f t="shared" si="5"/>
        <v/>
      </c>
      <c r="J68" s="37" t="str">
        <f t="shared" si="17"/>
        <v/>
      </c>
      <c r="K68" s="37" t="str">
        <f t="shared" si="17"/>
        <v/>
      </c>
      <c r="L68" s="37"/>
      <c r="M68" s="37"/>
      <c r="N68" s="37"/>
      <c r="O68" s="37" t="str">
        <f t="shared" si="17"/>
        <v/>
      </c>
      <c r="P68" s="37" t="str">
        <f t="shared" si="17"/>
        <v/>
      </c>
      <c r="Q68" s="37" t="str">
        <f t="shared" si="17"/>
        <v/>
      </c>
      <c r="R68" s="37" t="str">
        <f t="shared" si="17"/>
        <v/>
      </c>
      <c r="S68" s="37"/>
      <c r="T68" s="37" t="str">
        <f t="shared" si="17"/>
        <v/>
      </c>
      <c r="U68" s="37" t="str">
        <f t="shared" si="17"/>
        <v/>
      </c>
      <c r="V68" s="37" t="str">
        <f t="shared" si="17"/>
        <v/>
      </c>
      <c r="W68" s="37" t="str">
        <f t="shared" si="17"/>
        <v/>
      </c>
      <c r="X68" s="37" t="str">
        <f t="shared" si="17"/>
        <v/>
      </c>
      <c r="Y68" s="37" t="str">
        <f t="shared" si="17"/>
        <v/>
      </c>
      <c r="Z68" s="37" t="str">
        <f t="shared" si="17"/>
        <v/>
      </c>
      <c r="AA68" s="37"/>
      <c r="AB68" s="37" t="str">
        <f t="shared" si="17"/>
        <v/>
      </c>
      <c r="AC68" s="37" t="str">
        <f t="shared" si="17"/>
        <v/>
      </c>
      <c r="AD68" s="37" t="str">
        <f t="shared" ref="J68:BA92" si="26">IFERROR(IF(SEARCH($A68,AD$3)&lt;&gt;0,1,""),"")</f>
        <v/>
      </c>
      <c r="AE68" s="37" t="str">
        <f t="shared" si="26"/>
        <v/>
      </c>
      <c r="AF68" s="37">
        <v>18</v>
      </c>
      <c r="AG68" s="37" t="str">
        <f t="shared" si="26"/>
        <v/>
      </c>
      <c r="AH68" s="37" t="str">
        <f t="shared" si="26"/>
        <v/>
      </c>
      <c r="AI68" s="37" t="str">
        <f t="shared" si="26"/>
        <v/>
      </c>
      <c r="AJ68" s="37" t="str">
        <f t="shared" si="26"/>
        <v/>
      </c>
      <c r="AK68" s="37" t="str">
        <f t="shared" si="26"/>
        <v/>
      </c>
      <c r="AL68" s="37" t="str">
        <f t="shared" si="26"/>
        <v/>
      </c>
      <c r="AM68" s="37" t="str">
        <f t="shared" si="26"/>
        <v/>
      </c>
      <c r="AN68" s="37">
        <v>18</v>
      </c>
      <c r="AO68" s="37">
        <v>18</v>
      </c>
      <c r="AP68" s="37" t="str">
        <f t="shared" si="26"/>
        <v/>
      </c>
      <c r="AQ68" s="37" t="str">
        <f t="shared" si="26"/>
        <v/>
      </c>
      <c r="AR68" s="37" t="str">
        <f t="shared" si="26"/>
        <v/>
      </c>
      <c r="AS68" s="37" t="str">
        <f t="shared" si="26"/>
        <v/>
      </c>
      <c r="AT68" s="37">
        <v>18</v>
      </c>
      <c r="AU68" s="37">
        <v>18</v>
      </c>
      <c r="AV68" s="37" t="str">
        <f t="shared" si="26"/>
        <v/>
      </c>
      <c r="AW68" s="37" t="str">
        <f t="shared" si="26"/>
        <v/>
      </c>
      <c r="AX68" s="37" t="str">
        <f t="shared" si="26"/>
        <v/>
      </c>
      <c r="AY68" s="37">
        <v>2</v>
      </c>
      <c r="AZ68" s="37">
        <v>2</v>
      </c>
      <c r="BA68" s="37">
        <v>2</v>
      </c>
      <c r="BB68" s="37">
        <f t="shared" si="2"/>
        <v>96</v>
      </c>
      <c r="BC68" s="37" t="str">
        <f>IFERROR(SEARCH(_xlfn.CONCAT(" ",$A68),#REF!),"")</f>
        <v/>
      </c>
      <c r="BD68" s="37" t="str">
        <f>IFERROR(SEARCH(_xlfn.CONCAT(" ",$A68),#REF!),"")</f>
        <v/>
      </c>
      <c r="BE68" s="37">
        <f t="shared" si="3"/>
        <v>0</v>
      </c>
      <c r="BF68" s="37">
        <f t="shared" si="4"/>
        <v>96</v>
      </c>
    </row>
    <row r="69" spans="1:58" ht="21" x14ac:dyDescent="0.25">
      <c r="A69" s="39" t="s">
        <v>109</v>
      </c>
      <c r="B69" s="33" t="str">
        <f>VLOOKUP(A69,Лист1!B:C,2,0)</f>
        <v>Планирует работу предприятия транспортной отрасли по оказанию комплекса услуг грузовладельцам</v>
      </c>
      <c r="C69" s="31" t="str">
        <f>IFERROR(SEARCH($A69,C$3),"")</f>
        <v/>
      </c>
      <c r="D69" s="31" t="str">
        <f t="shared" ref="D69:BD72" si="27">IFERROR(SEARCH($A69,D$3),"")</f>
        <v/>
      </c>
      <c r="E69" s="31" t="str">
        <f t="shared" si="27"/>
        <v/>
      </c>
      <c r="F69" s="31" t="str">
        <f t="shared" si="27"/>
        <v/>
      </c>
      <c r="G69" s="31" t="str">
        <f t="shared" si="27"/>
        <v/>
      </c>
      <c r="H69" s="31" t="str">
        <f t="shared" si="27"/>
        <v/>
      </c>
      <c r="I69" s="31" t="str">
        <f t="shared" si="27"/>
        <v/>
      </c>
      <c r="J69" s="31" t="str">
        <f t="shared" si="27"/>
        <v/>
      </c>
      <c r="K69" s="31" t="str">
        <f t="shared" si="27"/>
        <v/>
      </c>
      <c r="L69" s="31"/>
      <c r="M69" s="31"/>
      <c r="N69" s="31"/>
      <c r="O69" s="31" t="str">
        <f t="shared" si="27"/>
        <v/>
      </c>
      <c r="P69" s="31" t="str">
        <f t="shared" si="27"/>
        <v/>
      </c>
      <c r="Q69" s="31" t="str">
        <f t="shared" si="27"/>
        <v/>
      </c>
      <c r="R69" s="31" t="str">
        <f t="shared" si="27"/>
        <v/>
      </c>
      <c r="S69" s="31" t="str">
        <f t="shared" si="27"/>
        <v/>
      </c>
      <c r="T69" s="31" t="str">
        <f t="shared" si="27"/>
        <v/>
      </c>
      <c r="U69" s="31" t="str">
        <f t="shared" si="27"/>
        <v/>
      </c>
      <c r="V69" s="31" t="str">
        <f t="shared" si="27"/>
        <v/>
      </c>
      <c r="W69" s="31" t="str">
        <f t="shared" si="27"/>
        <v/>
      </c>
      <c r="X69" s="31" t="str">
        <f t="shared" si="27"/>
        <v/>
      </c>
      <c r="Y69" s="31" t="str">
        <f t="shared" si="27"/>
        <v/>
      </c>
      <c r="Z69" s="31" t="str">
        <f t="shared" si="27"/>
        <v/>
      </c>
      <c r="AA69" s="31" t="str">
        <f t="shared" si="27"/>
        <v/>
      </c>
      <c r="AB69" s="31" t="str">
        <f t="shared" si="27"/>
        <v/>
      </c>
      <c r="AC69" s="31" t="str">
        <f t="shared" si="27"/>
        <v/>
      </c>
      <c r="AD69" s="31" t="str">
        <f t="shared" si="27"/>
        <v/>
      </c>
      <c r="AE69" s="31" t="str">
        <f t="shared" si="27"/>
        <v/>
      </c>
      <c r="AF69" s="40">
        <v>9</v>
      </c>
      <c r="AG69" s="31" t="str">
        <f t="shared" si="27"/>
        <v/>
      </c>
      <c r="AH69" s="31" t="str">
        <f t="shared" si="27"/>
        <v/>
      </c>
      <c r="AI69" s="31" t="str">
        <f t="shared" si="27"/>
        <v/>
      </c>
      <c r="AJ69" s="31" t="str">
        <f t="shared" si="27"/>
        <v/>
      </c>
      <c r="AK69" s="31" t="str">
        <f t="shared" si="27"/>
        <v/>
      </c>
      <c r="AL69" s="31" t="str">
        <f t="shared" si="27"/>
        <v/>
      </c>
      <c r="AM69" s="31" t="str">
        <f t="shared" si="27"/>
        <v/>
      </c>
      <c r="AN69" s="31" t="str">
        <f t="shared" si="27"/>
        <v/>
      </c>
      <c r="AO69" s="31" t="str">
        <f t="shared" si="27"/>
        <v/>
      </c>
      <c r="AP69" s="31" t="str">
        <f t="shared" si="27"/>
        <v/>
      </c>
      <c r="AQ69" s="31" t="str">
        <f t="shared" si="27"/>
        <v/>
      </c>
      <c r="AR69" s="31" t="str">
        <f t="shared" si="27"/>
        <v/>
      </c>
      <c r="AS69" s="31" t="str">
        <f t="shared" si="27"/>
        <v/>
      </c>
      <c r="AT69" s="31" t="str">
        <f t="shared" si="27"/>
        <v/>
      </c>
      <c r="AU69" s="31" t="str">
        <f t="shared" si="27"/>
        <v/>
      </c>
      <c r="AV69" s="31" t="str">
        <f t="shared" si="27"/>
        <v/>
      </c>
      <c r="AW69" s="31" t="str">
        <f t="shared" si="27"/>
        <v/>
      </c>
      <c r="AX69" s="31" t="str">
        <f t="shared" si="27"/>
        <v/>
      </c>
      <c r="AY69" s="31" t="str">
        <f t="shared" si="27"/>
        <v/>
      </c>
      <c r="AZ69" s="40">
        <f t="shared" si="27"/>
        <v>1</v>
      </c>
      <c r="BA69" s="31" t="str">
        <f t="shared" si="27"/>
        <v/>
      </c>
      <c r="BB69" s="31">
        <f t="shared" ref="BB69:BB94" si="28">SUM(C69:BA69)</f>
        <v>10</v>
      </c>
      <c r="BC69" s="31" t="str">
        <f t="shared" si="27"/>
        <v/>
      </c>
      <c r="BD69" s="31" t="str">
        <f t="shared" si="27"/>
        <v/>
      </c>
      <c r="BE69" s="31">
        <f t="shared" ref="BE69:BE94" si="29">SUM(BC69:BD69)</f>
        <v>0</v>
      </c>
      <c r="BF69" s="31">
        <f t="shared" ref="BF69:BF94" si="30">BB69+BE69</f>
        <v>10</v>
      </c>
    </row>
    <row r="70" spans="1:58" ht="21" x14ac:dyDescent="0.25">
      <c r="A70" s="39" t="s">
        <v>111</v>
      </c>
      <c r="B70" s="33" t="str">
        <f>VLOOKUP(A70,Лист1!B:C,2,0)</f>
        <v>Идентифицирует и анализирует свойства грузов, характеристики подвижного состава, требования к размещению и креплению грузов в вагонах и контейнерах</v>
      </c>
      <c r="C70" s="31" t="str">
        <f>IFERROR(SEARCH($A70,C$3),"")</f>
        <v/>
      </c>
      <c r="D70" s="31" t="str">
        <f t="shared" si="27"/>
        <v/>
      </c>
      <c r="E70" s="31" t="str">
        <f t="shared" si="27"/>
        <v/>
      </c>
      <c r="F70" s="31" t="str">
        <f t="shared" si="27"/>
        <v/>
      </c>
      <c r="G70" s="31" t="str">
        <f t="shared" si="27"/>
        <v/>
      </c>
      <c r="H70" s="31" t="str">
        <f t="shared" si="27"/>
        <v/>
      </c>
      <c r="I70" s="31" t="str">
        <f t="shared" si="27"/>
        <v/>
      </c>
      <c r="J70" s="31" t="str">
        <f t="shared" si="27"/>
        <v/>
      </c>
      <c r="K70" s="31" t="str">
        <f t="shared" si="27"/>
        <v/>
      </c>
      <c r="L70" s="31"/>
      <c r="M70" s="31"/>
      <c r="N70" s="31"/>
      <c r="O70" s="31" t="str">
        <f t="shared" si="27"/>
        <v/>
      </c>
      <c r="P70" s="31" t="str">
        <f t="shared" si="27"/>
        <v/>
      </c>
      <c r="Q70" s="31" t="str">
        <f t="shared" si="27"/>
        <v/>
      </c>
      <c r="R70" s="31" t="str">
        <f t="shared" si="27"/>
        <v/>
      </c>
      <c r="S70" s="31" t="str">
        <f t="shared" si="27"/>
        <v/>
      </c>
      <c r="T70" s="31" t="str">
        <f t="shared" si="27"/>
        <v/>
      </c>
      <c r="U70" s="31" t="str">
        <f t="shared" si="27"/>
        <v/>
      </c>
      <c r="V70" s="31" t="str">
        <f t="shared" si="27"/>
        <v/>
      </c>
      <c r="W70" s="31" t="str">
        <f t="shared" si="27"/>
        <v/>
      </c>
      <c r="X70" s="31" t="str">
        <f t="shared" si="27"/>
        <v/>
      </c>
      <c r="Y70" s="31" t="str">
        <f t="shared" si="27"/>
        <v/>
      </c>
      <c r="Z70" s="31" t="str">
        <f t="shared" si="27"/>
        <v/>
      </c>
      <c r="AA70" s="31" t="str">
        <f t="shared" si="27"/>
        <v/>
      </c>
      <c r="AB70" s="31" t="str">
        <f t="shared" si="27"/>
        <v/>
      </c>
      <c r="AC70" s="31" t="str">
        <f t="shared" si="27"/>
        <v/>
      </c>
      <c r="AD70" s="31" t="str">
        <f t="shared" si="27"/>
        <v/>
      </c>
      <c r="AE70" s="31" t="str">
        <f t="shared" si="27"/>
        <v/>
      </c>
      <c r="AF70" s="40">
        <f t="shared" si="27"/>
        <v>9</v>
      </c>
      <c r="AG70" s="31" t="str">
        <f t="shared" si="27"/>
        <v/>
      </c>
      <c r="AH70" s="31" t="str">
        <f t="shared" si="27"/>
        <v/>
      </c>
      <c r="AI70" s="31" t="str">
        <f t="shared" si="27"/>
        <v/>
      </c>
      <c r="AJ70" s="31" t="str">
        <f t="shared" si="27"/>
        <v/>
      </c>
      <c r="AK70" s="31" t="str">
        <f t="shared" si="27"/>
        <v/>
      </c>
      <c r="AL70" s="31" t="str">
        <f t="shared" si="27"/>
        <v/>
      </c>
      <c r="AM70" s="31" t="str">
        <f t="shared" si="27"/>
        <v/>
      </c>
      <c r="AN70" s="31" t="str">
        <f t="shared" si="27"/>
        <v/>
      </c>
      <c r="AO70" s="31" t="str">
        <f t="shared" si="27"/>
        <v/>
      </c>
      <c r="AP70" s="31" t="str">
        <f t="shared" si="27"/>
        <v/>
      </c>
      <c r="AQ70" s="31" t="str">
        <f t="shared" si="27"/>
        <v/>
      </c>
      <c r="AR70" s="31" t="str">
        <f t="shared" si="27"/>
        <v/>
      </c>
      <c r="AS70" s="31" t="str">
        <f t="shared" si="27"/>
        <v/>
      </c>
      <c r="AT70" s="31" t="str">
        <f t="shared" si="27"/>
        <v/>
      </c>
      <c r="AU70" s="31" t="str">
        <f t="shared" si="27"/>
        <v/>
      </c>
      <c r="AV70" s="31" t="str">
        <f t="shared" si="27"/>
        <v/>
      </c>
      <c r="AW70" s="31" t="str">
        <f t="shared" si="27"/>
        <v/>
      </c>
      <c r="AX70" s="31" t="str">
        <f t="shared" si="27"/>
        <v/>
      </c>
      <c r="AY70" s="40">
        <v>2</v>
      </c>
      <c r="AZ70" s="31" t="str">
        <f t="shared" si="27"/>
        <v/>
      </c>
      <c r="BA70" s="31" t="str">
        <f t="shared" si="27"/>
        <v/>
      </c>
      <c r="BB70" s="31">
        <f t="shared" si="28"/>
        <v>11</v>
      </c>
      <c r="BC70" s="31" t="str">
        <f t="shared" si="27"/>
        <v/>
      </c>
      <c r="BD70" s="31" t="str">
        <f t="shared" si="27"/>
        <v/>
      </c>
      <c r="BE70" s="31">
        <f t="shared" si="29"/>
        <v>0</v>
      </c>
      <c r="BF70" s="31">
        <f t="shared" si="30"/>
        <v>11</v>
      </c>
    </row>
    <row r="71" spans="1:58" ht="21" x14ac:dyDescent="0.25">
      <c r="A71" s="39" t="s">
        <v>113</v>
      </c>
      <c r="B71" s="33" t="str">
        <f>VLOOKUP(A71,Лист1!B:C,2,0)</f>
        <v>Определяет перечень транспортных услуг, связанных с перевозкой скоропортящихся грузов</v>
      </c>
      <c r="C71" s="31" t="str">
        <f>IFERROR(SEARCH($A71,C$3),"")</f>
        <v/>
      </c>
      <c r="D71" s="31" t="str">
        <f t="shared" si="27"/>
        <v/>
      </c>
      <c r="E71" s="31" t="str">
        <f t="shared" si="27"/>
        <v/>
      </c>
      <c r="F71" s="31" t="str">
        <f t="shared" si="27"/>
        <v/>
      </c>
      <c r="G71" s="31" t="str">
        <f t="shared" si="27"/>
        <v/>
      </c>
      <c r="H71" s="31" t="str">
        <f t="shared" si="27"/>
        <v/>
      </c>
      <c r="I71" s="31" t="str">
        <f t="shared" si="27"/>
        <v/>
      </c>
      <c r="J71" s="31" t="str">
        <f t="shared" si="27"/>
        <v/>
      </c>
      <c r="K71" s="31" t="str">
        <f t="shared" si="27"/>
        <v/>
      </c>
      <c r="L71" s="31"/>
      <c r="M71" s="31"/>
      <c r="N71" s="31"/>
      <c r="O71" s="31" t="str">
        <f t="shared" si="27"/>
        <v/>
      </c>
      <c r="P71" s="31" t="str">
        <f t="shared" si="27"/>
        <v/>
      </c>
      <c r="Q71" s="31" t="str">
        <f t="shared" si="27"/>
        <v/>
      </c>
      <c r="R71" s="31" t="str">
        <f t="shared" si="27"/>
        <v/>
      </c>
      <c r="S71" s="31" t="str">
        <f t="shared" si="27"/>
        <v/>
      </c>
      <c r="T71" s="31" t="str">
        <f t="shared" si="27"/>
        <v/>
      </c>
      <c r="U71" s="31" t="str">
        <f t="shared" si="27"/>
        <v/>
      </c>
      <c r="V71" s="31" t="str">
        <f t="shared" si="27"/>
        <v/>
      </c>
      <c r="W71" s="31" t="str">
        <f t="shared" si="27"/>
        <v/>
      </c>
      <c r="X71" s="31" t="str">
        <f t="shared" si="27"/>
        <v/>
      </c>
      <c r="Y71" s="31" t="str">
        <f t="shared" si="27"/>
        <v/>
      </c>
      <c r="Z71" s="31" t="str">
        <f t="shared" si="27"/>
        <v/>
      </c>
      <c r="AA71" s="31" t="str">
        <f t="shared" si="27"/>
        <v/>
      </c>
      <c r="AB71" s="31" t="str">
        <f t="shared" si="27"/>
        <v/>
      </c>
      <c r="AC71" s="31" t="str">
        <f t="shared" si="27"/>
        <v/>
      </c>
      <c r="AD71" s="31" t="str">
        <f t="shared" si="27"/>
        <v/>
      </c>
      <c r="AE71" s="31" t="str">
        <f t="shared" si="27"/>
        <v/>
      </c>
      <c r="AF71" s="31" t="str">
        <f t="shared" si="27"/>
        <v/>
      </c>
      <c r="AG71" s="31" t="str">
        <f t="shared" si="27"/>
        <v/>
      </c>
      <c r="AH71" s="31" t="str">
        <f t="shared" si="27"/>
        <v/>
      </c>
      <c r="AI71" s="31" t="str">
        <f t="shared" si="27"/>
        <v/>
      </c>
      <c r="AJ71" s="31" t="str">
        <f t="shared" si="27"/>
        <v/>
      </c>
      <c r="AK71" s="31" t="str">
        <f t="shared" si="27"/>
        <v/>
      </c>
      <c r="AL71" s="31" t="str">
        <f t="shared" si="27"/>
        <v/>
      </c>
      <c r="AM71" s="31" t="str">
        <f t="shared" si="27"/>
        <v/>
      </c>
      <c r="AN71" s="40">
        <v>18</v>
      </c>
      <c r="AO71" s="40">
        <v>18</v>
      </c>
      <c r="AP71" s="31" t="str">
        <f t="shared" si="27"/>
        <v/>
      </c>
      <c r="AQ71" s="31" t="str">
        <f t="shared" si="27"/>
        <v/>
      </c>
      <c r="AR71" s="31" t="str">
        <f t="shared" si="27"/>
        <v/>
      </c>
      <c r="AS71" s="31" t="str">
        <f t="shared" si="27"/>
        <v/>
      </c>
      <c r="AT71" s="31" t="str">
        <f t="shared" si="27"/>
        <v/>
      </c>
      <c r="AU71" s="31" t="str">
        <f t="shared" si="27"/>
        <v/>
      </c>
      <c r="AV71" s="31" t="str">
        <f t="shared" si="27"/>
        <v/>
      </c>
      <c r="AW71" s="31" t="str">
        <f t="shared" si="27"/>
        <v/>
      </c>
      <c r="AX71" s="31" t="str">
        <f t="shared" si="27"/>
        <v/>
      </c>
      <c r="AY71" s="31" t="str">
        <f t="shared" si="27"/>
        <v/>
      </c>
      <c r="AZ71" s="40">
        <v>1</v>
      </c>
      <c r="BA71" s="31" t="str">
        <f t="shared" si="27"/>
        <v/>
      </c>
      <c r="BB71" s="31">
        <f t="shared" si="28"/>
        <v>37</v>
      </c>
      <c r="BC71" s="31" t="str">
        <f t="shared" si="27"/>
        <v/>
      </c>
      <c r="BD71" s="31" t="str">
        <f t="shared" si="27"/>
        <v/>
      </c>
      <c r="BE71" s="31">
        <f t="shared" si="29"/>
        <v>0</v>
      </c>
      <c r="BF71" s="31">
        <f t="shared" si="30"/>
        <v>37</v>
      </c>
    </row>
    <row r="72" spans="1:58" ht="21" x14ac:dyDescent="0.25">
      <c r="A72" s="39" t="s">
        <v>230</v>
      </c>
      <c r="B72" s="33" t="str">
        <f>VLOOKUP(A72,Лист1!B:C,2,0)</f>
        <v>Разрабатывает комплекс услуг по транспортно-логистическому обслуживанию для эффективной мультимодальной перевозки грузов</v>
      </c>
      <c r="C72" s="31" t="str">
        <f>IFERROR(SEARCH($A72,C$3),"")</f>
        <v/>
      </c>
      <c r="D72" s="31" t="str">
        <f t="shared" si="27"/>
        <v/>
      </c>
      <c r="E72" s="31" t="str">
        <f t="shared" si="27"/>
        <v/>
      </c>
      <c r="F72" s="31" t="str">
        <f t="shared" si="27"/>
        <v/>
      </c>
      <c r="G72" s="31" t="str">
        <f t="shared" si="27"/>
        <v/>
      </c>
      <c r="H72" s="31" t="str">
        <f t="shared" si="27"/>
        <v/>
      </c>
      <c r="I72" s="31" t="str">
        <f t="shared" si="27"/>
        <v/>
      </c>
      <c r="J72" s="31" t="str">
        <f t="shared" si="27"/>
        <v/>
      </c>
      <c r="K72" s="31" t="str">
        <f t="shared" si="27"/>
        <v/>
      </c>
      <c r="L72" s="31" t="str">
        <f t="shared" si="27"/>
        <v/>
      </c>
      <c r="M72" s="31" t="str">
        <f t="shared" si="27"/>
        <v/>
      </c>
      <c r="N72" s="31" t="str">
        <f t="shared" si="27"/>
        <v/>
      </c>
      <c r="O72" s="31" t="str">
        <f t="shared" si="27"/>
        <v/>
      </c>
      <c r="P72" s="31" t="str">
        <f t="shared" si="27"/>
        <v/>
      </c>
      <c r="Q72" s="31" t="str">
        <f t="shared" si="27"/>
        <v/>
      </c>
      <c r="R72" s="31" t="str">
        <f t="shared" si="27"/>
        <v/>
      </c>
      <c r="S72" s="31"/>
      <c r="T72" s="31" t="str">
        <f t="shared" si="27"/>
        <v/>
      </c>
      <c r="U72" s="31" t="str">
        <f t="shared" si="27"/>
        <v/>
      </c>
      <c r="V72" s="31" t="str">
        <f t="shared" si="27"/>
        <v/>
      </c>
      <c r="W72" s="31" t="str">
        <f t="shared" si="27"/>
        <v/>
      </c>
      <c r="X72" s="31" t="str">
        <f t="shared" si="27"/>
        <v/>
      </c>
      <c r="Y72" s="31" t="str">
        <f t="shared" si="27"/>
        <v/>
      </c>
      <c r="Z72" s="31" t="str">
        <f t="shared" si="27"/>
        <v/>
      </c>
      <c r="AA72" s="31" t="str">
        <f t="shared" si="27"/>
        <v/>
      </c>
      <c r="AB72" s="31" t="str">
        <f t="shared" si="27"/>
        <v/>
      </c>
      <c r="AC72" s="31" t="str">
        <f t="shared" si="27"/>
        <v/>
      </c>
      <c r="AD72" s="31" t="str">
        <f t="shared" si="27"/>
        <v/>
      </c>
      <c r="AE72" s="31" t="str">
        <f t="shared" si="27"/>
        <v/>
      </c>
      <c r="AF72" s="31" t="str">
        <f t="shared" si="27"/>
        <v/>
      </c>
      <c r="AG72" s="31" t="str">
        <f t="shared" si="27"/>
        <v/>
      </c>
      <c r="AH72" s="31" t="str">
        <f t="shared" si="27"/>
        <v/>
      </c>
      <c r="AI72" s="31" t="str">
        <f t="shared" si="27"/>
        <v/>
      </c>
      <c r="AJ72" s="31" t="str">
        <f t="shared" si="27"/>
        <v/>
      </c>
      <c r="AK72" s="31" t="str">
        <f t="shared" si="27"/>
        <v/>
      </c>
      <c r="AL72" s="31" t="str">
        <f t="shared" si="27"/>
        <v/>
      </c>
      <c r="AM72" s="31" t="str">
        <f t="shared" si="27"/>
        <v/>
      </c>
      <c r="AN72" s="31" t="str">
        <f t="shared" si="27"/>
        <v/>
      </c>
      <c r="AO72" s="31" t="str">
        <f t="shared" si="27"/>
        <v/>
      </c>
      <c r="AP72" s="31" t="str">
        <f t="shared" si="27"/>
        <v/>
      </c>
      <c r="AQ72" s="31" t="str">
        <f t="shared" si="27"/>
        <v/>
      </c>
      <c r="AR72" s="31" t="str">
        <f t="shared" si="27"/>
        <v/>
      </c>
      <c r="AS72" s="31" t="str">
        <f t="shared" si="27"/>
        <v/>
      </c>
      <c r="AT72" s="40">
        <v>18</v>
      </c>
      <c r="AU72" s="40">
        <v>18</v>
      </c>
      <c r="AV72" s="31" t="str">
        <f t="shared" si="27"/>
        <v/>
      </c>
      <c r="AW72" s="31" t="str">
        <f t="shared" si="27"/>
        <v/>
      </c>
      <c r="AX72" s="31" t="str">
        <f t="shared" si="27"/>
        <v/>
      </c>
      <c r="AY72" s="31" t="str">
        <f t="shared" si="27"/>
        <v/>
      </c>
      <c r="AZ72" s="31" t="str">
        <f t="shared" si="27"/>
        <v/>
      </c>
      <c r="BA72" s="40">
        <v>2</v>
      </c>
      <c r="BB72" s="31">
        <f t="shared" si="28"/>
        <v>38</v>
      </c>
      <c r="BC72" s="31" t="str">
        <f t="shared" si="27"/>
        <v/>
      </c>
      <c r="BD72" s="31" t="str">
        <f t="shared" si="27"/>
        <v/>
      </c>
      <c r="BE72" s="31">
        <f t="shared" si="29"/>
        <v>0</v>
      </c>
      <c r="BF72" s="31">
        <f t="shared" si="30"/>
        <v>38</v>
      </c>
    </row>
    <row r="73" spans="1:58" s="38" customFormat="1" ht="42" x14ac:dyDescent="0.25">
      <c r="A73" s="36" t="s">
        <v>115</v>
      </c>
      <c r="B73" s="36" t="str">
        <f>VLOOKUP(A73,Лист1!B:C,2,0)</f>
        <v>Способен осуществлять контроль и управление перевозочным процессом, оперативное планирование и управление эксплуатационной работой с учетом технического состояния, контроль безопасности движения и эксплуатации на железнодорожном транспорте</v>
      </c>
      <c r="C73" s="37" t="str">
        <f t="shared" si="5"/>
        <v/>
      </c>
      <c r="D73" s="37" t="str">
        <f t="shared" si="5"/>
        <v/>
      </c>
      <c r="E73" s="37" t="str">
        <f t="shared" si="5"/>
        <v/>
      </c>
      <c r="F73" s="37" t="str">
        <f t="shared" si="5"/>
        <v/>
      </c>
      <c r="G73" s="37" t="str">
        <f t="shared" si="5"/>
        <v/>
      </c>
      <c r="H73" s="37" t="str">
        <f t="shared" si="5"/>
        <v/>
      </c>
      <c r="I73" s="37" t="str">
        <f t="shared" si="5"/>
        <v/>
      </c>
      <c r="J73" s="37" t="str">
        <f t="shared" si="26"/>
        <v/>
      </c>
      <c r="K73" s="37" t="str">
        <f t="shared" si="26"/>
        <v/>
      </c>
      <c r="L73" s="37" t="str">
        <f t="shared" si="26"/>
        <v/>
      </c>
      <c r="M73" s="37" t="str">
        <f t="shared" si="26"/>
        <v/>
      </c>
      <c r="N73" s="37" t="str">
        <f t="shared" si="26"/>
        <v/>
      </c>
      <c r="O73" s="37" t="str">
        <f t="shared" si="26"/>
        <v/>
      </c>
      <c r="P73" s="37" t="str">
        <f t="shared" si="26"/>
        <v/>
      </c>
      <c r="Q73" s="37" t="str">
        <f t="shared" si="26"/>
        <v/>
      </c>
      <c r="R73" s="37" t="str">
        <f t="shared" si="26"/>
        <v/>
      </c>
      <c r="S73" s="37" t="str">
        <f t="shared" si="26"/>
        <v/>
      </c>
      <c r="T73" s="37"/>
      <c r="U73" s="37"/>
      <c r="V73" s="37"/>
      <c r="W73" s="37" t="str">
        <f t="shared" si="26"/>
        <v/>
      </c>
      <c r="X73" s="37"/>
      <c r="Y73" s="37" t="str">
        <f t="shared" si="26"/>
        <v/>
      </c>
      <c r="Z73" s="37" t="str">
        <f t="shared" si="26"/>
        <v/>
      </c>
      <c r="AA73" s="37" t="str">
        <f t="shared" si="26"/>
        <v/>
      </c>
      <c r="AB73" s="37" t="str">
        <f t="shared" si="26"/>
        <v/>
      </c>
      <c r="AC73" s="37" t="str">
        <f t="shared" si="26"/>
        <v/>
      </c>
      <c r="AD73" s="37" t="str">
        <f t="shared" si="26"/>
        <v/>
      </c>
      <c r="AE73" s="37" t="str">
        <f t="shared" si="26"/>
        <v/>
      </c>
      <c r="AF73" s="37" t="str">
        <f t="shared" si="26"/>
        <v/>
      </c>
      <c r="AG73" s="37" t="str">
        <f t="shared" si="26"/>
        <v/>
      </c>
      <c r="AH73" s="37" t="str">
        <f t="shared" si="26"/>
        <v/>
      </c>
      <c r="AI73" s="37">
        <v>18</v>
      </c>
      <c r="AJ73" s="37" t="str">
        <f t="shared" si="26"/>
        <v/>
      </c>
      <c r="AK73" s="37">
        <v>18</v>
      </c>
      <c r="AL73" s="37" t="str">
        <f t="shared" si="26"/>
        <v/>
      </c>
      <c r="AM73" s="37">
        <v>18</v>
      </c>
      <c r="AN73" s="37" t="str">
        <f t="shared" si="26"/>
        <v/>
      </c>
      <c r="AO73" s="37" t="str">
        <f t="shared" si="26"/>
        <v/>
      </c>
      <c r="AP73" s="37" t="str">
        <f t="shared" si="26"/>
        <v/>
      </c>
      <c r="AQ73" s="37" t="str">
        <f t="shared" si="26"/>
        <v/>
      </c>
      <c r="AR73" s="37" t="str">
        <f t="shared" si="26"/>
        <v/>
      </c>
      <c r="AS73" s="37" t="str">
        <f t="shared" si="26"/>
        <v/>
      </c>
      <c r="AT73" s="37" t="str">
        <f t="shared" si="26"/>
        <v/>
      </c>
      <c r="AU73" s="37" t="str">
        <f t="shared" si="26"/>
        <v/>
      </c>
      <c r="AV73" s="37" t="str">
        <f t="shared" si="26"/>
        <v/>
      </c>
      <c r="AW73" s="37" t="str">
        <f t="shared" si="26"/>
        <v/>
      </c>
      <c r="AX73" s="37" t="str">
        <f t="shared" si="26"/>
        <v/>
      </c>
      <c r="AY73" s="37">
        <v>2</v>
      </c>
      <c r="AZ73" s="37">
        <v>2</v>
      </c>
      <c r="BA73" s="37">
        <v>2</v>
      </c>
      <c r="BB73" s="37">
        <f t="shared" si="28"/>
        <v>60</v>
      </c>
      <c r="BC73" s="37" t="s">
        <v>140</v>
      </c>
      <c r="BD73" s="37" t="s">
        <v>140</v>
      </c>
      <c r="BE73" s="37">
        <f t="shared" si="29"/>
        <v>0</v>
      </c>
      <c r="BF73" s="37">
        <f t="shared" si="30"/>
        <v>60</v>
      </c>
    </row>
    <row r="74" spans="1:58" ht="21" x14ac:dyDescent="0.25">
      <c r="A74" s="39" t="s">
        <v>225</v>
      </c>
      <c r="B74" s="33" t="str">
        <f>VLOOKUP(A74,Лист1!B:C,2,0)</f>
        <v>Осуществляет оперативное планирование, управление, контроль перевозочного процесса с учетом технического состояния и безопасности</v>
      </c>
      <c r="C74" s="31" t="str">
        <f>IFERROR(SEARCH($A74,C$3),"")</f>
        <v/>
      </c>
      <c r="D74" s="31" t="str">
        <f t="shared" ref="D74:BD77" si="31">IFERROR(SEARCH($A74,D$3),"")</f>
        <v/>
      </c>
      <c r="E74" s="31" t="str">
        <f t="shared" si="31"/>
        <v/>
      </c>
      <c r="F74" s="31" t="str">
        <f t="shared" si="31"/>
        <v/>
      </c>
      <c r="G74" s="31" t="str">
        <f t="shared" si="31"/>
        <v/>
      </c>
      <c r="H74" s="31" t="str">
        <f t="shared" si="31"/>
        <v/>
      </c>
      <c r="I74" s="31" t="str">
        <f t="shared" si="31"/>
        <v/>
      </c>
      <c r="J74" s="31" t="str">
        <f t="shared" si="31"/>
        <v/>
      </c>
      <c r="K74" s="31" t="str">
        <f t="shared" si="31"/>
        <v/>
      </c>
      <c r="L74" s="31" t="str">
        <f t="shared" si="31"/>
        <v/>
      </c>
      <c r="M74" s="31" t="str">
        <f t="shared" si="31"/>
        <v/>
      </c>
      <c r="N74" s="31" t="str">
        <f t="shared" si="31"/>
        <v/>
      </c>
      <c r="O74" s="31" t="str">
        <f t="shared" si="31"/>
        <v/>
      </c>
      <c r="P74" s="31" t="str">
        <f t="shared" si="31"/>
        <v/>
      </c>
      <c r="Q74" s="31" t="str">
        <f t="shared" si="31"/>
        <v/>
      </c>
      <c r="R74" s="31" t="str">
        <f t="shared" si="31"/>
        <v/>
      </c>
      <c r="S74" s="31" t="str">
        <f t="shared" si="31"/>
        <v/>
      </c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 t="str">
        <f t="shared" si="31"/>
        <v/>
      </c>
      <c r="AJ74" s="31" t="str">
        <f t="shared" si="31"/>
        <v/>
      </c>
      <c r="AK74" s="40">
        <v>18</v>
      </c>
      <c r="AL74" s="31" t="str">
        <f t="shared" si="31"/>
        <v/>
      </c>
      <c r="AM74" s="31" t="str">
        <f t="shared" si="31"/>
        <v/>
      </c>
      <c r="AN74" s="31" t="str">
        <f t="shared" si="31"/>
        <v/>
      </c>
      <c r="AO74" s="31" t="str">
        <f t="shared" si="31"/>
        <v/>
      </c>
      <c r="AP74" s="31" t="str">
        <f t="shared" si="31"/>
        <v/>
      </c>
      <c r="AQ74" s="31" t="str">
        <f t="shared" si="31"/>
        <v/>
      </c>
      <c r="AR74" s="31" t="str">
        <f t="shared" si="31"/>
        <v/>
      </c>
      <c r="AS74" s="31" t="str">
        <f t="shared" si="31"/>
        <v/>
      </c>
      <c r="AT74" s="31" t="str">
        <f t="shared" si="31"/>
        <v/>
      </c>
      <c r="AU74" s="31" t="str">
        <f t="shared" si="31"/>
        <v/>
      </c>
      <c r="AV74" s="31" t="str">
        <f t="shared" si="31"/>
        <v/>
      </c>
      <c r="AW74" s="31" t="str">
        <f t="shared" si="31"/>
        <v/>
      </c>
      <c r="AX74" s="31" t="str">
        <f t="shared" si="31"/>
        <v/>
      </c>
      <c r="AY74" s="40">
        <v>2</v>
      </c>
      <c r="AZ74" s="31" t="str">
        <f t="shared" si="31"/>
        <v/>
      </c>
      <c r="BA74" s="31" t="str">
        <f t="shared" si="31"/>
        <v/>
      </c>
      <c r="BB74" s="31">
        <f t="shared" si="28"/>
        <v>20</v>
      </c>
      <c r="BC74" s="31" t="str">
        <f t="shared" si="31"/>
        <v/>
      </c>
      <c r="BD74" s="31" t="str">
        <f t="shared" si="31"/>
        <v/>
      </c>
      <c r="BE74" s="31">
        <f t="shared" si="29"/>
        <v>0</v>
      </c>
      <c r="BF74" s="31">
        <f t="shared" si="30"/>
        <v>20</v>
      </c>
    </row>
    <row r="75" spans="1:58" ht="21" x14ac:dyDescent="0.25">
      <c r="A75" s="39" t="s">
        <v>381</v>
      </c>
      <c r="B75" s="33" t="str">
        <f>VLOOKUP(A75,Лист1!B:C,2,0)</f>
        <v>Использует технические средства для обеспечения безопасности на железнодорожном транспорте</v>
      </c>
      <c r="C75" s="31" t="str">
        <f>IFERROR(SEARCH($A75,C$3),"")</f>
        <v/>
      </c>
      <c r="D75" s="31" t="str">
        <f t="shared" si="31"/>
        <v/>
      </c>
      <c r="E75" s="31" t="str">
        <f t="shared" si="31"/>
        <v/>
      </c>
      <c r="F75" s="31" t="str">
        <f t="shared" si="31"/>
        <v/>
      </c>
      <c r="G75" s="31" t="str">
        <f t="shared" si="31"/>
        <v/>
      </c>
      <c r="H75" s="31" t="str">
        <f t="shared" si="31"/>
        <v/>
      </c>
      <c r="I75" s="31" t="str">
        <f t="shared" si="31"/>
        <v/>
      </c>
      <c r="J75" s="31" t="str">
        <f t="shared" si="31"/>
        <v/>
      </c>
      <c r="K75" s="31" t="str">
        <f t="shared" si="31"/>
        <v/>
      </c>
      <c r="L75" s="31" t="str">
        <f t="shared" si="31"/>
        <v/>
      </c>
      <c r="M75" s="31" t="str">
        <f t="shared" si="31"/>
        <v/>
      </c>
      <c r="N75" s="31" t="str">
        <f t="shared" si="31"/>
        <v/>
      </c>
      <c r="O75" s="31" t="str">
        <f t="shared" si="31"/>
        <v/>
      </c>
      <c r="P75" s="31" t="str">
        <f t="shared" si="31"/>
        <v/>
      </c>
      <c r="Q75" s="31" t="str">
        <f t="shared" si="31"/>
        <v/>
      </c>
      <c r="R75" s="31" t="str">
        <f t="shared" si="31"/>
        <v/>
      </c>
      <c r="S75" s="31" t="str">
        <f t="shared" si="31"/>
        <v/>
      </c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 t="str">
        <f t="shared" si="31"/>
        <v/>
      </c>
      <c r="AJ75" s="31" t="str">
        <f t="shared" si="31"/>
        <v/>
      </c>
      <c r="AK75" s="31" t="str">
        <f t="shared" si="31"/>
        <v/>
      </c>
      <c r="AL75" s="31" t="str">
        <f t="shared" si="31"/>
        <v/>
      </c>
      <c r="AM75" s="40">
        <v>9</v>
      </c>
      <c r="AN75" s="31" t="str">
        <f t="shared" si="31"/>
        <v/>
      </c>
      <c r="AO75" s="31" t="str">
        <f t="shared" si="31"/>
        <v/>
      </c>
      <c r="AP75" s="31" t="str">
        <f t="shared" si="31"/>
        <v/>
      </c>
      <c r="AQ75" s="31" t="str">
        <f t="shared" si="31"/>
        <v/>
      </c>
      <c r="AR75" s="31" t="str">
        <f t="shared" si="31"/>
        <v/>
      </c>
      <c r="AS75" s="31" t="str">
        <f t="shared" si="31"/>
        <v/>
      </c>
      <c r="AT75" s="31" t="str">
        <f t="shared" si="31"/>
        <v/>
      </c>
      <c r="AU75" s="31" t="str">
        <f t="shared" si="31"/>
        <v/>
      </c>
      <c r="AV75" s="31" t="str">
        <f t="shared" si="31"/>
        <v/>
      </c>
      <c r="AW75" s="31" t="str">
        <f t="shared" si="31"/>
        <v/>
      </c>
      <c r="AX75" s="31" t="str">
        <f t="shared" si="31"/>
        <v/>
      </c>
      <c r="AY75" s="31" t="str">
        <f t="shared" si="31"/>
        <v/>
      </c>
      <c r="AZ75" s="31" t="str">
        <f t="shared" si="31"/>
        <v/>
      </c>
      <c r="BA75" s="40">
        <v>1</v>
      </c>
      <c r="BB75" s="31">
        <f t="shared" si="28"/>
        <v>10</v>
      </c>
      <c r="BC75" s="31" t="str">
        <f t="shared" si="31"/>
        <v/>
      </c>
      <c r="BD75" s="31" t="str">
        <f t="shared" si="31"/>
        <v/>
      </c>
      <c r="BE75" s="31">
        <f t="shared" si="29"/>
        <v>0</v>
      </c>
      <c r="BF75" s="31">
        <f t="shared" si="30"/>
        <v>10</v>
      </c>
    </row>
    <row r="76" spans="1:58" ht="31.5" x14ac:dyDescent="0.25">
      <c r="A76" s="39" t="s">
        <v>383</v>
      </c>
      <c r="B76" s="33" t="str">
        <f>VLOOKUP(A76,Лист1!B:C,2,0)</f>
        <v>Определяет последовательность действий в соответствии с правилами технической эксплуатации и требованиями техники безопасности при организации и проведении работ</v>
      </c>
      <c r="C76" s="31" t="str">
        <f>IFERROR(SEARCH($A76,C$3),"")</f>
        <v/>
      </c>
      <c r="D76" s="31" t="str">
        <f t="shared" si="31"/>
        <v/>
      </c>
      <c r="E76" s="31" t="str">
        <f t="shared" si="31"/>
        <v/>
      </c>
      <c r="F76" s="31" t="str">
        <f t="shared" si="31"/>
        <v/>
      </c>
      <c r="G76" s="31" t="str">
        <f t="shared" si="31"/>
        <v/>
      </c>
      <c r="H76" s="31" t="str">
        <f t="shared" si="31"/>
        <v/>
      </c>
      <c r="I76" s="31" t="str">
        <f t="shared" si="31"/>
        <v/>
      </c>
      <c r="J76" s="31" t="str">
        <f t="shared" si="31"/>
        <v/>
      </c>
      <c r="K76" s="31" t="str">
        <f t="shared" si="31"/>
        <v/>
      </c>
      <c r="L76" s="31" t="str">
        <f t="shared" si="31"/>
        <v/>
      </c>
      <c r="M76" s="31" t="str">
        <f t="shared" si="31"/>
        <v/>
      </c>
      <c r="N76" s="31" t="str">
        <f t="shared" si="31"/>
        <v/>
      </c>
      <c r="O76" s="31" t="str">
        <f t="shared" si="31"/>
        <v/>
      </c>
      <c r="P76" s="31" t="str">
        <f t="shared" si="31"/>
        <v/>
      </c>
      <c r="Q76" s="31" t="str">
        <f t="shared" si="31"/>
        <v/>
      </c>
      <c r="R76" s="31" t="str">
        <f t="shared" si="31"/>
        <v/>
      </c>
      <c r="S76" s="31" t="str">
        <f t="shared" si="31"/>
        <v/>
      </c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 t="str">
        <f t="shared" si="31"/>
        <v/>
      </c>
      <c r="AJ76" s="31" t="str">
        <f t="shared" si="31"/>
        <v/>
      </c>
      <c r="AK76" s="31" t="str">
        <f t="shared" si="31"/>
        <v/>
      </c>
      <c r="AL76" s="31" t="str">
        <f t="shared" si="31"/>
        <v/>
      </c>
      <c r="AM76" s="40">
        <f t="shared" si="31"/>
        <v>9</v>
      </c>
      <c r="AN76" s="31" t="str">
        <f t="shared" si="31"/>
        <v/>
      </c>
      <c r="AO76" s="31" t="str">
        <f t="shared" si="31"/>
        <v/>
      </c>
      <c r="AP76" s="31" t="str">
        <f t="shared" si="31"/>
        <v/>
      </c>
      <c r="AQ76" s="31" t="str">
        <f t="shared" si="31"/>
        <v/>
      </c>
      <c r="AR76" s="31" t="str">
        <f t="shared" si="31"/>
        <v/>
      </c>
      <c r="AS76" s="31" t="str">
        <f t="shared" si="31"/>
        <v/>
      </c>
      <c r="AT76" s="31" t="str">
        <f t="shared" si="31"/>
        <v/>
      </c>
      <c r="AU76" s="31" t="str">
        <f t="shared" si="31"/>
        <v/>
      </c>
      <c r="AV76" s="31" t="str">
        <f t="shared" si="31"/>
        <v/>
      </c>
      <c r="AW76" s="31" t="str">
        <f t="shared" si="31"/>
        <v/>
      </c>
      <c r="AX76" s="31" t="str">
        <f t="shared" si="31"/>
        <v/>
      </c>
      <c r="AY76" s="31" t="str">
        <f t="shared" si="31"/>
        <v/>
      </c>
      <c r="AZ76" s="31" t="str">
        <f t="shared" si="31"/>
        <v/>
      </c>
      <c r="BA76" s="40">
        <v>1</v>
      </c>
      <c r="BB76" s="31">
        <f t="shared" si="28"/>
        <v>10</v>
      </c>
      <c r="BC76" s="31" t="str">
        <f t="shared" si="31"/>
        <v/>
      </c>
      <c r="BD76" s="31" t="str">
        <f t="shared" si="31"/>
        <v/>
      </c>
      <c r="BE76" s="31">
        <f t="shared" si="29"/>
        <v>0</v>
      </c>
      <c r="BF76" s="31">
        <f t="shared" si="30"/>
        <v>10</v>
      </c>
    </row>
    <row r="77" spans="1:58" ht="21" x14ac:dyDescent="0.25">
      <c r="A77" s="39" t="s">
        <v>224</v>
      </c>
      <c r="B77" s="33" t="str">
        <f>VLOOKUP(A77,Лист1!B:C,2,0)</f>
        <v>Осуществляет контроль и управление движением поездов, принимает решения по организации движения поездов по участку в изменяющейся поездной обстановке</v>
      </c>
      <c r="C77" s="31" t="str">
        <f>IFERROR(SEARCH($A77,C$3),"")</f>
        <v/>
      </c>
      <c r="D77" s="31" t="str">
        <f t="shared" si="31"/>
        <v/>
      </c>
      <c r="E77" s="31" t="str">
        <f t="shared" si="31"/>
        <v/>
      </c>
      <c r="F77" s="31" t="str">
        <f t="shared" si="31"/>
        <v/>
      </c>
      <c r="G77" s="31" t="str">
        <f t="shared" si="31"/>
        <v/>
      </c>
      <c r="H77" s="31" t="str">
        <f t="shared" si="31"/>
        <v/>
      </c>
      <c r="I77" s="31" t="str">
        <f t="shared" si="31"/>
        <v/>
      </c>
      <c r="J77" s="31" t="str">
        <f t="shared" si="31"/>
        <v/>
      </c>
      <c r="K77" s="31" t="str">
        <f t="shared" si="31"/>
        <v/>
      </c>
      <c r="L77" s="31" t="str">
        <f t="shared" si="31"/>
        <v/>
      </c>
      <c r="M77" s="31" t="str">
        <f t="shared" si="31"/>
        <v/>
      </c>
      <c r="N77" s="31" t="str">
        <f t="shared" si="31"/>
        <v/>
      </c>
      <c r="O77" s="31" t="str">
        <f t="shared" si="31"/>
        <v/>
      </c>
      <c r="P77" s="31" t="str">
        <f t="shared" si="31"/>
        <v/>
      </c>
      <c r="Q77" s="31" t="str">
        <f t="shared" si="31"/>
        <v/>
      </c>
      <c r="R77" s="31" t="str">
        <f t="shared" si="31"/>
        <v/>
      </c>
      <c r="S77" s="31" t="str">
        <f t="shared" si="31"/>
        <v/>
      </c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40">
        <v>18</v>
      </c>
      <c r="AJ77" s="31" t="str">
        <f t="shared" si="31"/>
        <v/>
      </c>
      <c r="AK77" s="31" t="str">
        <f t="shared" si="31"/>
        <v/>
      </c>
      <c r="AL77" s="31" t="str">
        <f t="shared" si="31"/>
        <v/>
      </c>
      <c r="AM77" s="31" t="str">
        <f t="shared" si="31"/>
        <v/>
      </c>
      <c r="AN77" s="31" t="str">
        <f t="shared" si="31"/>
        <v/>
      </c>
      <c r="AO77" s="31" t="str">
        <f t="shared" si="31"/>
        <v/>
      </c>
      <c r="AP77" s="31" t="str">
        <f t="shared" si="31"/>
        <v/>
      </c>
      <c r="AQ77" s="31" t="str">
        <f t="shared" si="31"/>
        <v/>
      </c>
      <c r="AR77" s="31" t="str">
        <f t="shared" si="31"/>
        <v/>
      </c>
      <c r="AS77" s="31" t="str">
        <f t="shared" si="31"/>
        <v/>
      </c>
      <c r="AT77" s="31" t="str">
        <f t="shared" si="31"/>
        <v/>
      </c>
      <c r="AU77" s="31" t="str">
        <f t="shared" si="31"/>
        <v/>
      </c>
      <c r="AV77" s="31" t="str">
        <f t="shared" si="31"/>
        <v/>
      </c>
      <c r="AW77" s="31" t="str">
        <f t="shared" si="31"/>
        <v/>
      </c>
      <c r="AX77" s="31" t="str">
        <f t="shared" si="31"/>
        <v/>
      </c>
      <c r="AY77" s="31" t="str">
        <f t="shared" si="31"/>
        <v/>
      </c>
      <c r="AZ77" s="40">
        <v>2</v>
      </c>
      <c r="BA77" s="31" t="str">
        <f t="shared" si="31"/>
        <v/>
      </c>
      <c r="BB77" s="31">
        <f t="shared" si="28"/>
        <v>20</v>
      </c>
      <c r="BC77" s="31" t="str">
        <f t="shared" si="31"/>
        <v/>
      </c>
      <c r="BD77" s="31" t="str">
        <f t="shared" si="31"/>
        <v/>
      </c>
      <c r="BE77" s="31">
        <f t="shared" si="29"/>
        <v>0</v>
      </c>
      <c r="BF77" s="31">
        <f t="shared" si="30"/>
        <v>20</v>
      </c>
    </row>
    <row r="78" spans="1:58" s="38" customFormat="1" ht="42" x14ac:dyDescent="0.25">
      <c r="A78" s="36" t="s">
        <v>119</v>
      </c>
      <c r="B78" s="36" t="str">
        <f>VLOOKUP(A78,Лист1!B:C,2,0)</f>
        <v>Способен проектировать железнодорожные линии, станции и узлы,  разрабатывать и корректировать нормативную технологическую документацию с учетом технического оснащения и перспективного развития объектов железнодорожной инфраструктуры</v>
      </c>
      <c r="C78" s="37" t="str">
        <f t="shared" si="5"/>
        <v/>
      </c>
      <c r="D78" s="37" t="str">
        <f t="shared" si="5"/>
        <v/>
      </c>
      <c r="E78" s="37" t="str">
        <f t="shared" si="5"/>
        <v/>
      </c>
      <c r="F78" s="37" t="str">
        <f t="shared" si="5"/>
        <v/>
      </c>
      <c r="G78" s="37" t="str">
        <f t="shared" si="5"/>
        <v/>
      </c>
      <c r="H78" s="37" t="str">
        <f t="shared" si="5"/>
        <v/>
      </c>
      <c r="I78" s="37" t="str">
        <f t="shared" si="5"/>
        <v/>
      </c>
      <c r="J78" s="37" t="str">
        <f t="shared" si="26"/>
        <v/>
      </c>
      <c r="K78" s="37" t="str">
        <f t="shared" si="26"/>
        <v/>
      </c>
      <c r="L78" s="37" t="str">
        <f t="shared" si="26"/>
        <v/>
      </c>
      <c r="M78" s="37" t="str">
        <f t="shared" si="26"/>
        <v/>
      </c>
      <c r="N78" s="37" t="str">
        <f t="shared" si="26"/>
        <v/>
      </c>
      <c r="O78" s="37" t="str">
        <f t="shared" si="26"/>
        <v/>
      </c>
      <c r="P78" s="37" t="str">
        <f t="shared" si="26"/>
        <v/>
      </c>
      <c r="Q78" s="37" t="str">
        <f t="shared" si="26"/>
        <v/>
      </c>
      <c r="R78" s="37" t="str">
        <f t="shared" si="26"/>
        <v/>
      </c>
      <c r="S78" s="37" t="str">
        <f t="shared" si="26"/>
        <v/>
      </c>
      <c r="T78" s="37" t="str">
        <f t="shared" si="26"/>
        <v/>
      </c>
      <c r="U78" s="37" t="str">
        <f t="shared" si="26"/>
        <v/>
      </c>
      <c r="V78" s="37" t="str">
        <f t="shared" si="26"/>
        <v/>
      </c>
      <c r="W78" s="37"/>
      <c r="X78" s="37" t="str">
        <f t="shared" si="26"/>
        <v/>
      </c>
      <c r="Y78" s="37" t="str">
        <f t="shared" si="26"/>
        <v/>
      </c>
      <c r="Z78" s="37" t="str">
        <f t="shared" si="26"/>
        <v/>
      </c>
      <c r="AA78" s="37" t="str">
        <f t="shared" si="26"/>
        <v/>
      </c>
      <c r="AB78" s="37" t="str">
        <f t="shared" si="26"/>
        <v/>
      </c>
      <c r="AC78" s="37" t="str">
        <f t="shared" si="26"/>
        <v/>
      </c>
      <c r="AD78" s="37" t="str">
        <f t="shared" si="26"/>
        <v/>
      </c>
      <c r="AE78" s="37" t="str">
        <f t="shared" si="26"/>
        <v/>
      </c>
      <c r="AF78" s="37" t="str">
        <f t="shared" si="26"/>
        <v/>
      </c>
      <c r="AG78" s="37" t="str">
        <f t="shared" si="26"/>
        <v/>
      </c>
      <c r="AH78" s="37" t="str">
        <f t="shared" si="26"/>
        <v/>
      </c>
      <c r="AI78" s="37" t="str">
        <f t="shared" si="26"/>
        <v/>
      </c>
      <c r="AJ78" s="37">
        <v>18</v>
      </c>
      <c r="AK78" s="37" t="str">
        <f t="shared" si="26"/>
        <v/>
      </c>
      <c r="AL78" s="37" t="str">
        <f t="shared" si="26"/>
        <v/>
      </c>
      <c r="AM78" s="37" t="str">
        <f t="shared" si="26"/>
        <v/>
      </c>
      <c r="AN78" s="37" t="str">
        <f t="shared" si="26"/>
        <v/>
      </c>
      <c r="AO78" s="37" t="str">
        <f t="shared" si="26"/>
        <v/>
      </c>
      <c r="AP78" s="37" t="str">
        <f t="shared" si="26"/>
        <v/>
      </c>
      <c r="AQ78" s="37" t="str">
        <f t="shared" si="26"/>
        <v/>
      </c>
      <c r="AR78" s="37" t="str">
        <f t="shared" si="26"/>
        <v/>
      </c>
      <c r="AS78" s="37" t="str">
        <f t="shared" si="26"/>
        <v/>
      </c>
      <c r="AT78" s="37" t="str">
        <f t="shared" si="26"/>
        <v/>
      </c>
      <c r="AU78" s="37" t="str">
        <f t="shared" si="26"/>
        <v/>
      </c>
      <c r="AV78" s="37" t="str">
        <f t="shared" si="26"/>
        <v/>
      </c>
      <c r="AW78" s="37" t="str">
        <f t="shared" si="26"/>
        <v/>
      </c>
      <c r="AX78" s="37" t="str">
        <f t="shared" si="26"/>
        <v/>
      </c>
      <c r="AY78" s="37">
        <v>2</v>
      </c>
      <c r="AZ78" s="37" t="str">
        <f t="shared" si="26"/>
        <v/>
      </c>
      <c r="BA78" s="37" t="str">
        <f t="shared" si="26"/>
        <v/>
      </c>
      <c r="BB78" s="37">
        <f t="shared" si="28"/>
        <v>20</v>
      </c>
      <c r="BC78" s="37" t="str">
        <f>IFERROR(SEARCH(_xlfn.CONCAT(" ",$A78),#REF!),"")</f>
        <v/>
      </c>
      <c r="BD78" s="37" t="str">
        <f>IFERROR(SEARCH(_xlfn.CONCAT(" ",$A78),#REF!),"")</f>
        <v/>
      </c>
      <c r="BE78" s="37">
        <f t="shared" si="29"/>
        <v>0</v>
      </c>
      <c r="BF78" s="37">
        <f t="shared" si="30"/>
        <v>20</v>
      </c>
    </row>
    <row r="79" spans="1:58" ht="63" x14ac:dyDescent="0.25">
      <c r="A79" s="39" t="s">
        <v>387</v>
      </c>
      <c r="B79" s="33" t="str">
        <f>VLOOKUP(A79,Лист1!B:C,2,0)</f>
        <v>Использует техническую и нормативную документацию по проектированию объектов транспортной инфраструктуры, устройств и технического оснащения раздельных пунктов и транспортных узлов; методы расчета основных элементов; способы увязки проектных решений с передовой технологией работы станций и железнодорожных узлов; методы выполнения технико-экономических расчетов по выбору наиболее эффективных решений</v>
      </c>
      <c r="C79" s="31" t="str">
        <f>IFERROR(SEARCH($A79,C$3),"")</f>
        <v/>
      </c>
      <c r="D79" s="31" t="str">
        <f t="shared" ref="D79:BD80" si="32">IFERROR(SEARCH($A79,D$3),"")</f>
        <v/>
      </c>
      <c r="E79" s="31" t="str">
        <f t="shared" si="32"/>
        <v/>
      </c>
      <c r="F79" s="31" t="str">
        <f t="shared" si="32"/>
        <v/>
      </c>
      <c r="G79" s="31" t="str">
        <f t="shared" si="32"/>
        <v/>
      </c>
      <c r="H79" s="31" t="str">
        <f t="shared" si="32"/>
        <v/>
      </c>
      <c r="I79" s="31" t="str">
        <f t="shared" si="32"/>
        <v/>
      </c>
      <c r="J79" s="31" t="str">
        <f t="shared" si="32"/>
        <v/>
      </c>
      <c r="K79" s="31" t="str">
        <f t="shared" si="32"/>
        <v/>
      </c>
      <c r="L79" s="31" t="str">
        <f t="shared" si="32"/>
        <v/>
      </c>
      <c r="M79" s="31" t="str">
        <f t="shared" si="32"/>
        <v/>
      </c>
      <c r="N79" s="31" t="str">
        <f t="shared" si="32"/>
        <v/>
      </c>
      <c r="O79" s="31" t="str">
        <f t="shared" si="32"/>
        <v/>
      </c>
      <c r="P79" s="31" t="str">
        <f t="shared" si="32"/>
        <v/>
      </c>
      <c r="Q79" s="31" t="str">
        <f t="shared" si="32"/>
        <v/>
      </c>
      <c r="R79" s="31" t="str">
        <f t="shared" si="32"/>
        <v/>
      </c>
      <c r="S79" s="31" t="str">
        <f t="shared" si="32"/>
        <v/>
      </c>
      <c r="T79" s="31" t="str">
        <f t="shared" si="32"/>
        <v/>
      </c>
      <c r="U79" s="31" t="str">
        <f t="shared" si="32"/>
        <v/>
      </c>
      <c r="V79" s="31" t="str">
        <f t="shared" si="32"/>
        <v/>
      </c>
      <c r="W79" s="31"/>
      <c r="X79" s="31" t="str">
        <f t="shared" si="32"/>
        <v/>
      </c>
      <c r="Y79" s="31" t="str">
        <f t="shared" si="32"/>
        <v/>
      </c>
      <c r="Z79" s="31" t="str">
        <f t="shared" si="32"/>
        <v/>
      </c>
      <c r="AA79" s="31" t="str">
        <f t="shared" si="32"/>
        <v/>
      </c>
      <c r="AB79" s="31" t="str">
        <f t="shared" si="32"/>
        <v/>
      </c>
      <c r="AC79" s="31" t="str">
        <f t="shared" si="32"/>
        <v/>
      </c>
      <c r="AD79" s="31" t="str">
        <f t="shared" si="32"/>
        <v/>
      </c>
      <c r="AE79" s="31" t="str">
        <f t="shared" si="32"/>
        <v/>
      </c>
      <c r="AF79" s="31" t="str">
        <f t="shared" si="32"/>
        <v/>
      </c>
      <c r="AG79" s="31" t="str">
        <f t="shared" si="32"/>
        <v/>
      </c>
      <c r="AH79" s="31" t="str">
        <f t="shared" si="32"/>
        <v/>
      </c>
      <c r="AI79" s="31" t="str">
        <f t="shared" si="32"/>
        <v/>
      </c>
      <c r="AJ79" s="40">
        <v>9</v>
      </c>
      <c r="AK79" s="31" t="str">
        <f t="shared" si="32"/>
        <v/>
      </c>
      <c r="AL79" s="31" t="str">
        <f t="shared" si="32"/>
        <v/>
      </c>
      <c r="AM79" s="31" t="str">
        <f t="shared" si="32"/>
        <v/>
      </c>
      <c r="AN79" s="31" t="str">
        <f t="shared" si="32"/>
        <v/>
      </c>
      <c r="AO79" s="31" t="str">
        <f t="shared" si="32"/>
        <v/>
      </c>
      <c r="AP79" s="31" t="str">
        <f t="shared" si="32"/>
        <v/>
      </c>
      <c r="AQ79" s="31" t="str">
        <f t="shared" si="32"/>
        <v/>
      </c>
      <c r="AR79" s="31" t="str">
        <f t="shared" si="32"/>
        <v/>
      </c>
      <c r="AS79" s="31" t="str">
        <f t="shared" si="32"/>
        <v/>
      </c>
      <c r="AT79" s="31" t="str">
        <f t="shared" si="32"/>
        <v/>
      </c>
      <c r="AU79" s="31" t="str">
        <f t="shared" si="32"/>
        <v/>
      </c>
      <c r="AV79" s="31" t="str">
        <f t="shared" si="32"/>
        <v/>
      </c>
      <c r="AW79" s="31" t="str">
        <f t="shared" si="32"/>
        <v/>
      </c>
      <c r="AX79" s="31" t="str">
        <f t="shared" si="32"/>
        <v/>
      </c>
      <c r="AY79" s="40">
        <v>1</v>
      </c>
      <c r="AZ79" s="31" t="str">
        <f t="shared" si="32"/>
        <v/>
      </c>
      <c r="BA79" s="31" t="str">
        <f t="shared" si="32"/>
        <v/>
      </c>
      <c r="BB79" s="31">
        <f t="shared" si="28"/>
        <v>10</v>
      </c>
      <c r="BC79" s="31" t="str">
        <f t="shared" si="32"/>
        <v/>
      </c>
      <c r="BD79" s="31" t="str">
        <f t="shared" si="32"/>
        <v/>
      </c>
      <c r="BE79" s="31">
        <f t="shared" si="29"/>
        <v>0</v>
      </c>
      <c r="BF79" s="31">
        <f t="shared" si="30"/>
        <v>10</v>
      </c>
    </row>
    <row r="80" spans="1:58" ht="31.5" x14ac:dyDescent="0.25">
      <c r="A80" s="39" t="s">
        <v>389</v>
      </c>
      <c r="B80" s="33" t="str">
        <f>VLOOKUP(A80,Лист1!B:C,2,0)</f>
        <v>Использует методы технико-экономического обоснования при принятии решения о необходимости развития железнодорожной станции и узла; проектирования и расчетов, включая применение автоматизированного проектирования</v>
      </c>
      <c r="C80" s="31" t="str">
        <f>IFERROR(SEARCH($A80,C$3),"")</f>
        <v/>
      </c>
      <c r="D80" s="31" t="str">
        <f t="shared" si="32"/>
        <v/>
      </c>
      <c r="E80" s="31" t="str">
        <f t="shared" si="32"/>
        <v/>
      </c>
      <c r="F80" s="31" t="str">
        <f t="shared" si="32"/>
        <v/>
      </c>
      <c r="G80" s="31" t="str">
        <f t="shared" si="32"/>
        <v/>
      </c>
      <c r="H80" s="31" t="str">
        <f t="shared" si="32"/>
        <v/>
      </c>
      <c r="I80" s="31" t="str">
        <f t="shared" si="32"/>
        <v/>
      </c>
      <c r="J80" s="31" t="str">
        <f t="shared" si="32"/>
        <v/>
      </c>
      <c r="K80" s="31" t="str">
        <f t="shared" si="32"/>
        <v/>
      </c>
      <c r="L80" s="31" t="str">
        <f t="shared" si="32"/>
        <v/>
      </c>
      <c r="M80" s="31" t="str">
        <f t="shared" si="32"/>
        <v/>
      </c>
      <c r="N80" s="31" t="str">
        <f t="shared" si="32"/>
        <v/>
      </c>
      <c r="O80" s="31" t="str">
        <f t="shared" si="32"/>
        <v/>
      </c>
      <c r="P80" s="31" t="str">
        <f t="shared" si="32"/>
        <v/>
      </c>
      <c r="Q80" s="31" t="str">
        <f t="shared" si="32"/>
        <v/>
      </c>
      <c r="R80" s="31" t="str">
        <f t="shared" si="32"/>
        <v/>
      </c>
      <c r="S80" s="31" t="str">
        <f t="shared" si="32"/>
        <v/>
      </c>
      <c r="T80" s="31" t="str">
        <f t="shared" si="32"/>
        <v/>
      </c>
      <c r="U80" s="31" t="str">
        <f t="shared" si="32"/>
        <v/>
      </c>
      <c r="V80" s="31" t="str">
        <f t="shared" si="32"/>
        <v/>
      </c>
      <c r="W80" s="31"/>
      <c r="X80" s="31" t="str">
        <f t="shared" si="32"/>
        <v/>
      </c>
      <c r="Y80" s="31" t="str">
        <f t="shared" si="32"/>
        <v/>
      </c>
      <c r="Z80" s="31" t="str">
        <f t="shared" si="32"/>
        <v/>
      </c>
      <c r="AA80" s="31" t="str">
        <f t="shared" si="32"/>
        <v/>
      </c>
      <c r="AB80" s="31" t="str">
        <f t="shared" si="32"/>
        <v/>
      </c>
      <c r="AC80" s="31" t="str">
        <f t="shared" si="32"/>
        <v/>
      </c>
      <c r="AD80" s="31" t="str">
        <f t="shared" si="32"/>
        <v/>
      </c>
      <c r="AE80" s="31" t="str">
        <f t="shared" si="32"/>
        <v/>
      </c>
      <c r="AF80" s="31" t="str">
        <f t="shared" si="32"/>
        <v/>
      </c>
      <c r="AG80" s="31" t="str">
        <f t="shared" si="32"/>
        <v/>
      </c>
      <c r="AH80" s="31" t="str">
        <f t="shared" si="32"/>
        <v/>
      </c>
      <c r="AI80" s="31" t="str">
        <f t="shared" si="32"/>
        <v/>
      </c>
      <c r="AJ80" s="40">
        <f t="shared" si="32"/>
        <v>9</v>
      </c>
      <c r="AK80" s="31" t="str">
        <f t="shared" si="32"/>
        <v/>
      </c>
      <c r="AL80" s="31" t="str">
        <f t="shared" si="32"/>
        <v/>
      </c>
      <c r="AM80" s="31" t="str">
        <f t="shared" si="32"/>
        <v/>
      </c>
      <c r="AN80" s="31" t="str">
        <f t="shared" si="32"/>
        <v/>
      </c>
      <c r="AO80" s="31" t="str">
        <f t="shared" si="32"/>
        <v/>
      </c>
      <c r="AP80" s="31" t="str">
        <f t="shared" si="32"/>
        <v/>
      </c>
      <c r="AQ80" s="31" t="str">
        <f t="shared" si="32"/>
        <v/>
      </c>
      <c r="AR80" s="31" t="str">
        <f t="shared" si="32"/>
        <v/>
      </c>
      <c r="AS80" s="31" t="str">
        <f t="shared" si="32"/>
        <v/>
      </c>
      <c r="AT80" s="31" t="str">
        <f t="shared" si="32"/>
        <v/>
      </c>
      <c r="AU80" s="31" t="str">
        <f t="shared" si="32"/>
        <v/>
      </c>
      <c r="AV80" s="31" t="str">
        <f t="shared" si="32"/>
        <v/>
      </c>
      <c r="AW80" s="31" t="str">
        <f t="shared" si="32"/>
        <v/>
      </c>
      <c r="AX80" s="31" t="str">
        <f t="shared" si="32"/>
        <v/>
      </c>
      <c r="AY80" s="40">
        <v>1</v>
      </c>
      <c r="AZ80" s="31" t="str">
        <f t="shared" si="32"/>
        <v/>
      </c>
      <c r="BA80" s="31" t="str">
        <f t="shared" si="32"/>
        <v/>
      </c>
      <c r="BB80" s="31">
        <f t="shared" si="28"/>
        <v>10</v>
      </c>
      <c r="BC80" s="31" t="str">
        <f t="shared" si="32"/>
        <v/>
      </c>
      <c r="BD80" s="31" t="str">
        <f t="shared" si="32"/>
        <v/>
      </c>
      <c r="BE80" s="31">
        <f t="shared" si="29"/>
        <v>0</v>
      </c>
      <c r="BF80" s="31">
        <f t="shared" si="30"/>
        <v>10</v>
      </c>
    </row>
    <row r="81" spans="1:58" s="38" customFormat="1" ht="21" x14ac:dyDescent="0.25">
      <c r="A81" s="36" t="s">
        <v>123</v>
      </c>
      <c r="B81" s="36" t="str">
        <f>VLOOKUP(A81,Лист1!B:C,2,0)</f>
        <v>Способен осуществлять организацию работы с подрядчиками на рынке транспортных услуг</v>
      </c>
      <c r="C81" s="37" t="str">
        <f t="shared" si="5"/>
        <v/>
      </c>
      <c r="D81" s="37" t="str">
        <f t="shared" si="5"/>
        <v/>
      </c>
      <c r="E81" s="37" t="str">
        <f t="shared" si="5"/>
        <v/>
      </c>
      <c r="F81" s="37" t="str">
        <f t="shared" si="5"/>
        <v/>
      </c>
      <c r="G81" s="37" t="str">
        <f t="shared" si="5"/>
        <v/>
      </c>
      <c r="H81" s="37"/>
      <c r="I81" s="37"/>
      <c r="J81" s="37" t="str">
        <f t="shared" si="26"/>
        <v/>
      </c>
      <c r="K81" s="37" t="str">
        <f t="shared" si="26"/>
        <v/>
      </c>
      <c r="L81" s="37" t="str">
        <f t="shared" si="26"/>
        <v/>
      </c>
      <c r="M81" s="37" t="str">
        <f t="shared" si="26"/>
        <v/>
      </c>
      <c r="N81" s="37" t="str">
        <f t="shared" si="26"/>
        <v/>
      </c>
      <c r="O81" s="37" t="str">
        <f t="shared" si="26"/>
        <v/>
      </c>
      <c r="P81" s="37"/>
      <c r="Q81" s="37" t="str">
        <f t="shared" si="26"/>
        <v/>
      </c>
      <c r="R81" s="37" t="str">
        <f t="shared" si="26"/>
        <v/>
      </c>
      <c r="S81" s="37" t="str">
        <f t="shared" si="26"/>
        <v/>
      </c>
      <c r="T81" s="37" t="str">
        <f t="shared" si="26"/>
        <v/>
      </c>
      <c r="U81" s="37" t="str">
        <f t="shared" si="26"/>
        <v/>
      </c>
      <c r="V81" s="37" t="str">
        <f t="shared" si="26"/>
        <v/>
      </c>
      <c r="W81" s="37" t="str">
        <f t="shared" si="26"/>
        <v/>
      </c>
      <c r="X81" s="37" t="str">
        <f t="shared" si="26"/>
        <v/>
      </c>
      <c r="Y81" s="37"/>
      <c r="Z81" s="37"/>
      <c r="AA81" s="37" t="str">
        <f t="shared" si="26"/>
        <v/>
      </c>
      <c r="AB81" s="37" t="str">
        <f t="shared" si="26"/>
        <v/>
      </c>
      <c r="AC81" s="37" t="str">
        <f t="shared" si="26"/>
        <v/>
      </c>
      <c r="AD81" s="37" t="str">
        <f t="shared" si="26"/>
        <v/>
      </c>
      <c r="AE81" s="37" t="str">
        <f t="shared" si="26"/>
        <v/>
      </c>
      <c r="AF81" s="37" t="str">
        <f t="shared" si="26"/>
        <v/>
      </c>
      <c r="AG81" s="37" t="str">
        <f t="shared" si="26"/>
        <v/>
      </c>
      <c r="AH81" s="37">
        <v>18</v>
      </c>
      <c r="AI81" s="37" t="str">
        <f t="shared" si="26"/>
        <v/>
      </c>
      <c r="AJ81" s="37" t="str">
        <f t="shared" si="26"/>
        <v/>
      </c>
      <c r="AK81" s="37" t="str">
        <f t="shared" si="26"/>
        <v/>
      </c>
      <c r="AL81" s="37" t="str">
        <f t="shared" si="26"/>
        <v/>
      </c>
      <c r="AM81" s="37" t="str">
        <f t="shared" si="26"/>
        <v/>
      </c>
      <c r="AN81" s="37" t="str">
        <f t="shared" si="26"/>
        <v/>
      </c>
      <c r="AO81" s="37" t="str">
        <f t="shared" si="26"/>
        <v/>
      </c>
      <c r="AP81" s="37">
        <v>18</v>
      </c>
      <c r="AQ81" s="37">
        <v>18</v>
      </c>
      <c r="AR81" s="37" t="str">
        <f t="shared" si="26"/>
        <v/>
      </c>
      <c r="AS81" s="37" t="str">
        <f t="shared" si="26"/>
        <v/>
      </c>
      <c r="AT81" s="37" t="str">
        <f t="shared" si="26"/>
        <v/>
      </c>
      <c r="AU81" s="37" t="str">
        <f t="shared" si="26"/>
        <v/>
      </c>
      <c r="AV81" s="37">
        <v>18</v>
      </c>
      <c r="AW81" s="37">
        <v>18</v>
      </c>
      <c r="AX81" s="37" t="str">
        <f t="shared" si="26"/>
        <v/>
      </c>
      <c r="AY81" s="37" t="str">
        <f t="shared" si="26"/>
        <v/>
      </c>
      <c r="AZ81" s="37">
        <v>2</v>
      </c>
      <c r="BA81" s="37">
        <v>2</v>
      </c>
      <c r="BB81" s="37">
        <f t="shared" si="28"/>
        <v>94</v>
      </c>
      <c r="BC81" s="37" t="str">
        <f>IFERROR(SEARCH(_xlfn.CONCAT(" ",$A81),#REF!),"")</f>
        <v/>
      </c>
      <c r="BD81" s="37" t="str">
        <f>IFERROR(SEARCH(_xlfn.CONCAT(" ",$A81),#REF!),"")</f>
        <v/>
      </c>
      <c r="BE81" s="37">
        <f t="shared" si="29"/>
        <v>0</v>
      </c>
      <c r="BF81" s="37">
        <f t="shared" si="30"/>
        <v>94</v>
      </c>
    </row>
    <row r="82" spans="1:58" ht="42" x14ac:dyDescent="0.25">
      <c r="A82" s="39" t="s">
        <v>231</v>
      </c>
      <c r="B82" s="33" t="str">
        <f>VLOOKUP(A82,Лист1!B:C,2,0)</f>
        <v>Решает задачи по организации работы экспедиторских фирм, оформляет необходимые документы для заключения договоров с юридическими и физическими лицами на транспортно-экспедиционное обслуживание грузовладельцев</v>
      </c>
      <c r="C82" s="31" t="str">
        <f>IFERROR(SEARCH($A82,C$3),"")</f>
        <v/>
      </c>
      <c r="D82" s="31" t="str">
        <f t="shared" ref="D82:BD85" si="33">IFERROR(SEARCH($A82,D$3),"")</f>
        <v/>
      </c>
      <c r="E82" s="31" t="str">
        <f t="shared" si="33"/>
        <v/>
      </c>
      <c r="F82" s="31" t="str">
        <f t="shared" si="33"/>
        <v/>
      </c>
      <c r="G82" s="31" t="str">
        <f t="shared" si="33"/>
        <v/>
      </c>
      <c r="H82" s="31"/>
      <c r="I82" s="31"/>
      <c r="J82" s="31" t="str">
        <f t="shared" si="33"/>
        <v/>
      </c>
      <c r="K82" s="31" t="str">
        <f t="shared" si="33"/>
        <v/>
      </c>
      <c r="L82" s="31" t="str">
        <f t="shared" si="33"/>
        <v/>
      </c>
      <c r="M82" s="31" t="str">
        <f t="shared" si="33"/>
        <v/>
      </c>
      <c r="N82" s="31" t="str">
        <f t="shared" si="33"/>
        <v/>
      </c>
      <c r="O82" s="31" t="str">
        <f t="shared" si="33"/>
        <v/>
      </c>
      <c r="P82" s="31" t="str">
        <f t="shared" si="33"/>
        <v/>
      </c>
      <c r="Q82" s="31" t="str">
        <f t="shared" si="33"/>
        <v/>
      </c>
      <c r="R82" s="31" t="str">
        <f t="shared" si="33"/>
        <v/>
      </c>
      <c r="S82" s="31" t="str">
        <f t="shared" si="33"/>
        <v/>
      </c>
      <c r="T82" s="31" t="str">
        <f t="shared" si="33"/>
        <v/>
      </c>
      <c r="U82" s="31" t="str">
        <f t="shared" si="33"/>
        <v/>
      </c>
      <c r="V82" s="31" t="str">
        <f t="shared" si="33"/>
        <v/>
      </c>
      <c r="W82" s="31" t="str">
        <f t="shared" si="33"/>
        <v/>
      </c>
      <c r="X82" s="31" t="str">
        <f t="shared" si="33"/>
        <v/>
      </c>
      <c r="Y82" s="31"/>
      <c r="Z82" s="31"/>
      <c r="AA82" s="31" t="str">
        <f t="shared" si="33"/>
        <v/>
      </c>
      <c r="AB82" s="31" t="str">
        <f t="shared" si="33"/>
        <v/>
      </c>
      <c r="AC82" s="31" t="str">
        <f t="shared" si="33"/>
        <v/>
      </c>
      <c r="AD82" s="31" t="str">
        <f t="shared" si="33"/>
        <v/>
      </c>
      <c r="AE82" s="31" t="str">
        <f t="shared" si="33"/>
        <v/>
      </c>
      <c r="AF82" s="31" t="str">
        <f t="shared" si="33"/>
        <v/>
      </c>
      <c r="AG82" s="31" t="str">
        <f t="shared" si="33"/>
        <v/>
      </c>
      <c r="AH82" s="31" t="str">
        <f t="shared" si="33"/>
        <v/>
      </c>
      <c r="AI82" s="31" t="str">
        <f t="shared" si="33"/>
        <v/>
      </c>
      <c r="AJ82" s="31" t="str">
        <f t="shared" si="33"/>
        <v/>
      </c>
      <c r="AK82" s="31" t="str">
        <f t="shared" si="33"/>
        <v/>
      </c>
      <c r="AL82" s="31" t="str">
        <f t="shared" si="33"/>
        <v/>
      </c>
      <c r="AM82" s="31" t="str">
        <f t="shared" si="33"/>
        <v/>
      </c>
      <c r="AN82" s="31" t="str">
        <f t="shared" si="33"/>
        <v/>
      </c>
      <c r="AO82" s="31" t="str">
        <f t="shared" si="33"/>
        <v/>
      </c>
      <c r="AP82" s="31" t="str">
        <f t="shared" si="33"/>
        <v/>
      </c>
      <c r="AQ82" s="31" t="str">
        <f t="shared" si="33"/>
        <v/>
      </c>
      <c r="AR82" s="31" t="str">
        <f t="shared" si="33"/>
        <v/>
      </c>
      <c r="AS82" s="31" t="str">
        <f t="shared" si="33"/>
        <v/>
      </c>
      <c r="AT82" s="31" t="str">
        <f t="shared" si="33"/>
        <v/>
      </c>
      <c r="AU82" s="31" t="str">
        <f t="shared" si="33"/>
        <v/>
      </c>
      <c r="AV82" s="40">
        <v>18</v>
      </c>
      <c r="AW82" s="40">
        <v>18</v>
      </c>
      <c r="AX82" s="31" t="str">
        <f t="shared" si="33"/>
        <v/>
      </c>
      <c r="AY82" s="31" t="str">
        <f t="shared" si="33"/>
        <v/>
      </c>
      <c r="AZ82" s="40">
        <v>1</v>
      </c>
      <c r="BA82" s="31" t="str">
        <f t="shared" si="33"/>
        <v/>
      </c>
      <c r="BB82" s="31">
        <f t="shared" si="28"/>
        <v>37</v>
      </c>
      <c r="BC82" s="31" t="str">
        <f t="shared" si="33"/>
        <v/>
      </c>
      <c r="BD82" s="31" t="str">
        <f t="shared" si="33"/>
        <v/>
      </c>
      <c r="BE82" s="31">
        <f t="shared" si="29"/>
        <v>0</v>
      </c>
      <c r="BF82" s="31">
        <f t="shared" si="30"/>
        <v>37</v>
      </c>
    </row>
    <row r="83" spans="1:58" ht="31.5" x14ac:dyDescent="0.25">
      <c r="A83" s="39" t="s">
        <v>223</v>
      </c>
      <c r="B83" s="33" t="str">
        <f>VLOOKUP(A83,Лист1!B:C,2,0)</f>
        <v>Разрабатывает эффективные схемы взаимоотношения промышленного и магистрального транспорта в процессе оказания логистической услуги перевозки груза в цепи поставок</v>
      </c>
      <c r="C83" s="31" t="str">
        <f>IFERROR(SEARCH($A83,C$3),"")</f>
        <v/>
      </c>
      <c r="D83" s="31" t="str">
        <f t="shared" si="33"/>
        <v/>
      </c>
      <c r="E83" s="31" t="str">
        <f t="shared" si="33"/>
        <v/>
      </c>
      <c r="F83" s="31" t="str">
        <f t="shared" si="33"/>
        <v/>
      </c>
      <c r="G83" s="31" t="str">
        <f t="shared" si="33"/>
        <v/>
      </c>
      <c r="H83" s="31"/>
      <c r="I83" s="31"/>
      <c r="J83" s="31" t="str">
        <f t="shared" si="33"/>
        <v/>
      </c>
      <c r="K83" s="31" t="str">
        <f t="shared" si="33"/>
        <v/>
      </c>
      <c r="L83" s="31" t="str">
        <f t="shared" si="33"/>
        <v/>
      </c>
      <c r="M83" s="31" t="str">
        <f t="shared" si="33"/>
        <v/>
      </c>
      <c r="N83" s="31" t="str">
        <f t="shared" si="33"/>
        <v/>
      </c>
      <c r="O83" s="31" t="str">
        <f t="shared" si="33"/>
        <v/>
      </c>
      <c r="P83" s="31" t="str">
        <f t="shared" si="33"/>
        <v/>
      </c>
      <c r="Q83" s="31" t="str">
        <f t="shared" si="33"/>
        <v/>
      </c>
      <c r="R83" s="31" t="str">
        <f t="shared" si="33"/>
        <v/>
      </c>
      <c r="S83" s="31" t="str">
        <f t="shared" si="33"/>
        <v/>
      </c>
      <c r="T83" s="31" t="str">
        <f t="shared" si="33"/>
        <v/>
      </c>
      <c r="U83" s="31" t="str">
        <f t="shared" si="33"/>
        <v/>
      </c>
      <c r="V83" s="31" t="str">
        <f t="shared" si="33"/>
        <v/>
      </c>
      <c r="W83" s="31" t="str">
        <f t="shared" si="33"/>
        <v/>
      </c>
      <c r="X83" s="31" t="str">
        <f t="shared" si="33"/>
        <v/>
      </c>
      <c r="Y83" s="31"/>
      <c r="Z83" s="31"/>
      <c r="AA83" s="31" t="str">
        <f t="shared" si="33"/>
        <v/>
      </c>
      <c r="AB83" s="31" t="str">
        <f t="shared" si="33"/>
        <v/>
      </c>
      <c r="AC83" s="31" t="str">
        <f t="shared" si="33"/>
        <v/>
      </c>
      <c r="AD83" s="31" t="str">
        <f t="shared" si="33"/>
        <v/>
      </c>
      <c r="AE83" s="31" t="str">
        <f t="shared" si="33"/>
        <v/>
      </c>
      <c r="AF83" s="31" t="str">
        <f t="shared" si="33"/>
        <v/>
      </c>
      <c r="AG83" s="31" t="str">
        <f t="shared" si="33"/>
        <v/>
      </c>
      <c r="AH83" s="40">
        <v>18</v>
      </c>
      <c r="AI83" s="31" t="str">
        <f t="shared" si="33"/>
        <v/>
      </c>
      <c r="AJ83" s="31" t="str">
        <f t="shared" si="33"/>
        <v/>
      </c>
      <c r="AK83" s="31" t="str">
        <f t="shared" si="33"/>
        <v/>
      </c>
      <c r="AL83" s="31" t="str">
        <f t="shared" si="33"/>
        <v/>
      </c>
      <c r="AM83" s="31" t="str">
        <f t="shared" si="33"/>
        <v/>
      </c>
      <c r="AN83" s="31" t="str">
        <f t="shared" si="33"/>
        <v/>
      </c>
      <c r="AO83" s="31" t="str">
        <f t="shared" si="33"/>
        <v/>
      </c>
      <c r="AP83" s="31" t="str">
        <f t="shared" si="33"/>
        <v/>
      </c>
      <c r="AQ83" s="31" t="str">
        <f t="shared" si="33"/>
        <v/>
      </c>
      <c r="AR83" s="31" t="str">
        <f t="shared" si="33"/>
        <v/>
      </c>
      <c r="AS83" s="31" t="str">
        <f t="shared" si="33"/>
        <v/>
      </c>
      <c r="AT83" s="31" t="str">
        <f t="shared" si="33"/>
        <v/>
      </c>
      <c r="AU83" s="31" t="str">
        <f t="shared" si="33"/>
        <v/>
      </c>
      <c r="AV83" s="31" t="str">
        <f t="shared" si="33"/>
        <v/>
      </c>
      <c r="AW83" s="31" t="str">
        <f t="shared" si="33"/>
        <v/>
      </c>
      <c r="AX83" s="31" t="str">
        <f t="shared" si="33"/>
        <v/>
      </c>
      <c r="AY83" s="31" t="str">
        <f t="shared" si="33"/>
        <v/>
      </c>
      <c r="AZ83" s="31" t="str">
        <f t="shared" si="33"/>
        <v/>
      </c>
      <c r="BA83" s="40">
        <v>1</v>
      </c>
      <c r="BB83" s="31">
        <f t="shared" si="28"/>
        <v>19</v>
      </c>
      <c r="BC83" s="31" t="str">
        <f t="shared" si="33"/>
        <v/>
      </c>
      <c r="BD83" s="31" t="str">
        <f t="shared" si="33"/>
        <v/>
      </c>
      <c r="BE83" s="31">
        <f t="shared" si="29"/>
        <v>0</v>
      </c>
      <c r="BF83" s="31">
        <f t="shared" si="30"/>
        <v>19</v>
      </c>
    </row>
    <row r="84" spans="1:58" ht="31.5" x14ac:dyDescent="0.25">
      <c r="A84" s="39" t="s">
        <v>394</v>
      </c>
      <c r="B84" s="33" t="str">
        <f>VLOOKUP(A84,Лист1!B:C,2,0)</f>
        <v>Анализирует информацию о планируемых мероприятиях, разрабатывает эффективные схемы взаимоотношений в процессе оказания логистической услуги перевозки груза, организует планирование услуг, этапов, сроков доставки</v>
      </c>
      <c r="C84" s="31" t="str">
        <f>IFERROR(SEARCH($A84,C$3),"")</f>
        <v/>
      </c>
      <c r="D84" s="31" t="str">
        <f t="shared" si="33"/>
        <v/>
      </c>
      <c r="E84" s="31" t="str">
        <f t="shared" si="33"/>
        <v/>
      </c>
      <c r="F84" s="31" t="str">
        <f t="shared" si="33"/>
        <v/>
      </c>
      <c r="G84" s="31" t="str">
        <f t="shared" si="33"/>
        <v/>
      </c>
      <c r="H84" s="31" t="str">
        <f t="shared" si="33"/>
        <v/>
      </c>
      <c r="I84" s="31" t="str">
        <f t="shared" si="33"/>
        <v/>
      </c>
      <c r="J84" s="31" t="str">
        <f t="shared" si="33"/>
        <v/>
      </c>
      <c r="K84" s="31" t="str">
        <f t="shared" si="33"/>
        <v/>
      </c>
      <c r="L84" s="31" t="str">
        <f t="shared" si="33"/>
        <v/>
      </c>
      <c r="M84" s="31" t="str">
        <f t="shared" si="33"/>
        <v/>
      </c>
      <c r="N84" s="31" t="str">
        <f t="shared" si="33"/>
        <v/>
      </c>
      <c r="O84" s="31" t="str">
        <f t="shared" si="33"/>
        <v/>
      </c>
      <c r="P84" s="31" t="str">
        <f t="shared" si="33"/>
        <v/>
      </c>
      <c r="Q84" s="31" t="str">
        <f t="shared" si="33"/>
        <v/>
      </c>
      <c r="R84" s="31" t="str">
        <f t="shared" si="33"/>
        <v/>
      </c>
      <c r="S84" s="31" t="str">
        <f t="shared" si="33"/>
        <v/>
      </c>
      <c r="T84" s="31" t="str">
        <f t="shared" si="33"/>
        <v/>
      </c>
      <c r="U84" s="31" t="str">
        <f t="shared" si="33"/>
        <v/>
      </c>
      <c r="V84" s="31" t="str">
        <f t="shared" si="33"/>
        <v/>
      </c>
      <c r="W84" s="31" t="str">
        <f t="shared" si="33"/>
        <v/>
      </c>
      <c r="X84" s="31" t="str">
        <f t="shared" si="33"/>
        <v/>
      </c>
      <c r="Y84" s="31"/>
      <c r="Z84" s="31"/>
      <c r="AA84" s="31" t="str">
        <f t="shared" si="33"/>
        <v/>
      </c>
      <c r="AB84" s="31" t="str">
        <f t="shared" si="33"/>
        <v/>
      </c>
      <c r="AC84" s="31" t="str">
        <f t="shared" si="33"/>
        <v/>
      </c>
      <c r="AD84" s="31" t="str">
        <f t="shared" si="33"/>
        <v/>
      </c>
      <c r="AE84" s="31" t="str">
        <f t="shared" si="33"/>
        <v/>
      </c>
      <c r="AF84" s="31" t="str">
        <f t="shared" si="33"/>
        <v/>
      </c>
      <c r="AG84" s="31" t="str">
        <f t="shared" si="33"/>
        <v/>
      </c>
      <c r="AH84" s="31" t="str">
        <f t="shared" si="33"/>
        <v/>
      </c>
      <c r="AI84" s="31" t="str">
        <f t="shared" si="33"/>
        <v/>
      </c>
      <c r="AJ84" s="31" t="str">
        <f t="shared" si="33"/>
        <v/>
      </c>
      <c r="AK84" s="31" t="str">
        <f t="shared" si="33"/>
        <v/>
      </c>
      <c r="AL84" s="31" t="str">
        <f t="shared" si="33"/>
        <v/>
      </c>
      <c r="AM84" s="31" t="str">
        <f t="shared" si="33"/>
        <v/>
      </c>
      <c r="AN84" s="31" t="str">
        <f t="shared" si="33"/>
        <v/>
      </c>
      <c r="AO84" s="31" t="str">
        <f t="shared" si="33"/>
        <v/>
      </c>
      <c r="AP84" s="40">
        <v>9</v>
      </c>
      <c r="AQ84" s="40">
        <v>9</v>
      </c>
      <c r="AR84" s="31" t="str">
        <f t="shared" si="33"/>
        <v/>
      </c>
      <c r="AS84" s="31" t="str">
        <f t="shared" si="33"/>
        <v/>
      </c>
      <c r="AT84" s="31" t="str">
        <f t="shared" si="33"/>
        <v/>
      </c>
      <c r="AU84" s="31" t="str">
        <f t="shared" si="33"/>
        <v/>
      </c>
      <c r="AV84" s="31" t="str">
        <f t="shared" si="33"/>
        <v/>
      </c>
      <c r="AW84" s="31" t="str">
        <f t="shared" si="33"/>
        <v/>
      </c>
      <c r="AX84" s="31" t="str">
        <f t="shared" si="33"/>
        <v/>
      </c>
      <c r="AY84" s="31" t="str">
        <f t="shared" si="33"/>
        <v/>
      </c>
      <c r="AZ84" s="31" t="str">
        <f t="shared" si="33"/>
        <v/>
      </c>
      <c r="BA84" s="40">
        <v>1</v>
      </c>
      <c r="BB84" s="31">
        <f t="shared" si="28"/>
        <v>19</v>
      </c>
      <c r="BC84" s="31" t="str">
        <f t="shared" si="33"/>
        <v/>
      </c>
      <c r="BD84" s="31" t="str">
        <f t="shared" si="33"/>
        <v/>
      </c>
      <c r="BE84" s="31">
        <f t="shared" si="29"/>
        <v>0</v>
      </c>
      <c r="BF84" s="31">
        <f t="shared" si="30"/>
        <v>19</v>
      </c>
    </row>
    <row r="85" spans="1:58" ht="42" x14ac:dyDescent="0.25">
      <c r="A85" s="39" t="s">
        <v>396</v>
      </c>
      <c r="B85" s="33" t="str">
        <f>VLOOKUP(A85,Лист1!B:C,2,0)</f>
        <v>Определяет перечень необходимых услуг на транспортном рынке, выбирает подрядчика на основе критериального анализа, проверяет договор на содержание, полноту и соответствие услуг, организует работу с подрядчиками на рынке транспортных услуг</v>
      </c>
      <c r="C85" s="31" t="str">
        <f>IFERROR(SEARCH($A85,C$3),"")</f>
        <v/>
      </c>
      <c r="D85" s="31" t="str">
        <f t="shared" si="33"/>
        <v/>
      </c>
      <c r="E85" s="31" t="str">
        <f t="shared" si="33"/>
        <v/>
      </c>
      <c r="F85" s="31" t="str">
        <f t="shared" si="33"/>
        <v/>
      </c>
      <c r="G85" s="31" t="str">
        <f t="shared" si="33"/>
        <v/>
      </c>
      <c r="H85" s="31" t="str">
        <f t="shared" si="33"/>
        <v/>
      </c>
      <c r="I85" s="31" t="str">
        <f t="shared" si="33"/>
        <v/>
      </c>
      <c r="J85" s="31" t="str">
        <f t="shared" si="33"/>
        <v/>
      </c>
      <c r="K85" s="31" t="str">
        <f t="shared" si="33"/>
        <v/>
      </c>
      <c r="L85" s="31" t="str">
        <f t="shared" si="33"/>
        <v/>
      </c>
      <c r="M85" s="31" t="str">
        <f t="shared" si="33"/>
        <v/>
      </c>
      <c r="N85" s="31" t="str">
        <f t="shared" si="33"/>
        <v/>
      </c>
      <c r="O85" s="31" t="str">
        <f t="shared" si="33"/>
        <v/>
      </c>
      <c r="P85" s="31" t="str">
        <f t="shared" si="33"/>
        <v/>
      </c>
      <c r="Q85" s="31" t="str">
        <f t="shared" si="33"/>
        <v/>
      </c>
      <c r="R85" s="31" t="str">
        <f t="shared" si="33"/>
        <v/>
      </c>
      <c r="S85" s="31" t="str">
        <f t="shared" si="33"/>
        <v/>
      </c>
      <c r="T85" s="31" t="str">
        <f t="shared" si="33"/>
        <v/>
      </c>
      <c r="U85" s="31" t="str">
        <f t="shared" si="33"/>
        <v/>
      </c>
      <c r="V85" s="31" t="str">
        <f t="shared" si="33"/>
        <v/>
      </c>
      <c r="W85" s="31" t="str">
        <f t="shared" si="33"/>
        <v/>
      </c>
      <c r="X85" s="31" t="str">
        <f t="shared" si="33"/>
        <v/>
      </c>
      <c r="Y85" s="31"/>
      <c r="Z85" s="31"/>
      <c r="AA85" s="31" t="str">
        <f t="shared" si="33"/>
        <v/>
      </c>
      <c r="AB85" s="31" t="str">
        <f t="shared" si="33"/>
        <v/>
      </c>
      <c r="AC85" s="31" t="str">
        <f t="shared" si="33"/>
        <v/>
      </c>
      <c r="AD85" s="31" t="str">
        <f t="shared" si="33"/>
        <v/>
      </c>
      <c r="AE85" s="31" t="str">
        <f t="shared" si="33"/>
        <v/>
      </c>
      <c r="AF85" s="31" t="str">
        <f t="shared" si="33"/>
        <v/>
      </c>
      <c r="AG85" s="31" t="str">
        <f t="shared" si="33"/>
        <v/>
      </c>
      <c r="AH85" s="31" t="str">
        <f t="shared" si="33"/>
        <v/>
      </c>
      <c r="AI85" s="31" t="str">
        <f t="shared" si="33"/>
        <v/>
      </c>
      <c r="AJ85" s="31" t="str">
        <f t="shared" si="33"/>
        <v/>
      </c>
      <c r="AK85" s="31" t="str">
        <f t="shared" si="33"/>
        <v/>
      </c>
      <c r="AL85" s="31" t="str">
        <f t="shared" si="33"/>
        <v/>
      </c>
      <c r="AM85" s="31" t="str">
        <f t="shared" si="33"/>
        <v/>
      </c>
      <c r="AN85" s="31" t="str">
        <f t="shared" si="33"/>
        <v/>
      </c>
      <c r="AO85" s="31" t="str">
        <f t="shared" si="33"/>
        <v/>
      </c>
      <c r="AP85" s="40">
        <f t="shared" si="33"/>
        <v>9</v>
      </c>
      <c r="AQ85" s="40">
        <f t="shared" si="33"/>
        <v>9</v>
      </c>
      <c r="AR85" s="31" t="str">
        <f t="shared" si="33"/>
        <v/>
      </c>
      <c r="AS85" s="31" t="str">
        <f t="shared" si="33"/>
        <v/>
      </c>
      <c r="AT85" s="31" t="str">
        <f t="shared" si="33"/>
        <v/>
      </c>
      <c r="AU85" s="31" t="str">
        <f t="shared" si="33"/>
        <v/>
      </c>
      <c r="AV85" s="31" t="str">
        <f t="shared" si="33"/>
        <v/>
      </c>
      <c r="AW85" s="31" t="str">
        <f t="shared" si="33"/>
        <v/>
      </c>
      <c r="AX85" s="31" t="str">
        <f t="shared" si="33"/>
        <v/>
      </c>
      <c r="AY85" s="31" t="str">
        <f t="shared" si="33"/>
        <v/>
      </c>
      <c r="AZ85" s="40">
        <v>1</v>
      </c>
      <c r="BA85" s="31" t="str">
        <f t="shared" si="33"/>
        <v/>
      </c>
      <c r="BB85" s="31">
        <f t="shared" si="28"/>
        <v>19</v>
      </c>
      <c r="BC85" s="31" t="str">
        <f t="shared" si="33"/>
        <v/>
      </c>
      <c r="BD85" s="31" t="str">
        <f t="shared" si="33"/>
        <v/>
      </c>
      <c r="BE85" s="31">
        <f t="shared" si="29"/>
        <v>0</v>
      </c>
      <c r="BF85" s="31">
        <f t="shared" si="30"/>
        <v>19</v>
      </c>
    </row>
    <row r="86" spans="1:58" s="38" customFormat="1" ht="21" x14ac:dyDescent="0.25">
      <c r="A86" s="36" t="s">
        <v>275</v>
      </c>
      <c r="B86" s="36" t="str">
        <f>VLOOKUP(A86,Лист1!B:C,2,0)</f>
        <v>Способен осуществлять организацию перевозочного процесса и улучшения качества оказания логистических услуг</v>
      </c>
      <c r="C86" s="37" t="str">
        <f t="shared" si="5"/>
        <v/>
      </c>
      <c r="D86" s="37" t="str">
        <f t="shared" si="5"/>
        <v/>
      </c>
      <c r="E86" s="37" t="str">
        <f t="shared" si="5"/>
        <v/>
      </c>
      <c r="F86" s="37" t="str">
        <f t="shared" si="5"/>
        <v/>
      </c>
      <c r="G86" s="37" t="str">
        <f t="shared" si="5"/>
        <v/>
      </c>
      <c r="H86" s="37" t="str">
        <f t="shared" si="5"/>
        <v/>
      </c>
      <c r="I86" s="37" t="str">
        <f t="shared" si="5"/>
        <v/>
      </c>
      <c r="J86" s="37" t="str">
        <f t="shared" si="26"/>
        <v/>
      </c>
      <c r="K86" s="37" t="str">
        <f t="shared" si="26"/>
        <v/>
      </c>
      <c r="L86" s="37" t="str">
        <f t="shared" si="26"/>
        <v/>
      </c>
      <c r="M86" s="37" t="str">
        <f t="shared" si="26"/>
        <v/>
      </c>
      <c r="N86" s="37" t="str">
        <f t="shared" si="26"/>
        <v/>
      </c>
      <c r="O86" s="37" t="str">
        <f t="shared" si="26"/>
        <v/>
      </c>
      <c r="P86" s="37"/>
      <c r="Q86" s="37" t="str">
        <f t="shared" si="26"/>
        <v/>
      </c>
      <c r="R86" s="37" t="str">
        <f t="shared" si="26"/>
        <v/>
      </c>
      <c r="S86" s="37" t="str">
        <f t="shared" si="26"/>
        <v/>
      </c>
      <c r="T86" s="37" t="str">
        <f t="shared" si="26"/>
        <v/>
      </c>
      <c r="U86" s="37" t="str">
        <f t="shared" si="26"/>
        <v/>
      </c>
      <c r="V86" s="37" t="str">
        <f t="shared" si="26"/>
        <v/>
      </c>
      <c r="W86" s="37" t="str">
        <f t="shared" si="26"/>
        <v/>
      </c>
      <c r="X86" s="37"/>
      <c r="Y86" s="37" t="str">
        <f t="shared" si="26"/>
        <v/>
      </c>
      <c r="Z86" s="37" t="str">
        <f t="shared" si="26"/>
        <v/>
      </c>
      <c r="AA86" s="37">
        <v>9</v>
      </c>
      <c r="AB86" s="37">
        <v>6</v>
      </c>
      <c r="AC86" s="37" t="str">
        <f t="shared" si="26"/>
        <v/>
      </c>
      <c r="AD86" s="37" t="str">
        <f t="shared" si="26"/>
        <v/>
      </c>
      <c r="AE86" s="37">
        <v>18</v>
      </c>
      <c r="AF86" s="37" t="str">
        <f t="shared" si="26"/>
        <v/>
      </c>
      <c r="AG86" s="37">
        <v>18</v>
      </c>
      <c r="AH86" s="37" t="str">
        <f t="shared" si="26"/>
        <v/>
      </c>
      <c r="AI86" s="37" t="str">
        <f t="shared" si="26"/>
        <v/>
      </c>
      <c r="AJ86" s="37" t="str">
        <f t="shared" si="26"/>
        <v/>
      </c>
      <c r="AK86" s="37" t="str">
        <f t="shared" si="26"/>
        <v/>
      </c>
      <c r="AL86" s="37" t="str">
        <f t="shared" si="26"/>
        <v/>
      </c>
      <c r="AM86" s="37" t="str">
        <f t="shared" si="26"/>
        <v/>
      </c>
      <c r="AN86" s="37" t="str">
        <f t="shared" si="26"/>
        <v/>
      </c>
      <c r="AO86" s="37" t="str">
        <f t="shared" si="26"/>
        <v/>
      </c>
      <c r="AP86" s="37" t="str">
        <f t="shared" si="26"/>
        <v/>
      </c>
      <c r="AQ86" s="37" t="str">
        <f t="shared" si="26"/>
        <v/>
      </c>
      <c r="AR86" s="37">
        <v>18</v>
      </c>
      <c r="AS86" s="37">
        <v>18</v>
      </c>
      <c r="AT86" s="37" t="str">
        <f t="shared" si="26"/>
        <v/>
      </c>
      <c r="AU86" s="37" t="str">
        <f t="shared" si="26"/>
        <v/>
      </c>
      <c r="AV86" s="37" t="str">
        <f t="shared" si="26"/>
        <v/>
      </c>
      <c r="AW86" s="37" t="str">
        <f t="shared" si="26"/>
        <v/>
      </c>
      <c r="AX86" s="37">
        <v>2</v>
      </c>
      <c r="AY86" s="37">
        <v>2</v>
      </c>
      <c r="AZ86" s="37">
        <v>2</v>
      </c>
      <c r="BA86" s="37">
        <v>2</v>
      </c>
      <c r="BB86" s="37">
        <f t="shared" si="28"/>
        <v>95</v>
      </c>
      <c r="BC86" s="37" t="s">
        <v>140</v>
      </c>
      <c r="BD86" s="37" t="s">
        <v>140</v>
      </c>
      <c r="BE86" s="37">
        <f t="shared" si="29"/>
        <v>0</v>
      </c>
      <c r="BF86" s="37">
        <f t="shared" si="30"/>
        <v>95</v>
      </c>
    </row>
    <row r="87" spans="1:58" ht="21" x14ac:dyDescent="0.25">
      <c r="A87" s="39" t="s">
        <v>399</v>
      </c>
      <c r="B87" s="33" t="str">
        <f>VLOOKUP(A87,Лист1!B:C,2,0)</f>
        <v>Разрабатывает математические модели для решения транспортных задач и улучшения качества оказания логистических услуг</v>
      </c>
      <c r="C87" s="31" t="str">
        <f>IFERROR(SEARCH($A87,C$3),"")</f>
        <v/>
      </c>
      <c r="D87" s="31" t="str">
        <f t="shared" ref="D87:BD90" si="34">IFERROR(SEARCH($A87,D$3),"")</f>
        <v/>
      </c>
      <c r="E87" s="31" t="str">
        <f t="shared" si="34"/>
        <v/>
      </c>
      <c r="F87" s="31" t="str">
        <f t="shared" si="34"/>
        <v/>
      </c>
      <c r="G87" s="31" t="str">
        <f t="shared" si="34"/>
        <v/>
      </c>
      <c r="H87" s="31" t="str">
        <f t="shared" si="34"/>
        <v/>
      </c>
      <c r="I87" s="31" t="str">
        <f t="shared" si="34"/>
        <v/>
      </c>
      <c r="J87" s="31" t="str">
        <f t="shared" si="34"/>
        <v/>
      </c>
      <c r="K87" s="31" t="str">
        <f t="shared" si="34"/>
        <v/>
      </c>
      <c r="L87" s="31" t="str">
        <f t="shared" si="34"/>
        <v/>
      </c>
      <c r="M87" s="31" t="str">
        <f t="shared" si="34"/>
        <v/>
      </c>
      <c r="N87" s="31" t="str">
        <f t="shared" si="34"/>
        <v/>
      </c>
      <c r="O87" s="31" t="str">
        <f t="shared" si="34"/>
        <v/>
      </c>
      <c r="P87" s="31" t="str">
        <f t="shared" si="34"/>
        <v/>
      </c>
      <c r="Q87" s="31" t="str">
        <f t="shared" si="34"/>
        <v/>
      </c>
      <c r="R87" s="31" t="str">
        <f t="shared" si="34"/>
        <v/>
      </c>
      <c r="S87" s="31" t="str">
        <f t="shared" si="34"/>
        <v/>
      </c>
      <c r="T87" s="31" t="str">
        <f t="shared" si="34"/>
        <v/>
      </c>
      <c r="U87" s="31" t="str">
        <f t="shared" si="34"/>
        <v/>
      </c>
      <c r="V87" s="31" t="str">
        <f t="shared" si="34"/>
        <v/>
      </c>
      <c r="W87" s="31" t="str">
        <f t="shared" si="34"/>
        <v/>
      </c>
      <c r="X87" s="31" t="str">
        <f t="shared" si="34"/>
        <v/>
      </c>
      <c r="Y87" s="31" t="str">
        <f t="shared" si="34"/>
        <v/>
      </c>
      <c r="Z87" s="31" t="str">
        <f t="shared" si="34"/>
        <v/>
      </c>
      <c r="AA87" s="40">
        <v>9</v>
      </c>
      <c r="AB87" s="40">
        <v>3</v>
      </c>
      <c r="AC87" s="31" t="str">
        <f t="shared" si="34"/>
        <v/>
      </c>
      <c r="AD87" s="31" t="str">
        <f t="shared" si="34"/>
        <v/>
      </c>
      <c r="AE87" s="31" t="str">
        <f t="shared" si="34"/>
        <v/>
      </c>
      <c r="AF87" s="31" t="str">
        <f t="shared" si="34"/>
        <v/>
      </c>
      <c r="AG87" s="31" t="str">
        <f t="shared" si="34"/>
        <v/>
      </c>
      <c r="AH87" s="31" t="str">
        <f t="shared" si="34"/>
        <v/>
      </c>
      <c r="AI87" s="31" t="str">
        <f t="shared" si="34"/>
        <v/>
      </c>
      <c r="AJ87" s="31" t="str">
        <f t="shared" si="34"/>
        <v/>
      </c>
      <c r="AK87" s="31" t="str">
        <f t="shared" si="34"/>
        <v/>
      </c>
      <c r="AL87" s="31" t="str">
        <f t="shared" si="34"/>
        <v/>
      </c>
      <c r="AM87" s="31" t="str">
        <f t="shared" si="34"/>
        <v/>
      </c>
      <c r="AN87" s="31" t="str">
        <f t="shared" si="34"/>
        <v/>
      </c>
      <c r="AO87" s="31" t="str">
        <f t="shared" si="34"/>
        <v/>
      </c>
      <c r="AP87" s="31" t="str">
        <f t="shared" si="34"/>
        <v/>
      </c>
      <c r="AQ87" s="31" t="str">
        <f t="shared" si="34"/>
        <v/>
      </c>
      <c r="AR87" s="31" t="str">
        <f t="shared" si="34"/>
        <v/>
      </c>
      <c r="AS87" s="31" t="str">
        <f t="shared" si="34"/>
        <v/>
      </c>
      <c r="AT87" s="31" t="str">
        <f t="shared" si="34"/>
        <v/>
      </c>
      <c r="AU87" s="31" t="str">
        <f t="shared" si="34"/>
        <v/>
      </c>
      <c r="AV87" s="31" t="str">
        <f t="shared" si="34"/>
        <v/>
      </c>
      <c r="AW87" s="31" t="str">
        <f t="shared" si="34"/>
        <v/>
      </c>
      <c r="AX87" s="31" t="str">
        <f t="shared" si="34"/>
        <v/>
      </c>
      <c r="AY87" s="31" t="str">
        <f t="shared" si="34"/>
        <v/>
      </c>
      <c r="AZ87" s="31" t="str">
        <f t="shared" si="34"/>
        <v/>
      </c>
      <c r="BA87" s="40">
        <v>1</v>
      </c>
      <c r="BB87" s="31">
        <f t="shared" si="28"/>
        <v>13</v>
      </c>
      <c r="BC87" s="31" t="str">
        <f t="shared" si="34"/>
        <v/>
      </c>
      <c r="BD87" s="31" t="str">
        <f t="shared" si="34"/>
        <v/>
      </c>
      <c r="BE87" s="31">
        <f t="shared" si="29"/>
        <v>0</v>
      </c>
      <c r="BF87" s="31">
        <f t="shared" si="30"/>
        <v>13</v>
      </c>
    </row>
    <row r="88" spans="1:58" ht="21" x14ac:dyDescent="0.25">
      <c r="A88" s="39" t="s">
        <v>222</v>
      </c>
      <c r="B88" s="33" t="str">
        <f>VLOOKUP(A88,Лист1!B:C,2,0)</f>
        <v>Планирует деятельность по продвижению транспортно-логистических услуг и выбору оптимальных схем доставки грузов в цепи поставок</v>
      </c>
      <c r="C88" s="31" t="str">
        <f>IFERROR(SEARCH($A88,C$3),"")</f>
        <v/>
      </c>
      <c r="D88" s="31" t="str">
        <f t="shared" si="34"/>
        <v/>
      </c>
      <c r="E88" s="31" t="str">
        <f t="shared" si="34"/>
        <v/>
      </c>
      <c r="F88" s="31" t="str">
        <f t="shared" si="34"/>
        <v/>
      </c>
      <c r="G88" s="31" t="str">
        <f t="shared" si="34"/>
        <v/>
      </c>
      <c r="H88" s="31" t="str">
        <f t="shared" si="34"/>
        <v/>
      </c>
      <c r="I88" s="31" t="str">
        <f t="shared" si="34"/>
        <v/>
      </c>
      <c r="J88" s="31" t="str">
        <f t="shared" si="34"/>
        <v/>
      </c>
      <c r="K88" s="31" t="str">
        <f t="shared" si="34"/>
        <v/>
      </c>
      <c r="L88" s="31" t="str">
        <f t="shared" si="34"/>
        <v/>
      </c>
      <c r="M88" s="31" t="str">
        <f t="shared" si="34"/>
        <v/>
      </c>
      <c r="N88" s="31" t="str">
        <f t="shared" si="34"/>
        <v/>
      </c>
      <c r="O88" s="31" t="str">
        <f t="shared" si="34"/>
        <v/>
      </c>
      <c r="P88" s="31" t="str">
        <f t="shared" si="34"/>
        <v/>
      </c>
      <c r="Q88" s="31" t="str">
        <f t="shared" si="34"/>
        <v/>
      </c>
      <c r="R88" s="31" t="str">
        <f t="shared" si="34"/>
        <v/>
      </c>
      <c r="S88" s="31" t="str">
        <f t="shared" si="34"/>
        <v/>
      </c>
      <c r="T88" s="31" t="str">
        <f t="shared" si="34"/>
        <v/>
      </c>
      <c r="U88" s="31" t="str">
        <f t="shared" si="34"/>
        <v/>
      </c>
      <c r="V88" s="31" t="str">
        <f t="shared" si="34"/>
        <v/>
      </c>
      <c r="W88" s="31" t="str">
        <f t="shared" si="34"/>
        <v/>
      </c>
      <c r="X88" s="31"/>
      <c r="Y88" s="31" t="str">
        <f t="shared" si="34"/>
        <v/>
      </c>
      <c r="Z88" s="31" t="str">
        <f t="shared" si="34"/>
        <v/>
      </c>
      <c r="AA88" s="31" t="str">
        <f t="shared" si="34"/>
        <v/>
      </c>
      <c r="AB88" s="31" t="str">
        <f t="shared" si="34"/>
        <v/>
      </c>
      <c r="AC88" s="31" t="str">
        <f t="shared" si="34"/>
        <v/>
      </c>
      <c r="AD88" s="31" t="str">
        <f t="shared" si="34"/>
        <v/>
      </c>
      <c r="AE88" s="31" t="str">
        <f t="shared" si="34"/>
        <v/>
      </c>
      <c r="AF88" s="31" t="str">
        <f t="shared" si="34"/>
        <v/>
      </c>
      <c r="AG88" s="40">
        <v>18</v>
      </c>
      <c r="AH88" s="31" t="str">
        <f t="shared" si="34"/>
        <v/>
      </c>
      <c r="AI88" s="31" t="str">
        <f t="shared" si="34"/>
        <v/>
      </c>
      <c r="AJ88" s="31" t="str">
        <f t="shared" si="34"/>
        <v/>
      </c>
      <c r="AK88" s="31" t="str">
        <f t="shared" si="34"/>
        <v/>
      </c>
      <c r="AL88" s="31" t="str">
        <f t="shared" si="34"/>
        <v/>
      </c>
      <c r="AM88" s="31" t="str">
        <f t="shared" si="34"/>
        <v/>
      </c>
      <c r="AN88" s="31" t="str">
        <f t="shared" si="34"/>
        <v/>
      </c>
      <c r="AO88" s="31" t="str">
        <f t="shared" si="34"/>
        <v/>
      </c>
      <c r="AP88" s="31" t="str">
        <f t="shared" si="34"/>
        <v/>
      </c>
      <c r="AQ88" s="31" t="str">
        <f t="shared" si="34"/>
        <v/>
      </c>
      <c r="AR88" s="31" t="str">
        <f t="shared" si="34"/>
        <v/>
      </c>
      <c r="AS88" s="31" t="str">
        <f t="shared" si="34"/>
        <v/>
      </c>
      <c r="AT88" s="31" t="str">
        <f t="shared" si="34"/>
        <v/>
      </c>
      <c r="AU88" s="31" t="str">
        <f t="shared" si="34"/>
        <v/>
      </c>
      <c r="AV88" s="31" t="str">
        <f t="shared" si="34"/>
        <v/>
      </c>
      <c r="AW88" s="31" t="str">
        <f t="shared" si="34"/>
        <v/>
      </c>
      <c r="AX88" s="31" t="str">
        <f t="shared" si="34"/>
        <v/>
      </c>
      <c r="AY88" s="40">
        <v>2</v>
      </c>
      <c r="AZ88" s="31" t="str">
        <f t="shared" si="34"/>
        <v/>
      </c>
      <c r="BA88" s="31" t="str">
        <f t="shared" si="34"/>
        <v/>
      </c>
      <c r="BB88" s="31">
        <f t="shared" si="28"/>
        <v>20</v>
      </c>
      <c r="BC88" s="31" t="str">
        <f t="shared" si="34"/>
        <v/>
      </c>
      <c r="BD88" s="31" t="str">
        <f t="shared" si="34"/>
        <v/>
      </c>
      <c r="BE88" s="31">
        <f t="shared" si="29"/>
        <v>0</v>
      </c>
      <c r="BF88" s="31">
        <f t="shared" si="30"/>
        <v>20</v>
      </c>
    </row>
    <row r="89" spans="1:58" ht="31.5" x14ac:dyDescent="0.25">
      <c r="A89" s="39" t="s">
        <v>402</v>
      </c>
      <c r="B89" s="33" t="str">
        <f>VLOOKUP(A89,Лист1!B:C,2,0)</f>
        <v>Решает задачи по повышению эффективности технических и технологических мероприятий при организации перевозочного процесса и оказании логистических услуг</v>
      </c>
      <c r="C89" s="31" t="str">
        <f>IFERROR(SEARCH($A89,C$3),"")</f>
        <v/>
      </c>
      <c r="D89" s="31" t="str">
        <f t="shared" si="34"/>
        <v/>
      </c>
      <c r="E89" s="31" t="str">
        <f t="shared" si="34"/>
        <v/>
      </c>
      <c r="F89" s="31" t="str">
        <f t="shared" si="34"/>
        <v/>
      </c>
      <c r="G89" s="31" t="str">
        <f t="shared" si="34"/>
        <v/>
      </c>
      <c r="H89" s="31" t="str">
        <f t="shared" si="34"/>
        <v/>
      </c>
      <c r="I89" s="31" t="str">
        <f t="shared" si="34"/>
        <v/>
      </c>
      <c r="J89" s="31" t="str">
        <f t="shared" si="34"/>
        <v/>
      </c>
      <c r="K89" s="31" t="str">
        <f t="shared" si="34"/>
        <v/>
      </c>
      <c r="L89" s="31" t="str">
        <f t="shared" si="34"/>
        <v/>
      </c>
      <c r="M89" s="31" t="str">
        <f t="shared" si="34"/>
        <v/>
      </c>
      <c r="N89" s="31" t="str">
        <f t="shared" si="34"/>
        <v/>
      </c>
      <c r="O89" s="31" t="str">
        <f t="shared" si="34"/>
        <v/>
      </c>
      <c r="P89" s="31"/>
      <c r="Q89" s="31" t="str">
        <f t="shared" si="34"/>
        <v/>
      </c>
      <c r="R89" s="31" t="str">
        <f t="shared" si="34"/>
        <v/>
      </c>
      <c r="S89" s="31" t="str">
        <f t="shared" si="34"/>
        <v/>
      </c>
      <c r="T89" s="31" t="str">
        <f t="shared" si="34"/>
        <v/>
      </c>
      <c r="U89" s="31" t="str">
        <f t="shared" si="34"/>
        <v/>
      </c>
      <c r="V89" s="31" t="str">
        <f t="shared" si="34"/>
        <v/>
      </c>
      <c r="W89" s="31" t="str">
        <f t="shared" si="34"/>
        <v/>
      </c>
      <c r="X89" s="31" t="str">
        <f t="shared" si="34"/>
        <v/>
      </c>
      <c r="Y89" s="31" t="str">
        <f t="shared" si="34"/>
        <v/>
      </c>
      <c r="Z89" s="31" t="str">
        <f t="shared" si="34"/>
        <v/>
      </c>
      <c r="AA89" s="31" t="str">
        <f t="shared" si="34"/>
        <v/>
      </c>
      <c r="AB89" s="40">
        <v>3</v>
      </c>
      <c r="AC89" s="31" t="str">
        <f t="shared" si="34"/>
        <v/>
      </c>
      <c r="AD89" s="31" t="str">
        <f t="shared" si="34"/>
        <v/>
      </c>
      <c r="AE89" s="31" t="str">
        <f t="shared" si="34"/>
        <v/>
      </c>
      <c r="AF89" s="31" t="str">
        <f t="shared" si="34"/>
        <v/>
      </c>
      <c r="AG89" s="31" t="str">
        <f t="shared" si="34"/>
        <v/>
      </c>
      <c r="AH89" s="31" t="str">
        <f t="shared" si="34"/>
        <v/>
      </c>
      <c r="AI89" s="31" t="str">
        <f t="shared" si="34"/>
        <v/>
      </c>
      <c r="AJ89" s="31" t="str">
        <f t="shared" si="34"/>
        <v/>
      </c>
      <c r="AK89" s="31" t="str">
        <f t="shared" si="34"/>
        <v/>
      </c>
      <c r="AL89" s="31" t="str">
        <f t="shared" si="34"/>
        <v/>
      </c>
      <c r="AM89" s="31" t="str">
        <f t="shared" si="34"/>
        <v/>
      </c>
      <c r="AN89" s="31" t="str">
        <f t="shared" si="34"/>
        <v/>
      </c>
      <c r="AO89" s="31" t="str">
        <f t="shared" si="34"/>
        <v/>
      </c>
      <c r="AP89" s="31" t="str">
        <f t="shared" si="34"/>
        <v/>
      </c>
      <c r="AQ89" s="31" t="str">
        <f t="shared" si="34"/>
        <v/>
      </c>
      <c r="AR89" s="31" t="str">
        <f t="shared" si="34"/>
        <v/>
      </c>
      <c r="AS89" s="31" t="str">
        <f t="shared" si="34"/>
        <v/>
      </c>
      <c r="AT89" s="31" t="str">
        <f t="shared" si="34"/>
        <v/>
      </c>
      <c r="AU89" s="31" t="str">
        <f t="shared" si="34"/>
        <v/>
      </c>
      <c r="AV89" s="31" t="str">
        <f t="shared" si="34"/>
        <v/>
      </c>
      <c r="AW89" s="31" t="str">
        <f t="shared" si="34"/>
        <v/>
      </c>
      <c r="AX89" s="40">
        <v>1</v>
      </c>
      <c r="AY89" s="31" t="str">
        <f t="shared" si="34"/>
        <v/>
      </c>
      <c r="AZ89" s="31" t="str">
        <f t="shared" si="34"/>
        <v/>
      </c>
      <c r="BA89" s="40">
        <v>1</v>
      </c>
      <c r="BB89" s="31">
        <f t="shared" si="28"/>
        <v>5</v>
      </c>
      <c r="BC89" s="31" t="str">
        <f t="shared" si="34"/>
        <v/>
      </c>
      <c r="BD89" s="31" t="str">
        <f t="shared" si="34"/>
        <v/>
      </c>
      <c r="BE89" s="31">
        <f t="shared" si="29"/>
        <v>0</v>
      </c>
      <c r="BF89" s="31">
        <f t="shared" si="30"/>
        <v>5</v>
      </c>
    </row>
    <row r="90" spans="1:58" ht="21" x14ac:dyDescent="0.25">
      <c r="A90" s="39" t="s">
        <v>229</v>
      </c>
      <c r="B90" s="33" t="str">
        <f>VLOOKUP(A90,Лист1!B:C,2,0)</f>
        <v>Планирует логистические мероприятия по организации контейнерных и пакетных перевозок в технологии работы терминальных систем транспорта</v>
      </c>
      <c r="C90" s="31" t="str">
        <f>IFERROR(SEARCH($A90,C$3),"")</f>
        <v/>
      </c>
      <c r="D90" s="31" t="str">
        <f t="shared" si="34"/>
        <v/>
      </c>
      <c r="E90" s="31" t="str">
        <f t="shared" si="34"/>
        <v/>
      </c>
      <c r="F90" s="31" t="str">
        <f t="shared" si="34"/>
        <v/>
      </c>
      <c r="G90" s="31" t="str">
        <f t="shared" si="34"/>
        <v/>
      </c>
      <c r="H90" s="31" t="str">
        <f t="shared" si="34"/>
        <v/>
      </c>
      <c r="I90" s="31" t="str">
        <f t="shared" si="34"/>
        <v/>
      </c>
      <c r="J90" s="31" t="str">
        <f t="shared" si="34"/>
        <v/>
      </c>
      <c r="K90" s="31" t="str">
        <f t="shared" si="34"/>
        <v/>
      </c>
      <c r="L90" s="31" t="str">
        <f t="shared" si="34"/>
        <v/>
      </c>
      <c r="M90" s="31" t="str">
        <f t="shared" si="34"/>
        <v/>
      </c>
      <c r="N90" s="31" t="str">
        <f t="shared" si="34"/>
        <v/>
      </c>
      <c r="O90" s="31" t="str">
        <f t="shared" si="34"/>
        <v/>
      </c>
      <c r="P90" s="31" t="str">
        <f t="shared" si="34"/>
        <v/>
      </c>
      <c r="Q90" s="31" t="str">
        <f t="shared" si="34"/>
        <v/>
      </c>
      <c r="R90" s="31" t="str">
        <f t="shared" si="34"/>
        <v/>
      </c>
      <c r="S90" s="31" t="str">
        <f t="shared" si="34"/>
        <v/>
      </c>
      <c r="T90" s="31" t="str">
        <f t="shared" si="34"/>
        <v/>
      </c>
      <c r="U90" s="31" t="str">
        <f t="shared" si="34"/>
        <v/>
      </c>
      <c r="V90" s="31" t="str">
        <f t="shared" si="34"/>
        <v/>
      </c>
      <c r="W90" s="31" t="str">
        <f t="shared" si="34"/>
        <v/>
      </c>
      <c r="X90" s="31" t="str">
        <f t="shared" si="34"/>
        <v/>
      </c>
      <c r="Y90" s="31" t="str">
        <f t="shared" si="34"/>
        <v/>
      </c>
      <c r="Z90" s="31" t="str">
        <f t="shared" si="34"/>
        <v/>
      </c>
      <c r="AA90" s="31" t="str">
        <f t="shared" si="34"/>
        <v/>
      </c>
      <c r="AB90" s="31" t="str">
        <f t="shared" si="34"/>
        <v/>
      </c>
      <c r="AC90" s="31" t="str">
        <f t="shared" si="34"/>
        <v/>
      </c>
      <c r="AD90" s="31" t="str">
        <f t="shared" si="34"/>
        <v/>
      </c>
      <c r="AE90" s="31" t="str">
        <f t="shared" si="34"/>
        <v/>
      </c>
      <c r="AF90" s="31" t="str">
        <f t="shared" si="34"/>
        <v/>
      </c>
      <c r="AG90" s="31" t="str">
        <f t="shared" si="34"/>
        <v/>
      </c>
      <c r="AH90" s="31" t="str">
        <f t="shared" si="34"/>
        <v/>
      </c>
      <c r="AI90" s="31" t="str">
        <f t="shared" si="34"/>
        <v/>
      </c>
      <c r="AJ90" s="31" t="str">
        <f t="shared" si="34"/>
        <v/>
      </c>
      <c r="AK90" s="31" t="str">
        <f t="shared" si="34"/>
        <v/>
      </c>
      <c r="AL90" s="31" t="str">
        <f t="shared" si="34"/>
        <v/>
      </c>
      <c r="AM90" s="31" t="str">
        <f t="shared" ref="AM90:BD90" si="35">IFERROR(SEARCH($A90,AM$3),"")</f>
        <v/>
      </c>
      <c r="AN90" s="31" t="str">
        <f t="shared" si="35"/>
        <v/>
      </c>
      <c r="AO90" s="31" t="str">
        <f t="shared" si="35"/>
        <v/>
      </c>
      <c r="AP90" s="31" t="str">
        <f t="shared" si="35"/>
        <v/>
      </c>
      <c r="AQ90" s="31" t="str">
        <f t="shared" si="35"/>
        <v/>
      </c>
      <c r="AR90" s="40">
        <v>18</v>
      </c>
      <c r="AS90" s="40">
        <v>18</v>
      </c>
      <c r="AT90" s="31" t="str">
        <f t="shared" si="35"/>
        <v/>
      </c>
      <c r="AU90" s="31" t="str">
        <f t="shared" si="35"/>
        <v/>
      </c>
      <c r="AV90" s="31" t="str">
        <f t="shared" si="35"/>
        <v/>
      </c>
      <c r="AW90" s="31" t="str">
        <f t="shared" si="35"/>
        <v/>
      </c>
      <c r="AX90" s="31"/>
      <c r="AY90" s="31" t="str">
        <f t="shared" si="35"/>
        <v/>
      </c>
      <c r="AZ90" s="40">
        <v>1</v>
      </c>
      <c r="BA90" s="31" t="str">
        <f t="shared" si="35"/>
        <v/>
      </c>
      <c r="BB90" s="31">
        <f t="shared" si="28"/>
        <v>37</v>
      </c>
      <c r="BC90" s="31" t="str">
        <f t="shared" si="35"/>
        <v/>
      </c>
      <c r="BD90" s="31" t="str">
        <f t="shared" si="35"/>
        <v/>
      </c>
      <c r="BE90" s="31">
        <f t="shared" si="29"/>
        <v>0</v>
      </c>
      <c r="BF90" s="31">
        <f t="shared" si="30"/>
        <v>37</v>
      </c>
    </row>
    <row r="91" spans="1:58" ht="21" x14ac:dyDescent="0.25">
      <c r="A91" s="39" t="s">
        <v>220</v>
      </c>
      <c r="B91" s="33" t="str">
        <f>VLOOKUP(A91,Лист1!B:C,2,0)</f>
        <v>Планирует логистические операции, распределяет задачи в процессе реализации ключевых и поддерживающих функций логистики</v>
      </c>
      <c r="C91" s="31" t="str">
        <f>IFERROR(SEARCH($A91,C$3),"")</f>
        <v/>
      </c>
      <c r="D91" s="31" t="str">
        <f t="shared" ref="D91:BD91" si="36">IFERROR(SEARCH($A91,D$3),"")</f>
        <v/>
      </c>
      <c r="E91" s="31" t="str">
        <f t="shared" si="36"/>
        <v/>
      </c>
      <c r="F91" s="31" t="str">
        <f t="shared" si="36"/>
        <v/>
      </c>
      <c r="G91" s="31" t="str">
        <f t="shared" si="36"/>
        <v/>
      </c>
      <c r="H91" s="31" t="str">
        <f t="shared" si="36"/>
        <v/>
      </c>
      <c r="I91" s="31" t="str">
        <f t="shared" si="36"/>
        <v/>
      </c>
      <c r="J91" s="31" t="str">
        <f t="shared" si="36"/>
        <v/>
      </c>
      <c r="K91" s="31" t="str">
        <f t="shared" si="36"/>
        <v/>
      </c>
      <c r="L91" s="31" t="str">
        <f t="shared" si="36"/>
        <v/>
      </c>
      <c r="M91" s="31" t="str">
        <f t="shared" si="36"/>
        <v/>
      </c>
      <c r="N91" s="31" t="str">
        <f t="shared" si="36"/>
        <v/>
      </c>
      <c r="O91" s="31" t="str">
        <f t="shared" si="36"/>
        <v/>
      </c>
      <c r="P91" s="31" t="str">
        <f t="shared" si="36"/>
        <v/>
      </c>
      <c r="Q91" s="31" t="str">
        <f t="shared" si="36"/>
        <v/>
      </c>
      <c r="R91" s="31" t="str">
        <f t="shared" si="36"/>
        <v/>
      </c>
      <c r="S91" s="31" t="str">
        <f t="shared" si="36"/>
        <v/>
      </c>
      <c r="T91" s="31" t="str">
        <f t="shared" si="36"/>
        <v/>
      </c>
      <c r="U91" s="31" t="str">
        <f t="shared" si="36"/>
        <v/>
      </c>
      <c r="V91" s="31" t="str">
        <f t="shared" si="36"/>
        <v/>
      </c>
      <c r="W91" s="31" t="str">
        <f t="shared" si="36"/>
        <v/>
      </c>
      <c r="X91" s="31" t="str">
        <f t="shared" si="36"/>
        <v/>
      </c>
      <c r="Y91" s="31" t="str">
        <f t="shared" si="36"/>
        <v/>
      </c>
      <c r="Z91" s="31" t="str">
        <f t="shared" si="36"/>
        <v/>
      </c>
      <c r="AA91" s="31" t="str">
        <f t="shared" si="36"/>
        <v/>
      </c>
      <c r="AB91" s="31" t="str">
        <f t="shared" si="36"/>
        <v/>
      </c>
      <c r="AC91" s="31" t="str">
        <f t="shared" si="36"/>
        <v/>
      </c>
      <c r="AD91" s="31" t="str">
        <f t="shared" si="36"/>
        <v/>
      </c>
      <c r="AE91" s="40">
        <v>18</v>
      </c>
      <c r="AF91" s="31" t="str">
        <f t="shared" si="36"/>
        <v/>
      </c>
      <c r="AG91" s="31" t="str">
        <f t="shared" si="36"/>
        <v/>
      </c>
      <c r="AH91" s="31" t="str">
        <f t="shared" si="36"/>
        <v/>
      </c>
      <c r="AI91" s="31" t="str">
        <f t="shared" si="36"/>
        <v/>
      </c>
      <c r="AJ91" s="31" t="str">
        <f t="shared" si="36"/>
        <v/>
      </c>
      <c r="AK91" s="31" t="str">
        <f t="shared" si="36"/>
        <v/>
      </c>
      <c r="AL91" s="31" t="str">
        <f t="shared" si="36"/>
        <v/>
      </c>
      <c r="AM91" s="31" t="str">
        <f t="shared" si="36"/>
        <v/>
      </c>
      <c r="AN91" s="31" t="str">
        <f t="shared" si="36"/>
        <v/>
      </c>
      <c r="AO91" s="31" t="str">
        <f t="shared" si="36"/>
        <v/>
      </c>
      <c r="AP91" s="31" t="str">
        <f t="shared" si="36"/>
        <v/>
      </c>
      <c r="AQ91" s="31" t="str">
        <f t="shared" si="36"/>
        <v/>
      </c>
      <c r="AR91" s="31" t="str">
        <f t="shared" si="36"/>
        <v/>
      </c>
      <c r="AS91" s="31" t="str">
        <f t="shared" si="36"/>
        <v/>
      </c>
      <c r="AT91" s="31" t="str">
        <f t="shared" si="36"/>
        <v/>
      </c>
      <c r="AU91" s="31" t="str">
        <f t="shared" si="36"/>
        <v/>
      </c>
      <c r="AV91" s="31" t="str">
        <f t="shared" si="36"/>
        <v/>
      </c>
      <c r="AW91" s="31" t="str">
        <f t="shared" si="36"/>
        <v/>
      </c>
      <c r="AX91" s="40">
        <v>1</v>
      </c>
      <c r="AY91" s="31" t="str">
        <f t="shared" si="36"/>
        <v/>
      </c>
      <c r="AZ91" s="40">
        <v>1</v>
      </c>
      <c r="BA91" s="31" t="str">
        <f t="shared" si="36"/>
        <v/>
      </c>
      <c r="BB91" s="31">
        <f t="shared" si="28"/>
        <v>20</v>
      </c>
      <c r="BC91" s="31" t="str">
        <f t="shared" si="36"/>
        <v/>
      </c>
      <c r="BD91" s="31" t="str">
        <f t="shared" si="36"/>
        <v/>
      </c>
      <c r="BE91" s="31">
        <f t="shared" si="29"/>
        <v>0</v>
      </c>
      <c r="BF91" s="31">
        <f t="shared" si="30"/>
        <v>20</v>
      </c>
    </row>
    <row r="92" spans="1:58" s="38" customFormat="1" ht="21" x14ac:dyDescent="0.25">
      <c r="A92" s="36" t="s">
        <v>276</v>
      </c>
      <c r="B92" s="36" t="str">
        <f>VLOOKUP(A92,Лист1!B:C,2,0)</f>
        <v>Способен осуществлять контроль и управление системой организации пассажирских перевозок на железнодорожном транспорте</v>
      </c>
      <c r="C92" s="37" t="str">
        <f t="shared" si="5"/>
        <v/>
      </c>
      <c r="D92" s="37" t="str">
        <f t="shared" si="5"/>
        <v/>
      </c>
      <c r="E92" s="37" t="str">
        <f t="shared" si="5"/>
        <v/>
      </c>
      <c r="F92" s="37" t="str">
        <f t="shared" si="5"/>
        <v/>
      </c>
      <c r="G92" s="37" t="str">
        <f t="shared" si="5"/>
        <v/>
      </c>
      <c r="H92" s="37" t="str">
        <f t="shared" si="5"/>
        <v/>
      </c>
      <c r="I92" s="37" t="str">
        <f t="shared" si="5"/>
        <v/>
      </c>
      <c r="J92" s="37" t="str">
        <f t="shared" si="26"/>
        <v/>
      </c>
      <c r="K92" s="37" t="str">
        <f t="shared" si="26"/>
        <v/>
      </c>
      <c r="L92" s="37" t="str">
        <f t="shared" si="26"/>
        <v/>
      </c>
      <c r="M92" s="37" t="str">
        <f t="shared" si="26"/>
        <v/>
      </c>
      <c r="N92" s="37" t="str">
        <f t="shared" si="26"/>
        <v/>
      </c>
      <c r="O92" s="37" t="str">
        <f t="shared" si="26"/>
        <v/>
      </c>
      <c r="P92" s="37" t="str">
        <f t="shared" si="26"/>
        <v/>
      </c>
      <c r="Q92" s="37" t="str">
        <f t="shared" si="26"/>
        <v/>
      </c>
      <c r="R92" s="37" t="str">
        <f t="shared" si="26"/>
        <v/>
      </c>
      <c r="S92" s="37" t="str">
        <f t="shared" si="26"/>
        <v/>
      </c>
      <c r="T92" s="37" t="str">
        <f t="shared" si="26"/>
        <v/>
      </c>
      <c r="U92" s="37" t="str">
        <f t="shared" si="26"/>
        <v/>
      </c>
      <c r="V92" s="37" t="str">
        <f t="shared" si="26"/>
        <v/>
      </c>
      <c r="W92" s="37"/>
      <c r="X92" s="37" t="str">
        <f t="shared" si="26"/>
        <v/>
      </c>
      <c r="Y92" s="37" t="str">
        <f t="shared" si="26"/>
        <v/>
      </c>
      <c r="Z92" s="37" t="str">
        <f t="shared" si="26"/>
        <v/>
      </c>
      <c r="AA92" s="37" t="str">
        <f t="shared" si="26"/>
        <v/>
      </c>
      <c r="AB92" s="37"/>
      <c r="AC92" s="37" t="str">
        <f t="shared" si="26"/>
        <v/>
      </c>
      <c r="AD92" s="37" t="str">
        <f t="shared" si="26"/>
        <v/>
      </c>
      <c r="AE92" s="37" t="str">
        <f t="shared" si="26"/>
        <v/>
      </c>
      <c r="AF92" s="37" t="str">
        <f t="shared" si="26"/>
        <v/>
      </c>
      <c r="AG92" s="37" t="str">
        <f t="shared" si="26"/>
        <v/>
      </c>
      <c r="AH92" s="37" t="str">
        <f t="shared" si="26"/>
        <v/>
      </c>
      <c r="AI92" s="37" t="str">
        <f t="shared" si="26"/>
        <v/>
      </c>
      <c r="AJ92" s="37" t="str">
        <f t="shared" si="26"/>
        <v/>
      </c>
      <c r="AK92" s="37" t="str">
        <f t="shared" si="26"/>
        <v/>
      </c>
      <c r="AL92" s="37">
        <v>18</v>
      </c>
      <c r="AM92" s="37" t="str">
        <f t="shared" si="26"/>
        <v/>
      </c>
      <c r="AN92" s="37" t="str">
        <f t="shared" si="26"/>
        <v/>
      </c>
      <c r="AO92" s="37" t="str">
        <f t="shared" si="26"/>
        <v/>
      </c>
      <c r="AP92" s="37" t="str">
        <f t="shared" si="26"/>
        <v/>
      </c>
      <c r="AQ92" s="37" t="str">
        <f t="shared" si="26"/>
        <v/>
      </c>
      <c r="AR92" s="37" t="str">
        <f t="shared" si="26"/>
        <v/>
      </c>
      <c r="AS92" s="37" t="str">
        <f t="shared" si="26"/>
        <v/>
      </c>
      <c r="AT92" s="37" t="str">
        <f t="shared" si="26"/>
        <v/>
      </c>
      <c r="AU92" s="37" t="str">
        <f t="shared" si="26"/>
        <v/>
      </c>
      <c r="AV92" s="37" t="str">
        <f t="shared" si="26"/>
        <v/>
      </c>
      <c r="AW92" s="37" t="str">
        <f t="shared" si="26"/>
        <v/>
      </c>
      <c r="AX92" s="37" t="str">
        <f t="shared" si="26"/>
        <v/>
      </c>
      <c r="AY92" s="37" t="str">
        <f t="shared" si="26"/>
        <v/>
      </c>
      <c r="AZ92" s="37" t="str">
        <f t="shared" si="26"/>
        <v/>
      </c>
      <c r="BA92" s="37">
        <v>2</v>
      </c>
      <c r="BB92" s="37">
        <f t="shared" si="28"/>
        <v>20</v>
      </c>
      <c r="BC92" s="37" t="str">
        <f>IFERROR(SEARCH(_xlfn.CONCAT(" ",$A92),#REF!),"")</f>
        <v/>
      </c>
      <c r="BD92" s="37" t="str">
        <f>IFERROR(SEARCH(_xlfn.CONCAT(" ",$A92),#REF!),"")</f>
        <v/>
      </c>
      <c r="BE92" s="37">
        <f t="shared" si="29"/>
        <v>0</v>
      </c>
      <c r="BF92" s="37">
        <f t="shared" si="30"/>
        <v>20</v>
      </c>
    </row>
    <row r="93" spans="1:58" ht="21" x14ac:dyDescent="0.25">
      <c r="A93" s="39" t="s">
        <v>407</v>
      </c>
      <c r="B93" s="33" t="str">
        <f>VLOOKUP(A93,Лист1!B:C,2,0)</f>
        <v>Решает задачи, направленные на организацию пассажирских перевозок на железнодорожном транспорте</v>
      </c>
      <c r="C93" s="31" t="str">
        <f>IFERROR(SEARCH($A93,C$3),"")</f>
        <v/>
      </c>
      <c r="D93" s="31" t="str">
        <f t="shared" ref="D93:BD94" si="37">IFERROR(SEARCH($A93,D$3),"")</f>
        <v/>
      </c>
      <c r="E93" s="31" t="str">
        <f t="shared" si="37"/>
        <v/>
      </c>
      <c r="F93" s="31" t="str">
        <f t="shared" si="37"/>
        <v/>
      </c>
      <c r="G93" s="31" t="str">
        <f t="shared" si="37"/>
        <v/>
      </c>
      <c r="H93" s="31" t="str">
        <f t="shared" si="37"/>
        <v/>
      </c>
      <c r="I93" s="31" t="str">
        <f t="shared" si="37"/>
        <v/>
      </c>
      <c r="J93" s="31" t="str">
        <f t="shared" si="37"/>
        <v/>
      </c>
      <c r="K93" s="31" t="str">
        <f t="shared" si="37"/>
        <v/>
      </c>
      <c r="L93" s="31" t="str">
        <f t="shared" si="37"/>
        <v/>
      </c>
      <c r="M93" s="31" t="str">
        <f t="shared" si="37"/>
        <v/>
      </c>
      <c r="N93" s="31" t="str">
        <f t="shared" si="37"/>
        <v/>
      </c>
      <c r="O93" s="31" t="str">
        <f t="shared" si="37"/>
        <v/>
      </c>
      <c r="P93" s="31" t="str">
        <f t="shared" si="37"/>
        <v/>
      </c>
      <c r="Q93" s="31" t="str">
        <f t="shared" si="37"/>
        <v/>
      </c>
      <c r="R93" s="31" t="str">
        <f t="shared" si="37"/>
        <v/>
      </c>
      <c r="S93" s="31" t="str">
        <f t="shared" si="37"/>
        <v/>
      </c>
      <c r="T93" s="31" t="str">
        <f t="shared" si="37"/>
        <v/>
      </c>
      <c r="U93" s="31" t="str">
        <f t="shared" si="37"/>
        <v/>
      </c>
      <c r="V93" s="31" t="str">
        <f t="shared" si="37"/>
        <v/>
      </c>
      <c r="W93" s="31" t="str">
        <f t="shared" si="37"/>
        <v/>
      </c>
      <c r="X93" s="31" t="str">
        <f t="shared" si="37"/>
        <v/>
      </c>
      <c r="Y93" s="31" t="str">
        <f t="shared" si="37"/>
        <v/>
      </c>
      <c r="Z93" s="31" t="str">
        <f t="shared" si="37"/>
        <v/>
      </c>
      <c r="AA93" s="31" t="str">
        <f t="shared" si="37"/>
        <v/>
      </c>
      <c r="AB93" s="31"/>
      <c r="AC93" s="31" t="str">
        <f t="shared" si="37"/>
        <v/>
      </c>
      <c r="AD93" s="31" t="str">
        <f t="shared" si="37"/>
        <v/>
      </c>
      <c r="AE93" s="31" t="str">
        <f t="shared" si="37"/>
        <v/>
      </c>
      <c r="AF93" s="31" t="str">
        <f t="shared" si="37"/>
        <v/>
      </c>
      <c r="AG93" s="31" t="str">
        <f t="shared" si="37"/>
        <v/>
      </c>
      <c r="AH93" s="31" t="str">
        <f t="shared" si="37"/>
        <v/>
      </c>
      <c r="AI93" s="31" t="str">
        <f t="shared" si="37"/>
        <v/>
      </c>
      <c r="AJ93" s="31" t="str">
        <f t="shared" si="37"/>
        <v/>
      </c>
      <c r="AK93" s="31" t="str">
        <f t="shared" si="37"/>
        <v/>
      </c>
      <c r="AL93" s="40">
        <v>9</v>
      </c>
      <c r="AM93" s="31" t="str">
        <f t="shared" si="37"/>
        <v/>
      </c>
      <c r="AN93" s="31" t="str">
        <f t="shared" si="37"/>
        <v/>
      </c>
      <c r="AO93" s="31" t="str">
        <f t="shared" si="37"/>
        <v/>
      </c>
      <c r="AP93" s="31" t="str">
        <f t="shared" si="37"/>
        <v/>
      </c>
      <c r="AQ93" s="31" t="str">
        <f t="shared" si="37"/>
        <v/>
      </c>
      <c r="AR93" s="31" t="str">
        <f t="shared" si="37"/>
        <v/>
      </c>
      <c r="AS93" s="31" t="str">
        <f t="shared" si="37"/>
        <v/>
      </c>
      <c r="AT93" s="31" t="str">
        <f t="shared" si="37"/>
        <v/>
      </c>
      <c r="AU93" s="31" t="str">
        <f t="shared" si="37"/>
        <v/>
      </c>
      <c r="AV93" s="31" t="str">
        <f t="shared" si="37"/>
        <v/>
      </c>
      <c r="AW93" s="31" t="str">
        <f t="shared" si="37"/>
        <v/>
      </c>
      <c r="AX93" s="31" t="str">
        <f t="shared" si="37"/>
        <v/>
      </c>
      <c r="AY93" s="31" t="str">
        <f t="shared" si="37"/>
        <v/>
      </c>
      <c r="AZ93" s="31" t="str">
        <f t="shared" si="37"/>
        <v/>
      </c>
      <c r="BA93" s="40">
        <v>1</v>
      </c>
      <c r="BB93" s="31">
        <f t="shared" si="28"/>
        <v>10</v>
      </c>
      <c r="BC93" s="31" t="str">
        <f t="shared" si="37"/>
        <v/>
      </c>
      <c r="BD93" s="31" t="str">
        <f t="shared" si="37"/>
        <v/>
      </c>
      <c r="BE93" s="31">
        <f t="shared" si="29"/>
        <v>0</v>
      </c>
      <c r="BF93" s="31">
        <f t="shared" si="30"/>
        <v>10</v>
      </c>
    </row>
    <row r="94" spans="1:58" ht="21" x14ac:dyDescent="0.25">
      <c r="A94" s="39" t="s">
        <v>409</v>
      </c>
      <c r="B94" s="33" t="str">
        <f>VLOOKUP(A94,Лист1!B:C,2,0)</f>
        <v>Решает задачи, направленные на организацию работы и эксплуатацию вокзальных комплексов, транспортно-пересадочных узлов</v>
      </c>
      <c r="C94" s="31" t="str">
        <f>IFERROR(SEARCH($A94,C$3),"")</f>
        <v/>
      </c>
      <c r="D94" s="31" t="str">
        <f t="shared" si="37"/>
        <v/>
      </c>
      <c r="E94" s="31" t="str">
        <f t="shared" si="37"/>
        <v/>
      </c>
      <c r="F94" s="31" t="str">
        <f t="shared" si="37"/>
        <v/>
      </c>
      <c r="G94" s="31" t="str">
        <f t="shared" si="37"/>
        <v/>
      </c>
      <c r="H94" s="31" t="str">
        <f t="shared" si="37"/>
        <v/>
      </c>
      <c r="I94" s="31" t="str">
        <f t="shared" si="37"/>
        <v/>
      </c>
      <c r="J94" s="31" t="str">
        <f t="shared" si="37"/>
        <v/>
      </c>
      <c r="K94" s="31" t="str">
        <f t="shared" si="37"/>
        <v/>
      </c>
      <c r="L94" s="31" t="str">
        <f t="shared" si="37"/>
        <v/>
      </c>
      <c r="M94" s="31" t="str">
        <f t="shared" si="37"/>
        <v/>
      </c>
      <c r="N94" s="31" t="str">
        <f t="shared" si="37"/>
        <v/>
      </c>
      <c r="O94" s="31" t="str">
        <f t="shared" si="37"/>
        <v/>
      </c>
      <c r="P94" s="31" t="str">
        <f t="shared" si="37"/>
        <v/>
      </c>
      <c r="Q94" s="31" t="str">
        <f t="shared" si="37"/>
        <v/>
      </c>
      <c r="R94" s="31" t="str">
        <f t="shared" si="37"/>
        <v/>
      </c>
      <c r="S94" s="31" t="str">
        <f t="shared" si="37"/>
        <v/>
      </c>
      <c r="T94" s="31" t="str">
        <f t="shared" si="37"/>
        <v/>
      </c>
      <c r="U94" s="31" t="str">
        <f t="shared" si="37"/>
        <v/>
      </c>
      <c r="V94" s="31" t="str">
        <f t="shared" si="37"/>
        <v/>
      </c>
      <c r="W94" s="31"/>
      <c r="X94" s="31" t="str">
        <f t="shared" si="37"/>
        <v/>
      </c>
      <c r="Y94" s="31" t="str">
        <f t="shared" si="37"/>
        <v/>
      </c>
      <c r="Z94" s="31" t="str">
        <f t="shared" si="37"/>
        <v/>
      </c>
      <c r="AA94" s="31" t="str">
        <f t="shared" si="37"/>
        <v/>
      </c>
      <c r="AB94" s="31" t="str">
        <f t="shared" si="37"/>
        <v/>
      </c>
      <c r="AC94" s="31" t="str">
        <f t="shared" si="37"/>
        <v/>
      </c>
      <c r="AD94" s="31" t="str">
        <f t="shared" si="37"/>
        <v/>
      </c>
      <c r="AE94" s="31" t="str">
        <f t="shared" si="37"/>
        <v/>
      </c>
      <c r="AF94" s="31" t="str">
        <f t="shared" si="37"/>
        <v/>
      </c>
      <c r="AG94" s="31" t="str">
        <f t="shared" si="37"/>
        <v/>
      </c>
      <c r="AH94" s="31" t="str">
        <f t="shared" si="37"/>
        <v/>
      </c>
      <c r="AI94" s="31" t="str">
        <f t="shared" si="37"/>
        <v/>
      </c>
      <c r="AJ94" s="31" t="str">
        <f t="shared" si="37"/>
        <v/>
      </c>
      <c r="AK94" s="31" t="str">
        <f t="shared" si="37"/>
        <v/>
      </c>
      <c r="AL94" s="40">
        <f t="shared" si="37"/>
        <v>9</v>
      </c>
      <c r="AM94" s="31" t="str">
        <f t="shared" si="37"/>
        <v/>
      </c>
      <c r="AN94" s="31" t="str">
        <f t="shared" si="37"/>
        <v/>
      </c>
      <c r="AO94" s="31" t="str">
        <f t="shared" si="37"/>
        <v/>
      </c>
      <c r="AP94" s="31" t="str">
        <f t="shared" si="37"/>
        <v/>
      </c>
      <c r="AQ94" s="31" t="str">
        <f t="shared" si="37"/>
        <v/>
      </c>
      <c r="AR94" s="31" t="str">
        <f t="shared" si="37"/>
        <v/>
      </c>
      <c r="AS94" s="31" t="str">
        <f t="shared" si="37"/>
        <v/>
      </c>
      <c r="AT94" s="31" t="str">
        <f t="shared" si="37"/>
        <v/>
      </c>
      <c r="AU94" s="31" t="str">
        <f t="shared" si="37"/>
        <v/>
      </c>
      <c r="AV94" s="31" t="str">
        <f t="shared" si="37"/>
        <v/>
      </c>
      <c r="AW94" s="31" t="str">
        <f t="shared" si="37"/>
        <v/>
      </c>
      <c r="AX94" s="31" t="str">
        <f t="shared" si="37"/>
        <v/>
      </c>
      <c r="AY94" s="31" t="str">
        <f t="shared" si="37"/>
        <v/>
      </c>
      <c r="AZ94" s="31" t="str">
        <f t="shared" si="37"/>
        <v/>
      </c>
      <c r="BA94" s="40">
        <v>1</v>
      </c>
      <c r="BB94" s="31">
        <f t="shared" si="28"/>
        <v>10</v>
      </c>
      <c r="BC94" s="31" t="str">
        <f t="shared" si="37"/>
        <v/>
      </c>
      <c r="BD94" s="31" t="str">
        <f t="shared" si="37"/>
        <v/>
      </c>
      <c r="BE94" s="31">
        <f t="shared" si="29"/>
        <v>0</v>
      </c>
      <c r="BF94" s="31">
        <f t="shared" si="30"/>
        <v>10</v>
      </c>
    </row>
    <row r="95" spans="1:58" ht="31.5" x14ac:dyDescent="0.25">
      <c r="A95" s="33" t="s">
        <v>144</v>
      </c>
      <c r="B95" s="33"/>
      <c r="C95" s="31">
        <f>SUM(C4,C7,C10,C13,C18,C22,C25,C29,C33,C36,C39,C42,C48,C53,C56,C61,C65,C68,C73,C78,C81,C86,C92)</f>
        <v>18</v>
      </c>
      <c r="D95" s="31">
        <f t="shared" ref="D95:BF95" si="38">SUM(D4,D7,D10,D13,D18,D22,D25,D29,D33,D36,D39,D42,D48,D53,D56,D61,D65,D68,D73,D78,D81,D86,D92)</f>
        <v>18</v>
      </c>
      <c r="E95" s="31">
        <f t="shared" si="38"/>
        <v>18</v>
      </c>
      <c r="F95" s="31">
        <f t="shared" si="38"/>
        <v>18</v>
      </c>
      <c r="G95" s="31">
        <f t="shared" si="38"/>
        <v>18</v>
      </c>
      <c r="H95" s="31">
        <f t="shared" si="38"/>
        <v>18</v>
      </c>
      <c r="I95" s="31">
        <f t="shared" si="38"/>
        <v>18</v>
      </c>
      <c r="J95" s="31">
        <f t="shared" si="38"/>
        <v>18</v>
      </c>
      <c r="K95" s="31">
        <f t="shared" si="38"/>
        <v>18</v>
      </c>
      <c r="L95" s="31">
        <f t="shared" si="38"/>
        <v>18</v>
      </c>
      <c r="M95" s="31">
        <f t="shared" si="38"/>
        <v>18</v>
      </c>
      <c r="N95" s="31">
        <f t="shared" si="38"/>
        <v>18</v>
      </c>
      <c r="O95" s="31">
        <f t="shared" si="38"/>
        <v>18</v>
      </c>
      <c r="P95" s="31">
        <f t="shared" si="38"/>
        <v>18</v>
      </c>
      <c r="Q95" s="31">
        <f t="shared" si="38"/>
        <v>18</v>
      </c>
      <c r="R95" s="31">
        <f t="shared" si="38"/>
        <v>20</v>
      </c>
      <c r="S95" s="31">
        <f t="shared" si="38"/>
        <v>18</v>
      </c>
      <c r="T95" s="31">
        <f t="shared" si="38"/>
        <v>20</v>
      </c>
      <c r="U95" s="31">
        <f t="shared" si="38"/>
        <v>18</v>
      </c>
      <c r="V95" s="31">
        <f t="shared" si="38"/>
        <v>22</v>
      </c>
      <c r="W95" s="31">
        <f t="shared" si="38"/>
        <v>32</v>
      </c>
      <c r="X95" s="31">
        <f t="shared" si="38"/>
        <v>18</v>
      </c>
      <c r="Y95" s="31">
        <f t="shared" si="38"/>
        <v>18</v>
      </c>
      <c r="Z95" s="31">
        <f t="shared" si="38"/>
        <v>18</v>
      </c>
      <c r="AA95" s="31">
        <f t="shared" si="38"/>
        <v>18</v>
      </c>
      <c r="AB95" s="31">
        <f t="shared" si="38"/>
        <v>18</v>
      </c>
      <c r="AC95" s="31">
        <f t="shared" si="38"/>
        <v>18</v>
      </c>
      <c r="AD95" s="31">
        <f t="shared" si="38"/>
        <v>18</v>
      </c>
      <c r="AE95" s="31">
        <f t="shared" si="38"/>
        <v>18</v>
      </c>
      <c r="AF95" s="31">
        <f t="shared" si="38"/>
        <v>18</v>
      </c>
      <c r="AG95" s="31">
        <f t="shared" si="38"/>
        <v>18</v>
      </c>
      <c r="AH95" s="31">
        <f t="shared" si="38"/>
        <v>18</v>
      </c>
      <c r="AI95" s="31">
        <f t="shared" si="38"/>
        <v>18</v>
      </c>
      <c r="AJ95" s="31">
        <f t="shared" si="38"/>
        <v>18</v>
      </c>
      <c r="AK95" s="31">
        <f t="shared" si="38"/>
        <v>18</v>
      </c>
      <c r="AL95" s="31">
        <f t="shared" si="38"/>
        <v>18</v>
      </c>
      <c r="AM95" s="31">
        <f t="shared" si="38"/>
        <v>18</v>
      </c>
      <c r="AN95" s="31">
        <f t="shared" si="38"/>
        <v>18</v>
      </c>
      <c r="AO95" s="31">
        <f t="shared" si="38"/>
        <v>18</v>
      </c>
      <c r="AP95" s="31">
        <f t="shared" si="38"/>
        <v>18</v>
      </c>
      <c r="AQ95" s="31">
        <f t="shared" si="38"/>
        <v>18</v>
      </c>
      <c r="AR95" s="31">
        <f t="shared" si="38"/>
        <v>18</v>
      </c>
      <c r="AS95" s="31">
        <f t="shared" si="38"/>
        <v>18</v>
      </c>
      <c r="AT95" s="31">
        <f t="shared" si="38"/>
        <v>18</v>
      </c>
      <c r="AU95" s="31">
        <f t="shared" si="38"/>
        <v>18</v>
      </c>
      <c r="AV95" s="31">
        <f t="shared" si="38"/>
        <v>18</v>
      </c>
      <c r="AW95" s="31">
        <f t="shared" si="38"/>
        <v>18</v>
      </c>
      <c r="AX95" s="31">
        <f t="shared" si="38"/>
        <v>4</v>
      </c>
      <c r="AY95" s="31">
        <f t="shared" si="38"/>
        <v>8</v>
      </c>
      <c r="AZ95" s="31">
        <f t="shared" si="38"/>
        <v>8</v>
      </c>
      <c r="BA95" s="31">
        <f t="shared" si="38"/>
        <v>10</v>
      </c>
      <c r="BB95" s="31">
        <f t="shared" si="38"/>
        <v>898</v>
      </c>
      <c r="BC95" s="31">
        <f t="shared" si="38"/>
        <v>18</v>
      </c>
      <c r="BD95" s="31">
        <f t="shared" si="38"/>
        <v>18</v>
      </c>
      <c r="BE95" s="31">
        <f t="shared" si="38"/>
        <v>36</v>
      </c>
      <c r="BF95" s="31">
        <f t="shared" si="38"/>
        <v>934</v>
      </c>
    </row>
  </sheetData>
  <mergeCells count="5">
    <mergeCell ref="BB1:BB3"/>
    <mergeCell ref="BE1:BE3"/>
    <mergeCell ref="BF1:BF3"/>
    <mergeCell ref="A1:A3"/>
    <mergeCell ref="B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38071-7BBD-408A-9B80-97AAC2DEA58A}">
  <dimension ref="A1:G269"/>
  <sheetViews>
    <sheetView topLeftCell="A28" zoomScale="55" zoomScaleNormal="55" workbookViewId="0">
      <selection activeCell="C1" sqref="C1:C269"/>
    </sheetView>
    <sheetView tabSelected="1" topLeftCell="C1" zoomScale="175" zoomScaleNormal="175" workbookViewId="1">
      <selection activeCell="D91" sqref="D1:D91"/>
    </sheetView>
  </sheetViews>
  <sheetFormatPr defaultRowHeight="15" x14ac:dyDescent="0.25"/>
  <cols>
    <col min="3" max="3" width="255.7109375" bestFit="1" customWidth="1"/>
  </cols>
  <sheetData>
    <row r="1" spans="1:7" x14ac:dyDescent="0.25">
      <c r="A1" t="s">
        <v>50</v>
      </c>
      <c r="B1" t="s">
        <v>50</v>
      </c>
      <c r="C1" t="str">
        <f>VLOOKUP(B1,F:G,2,0)</f>
        <v>Способен осуществлять поиск, критический анализ и синтез информации, применять системный подход для решения поставленных задач</v>
      </c>
      <c r="D1" t="s">
        <v>0</v>
      </c>
      <c r="G1" t="s">
        <v>49</v>
      </c>
    </row>
    <row r="2" spans="1:7" x14ac:dyDescent="0.25">
      <c r="B2" t="s">
        <v>52</v>
      </c>
      <c r="C2" t="str">
        <f t="shared" ref="C2:C65" si="0">VLOOKUP(B2,F:G,2,0)</f>
        <v>Осуществляет поиск информации, критически оценивает надежность источников информации, работает с противоречивой информацией из разных источников</v>
      </c>
      <c r="D2" t="s">
        <v>50</v>
      </c>
      <c r="F2" t="str">
        <f>_xlfn.CONCAT(D2,E2)</f>
        <v>УК-1</v>
      </c>
      <c r="G2" t="s">
        <v>277</v>
      </c>
    </row>
    <row r="3" spans="1:7" x14ac:dyDescent="0.25">
      <c r="B3" t="s">
        <v>54</v>
      </c>
      <c r="C3" t="str">
        <f t="shared" si="0"/>
        <v>Анализирует проблемную ситуацию, выявляет ее составляющие и связи между ними, формулирует и аргументирует выводы и суждения</v>
      </c>
      <c r="E3" t="s">
        <v>52</v>
      </c>
      <c r="F3" t="str">
        <f t="shared" ref="F3:F66" si="1">_xlfn.CONCAT(D3,E3)</f>
        <v>УК-1.1</v>
      </c>
      <c r="G3" t="s">
        <v>278</v>
      </c>
    </row>
    <row r="4" spans="1:7" x14ac:dyDescent="0.25">
      <c r="A4" t="s">
        <v>56</v>
      </c>
      <c r="B4" t="s">
        <v>56</v>
      </c>
      <c r="C4" t="str">
        <f t="shared" si="0"/>
        <v>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</v>
      </c>
      <c r="F4" t="str">
        <f t="shared" si="1"/>
        <v/>
      </c>
      <c r="G4" t="s">
        <v>145</v>
      </c>
    </row>
    <row r="5" spans="1:7" x14ac:dyDescent="0.25">
      <c r="B5" t="s">
        <v>58</v>
      </c>
      <c r="C5" t="str">
        <f t="shared" si="0"/>
        <v>Решает ситуационные задачи с учетом трудовых и социальных факторов в рамках нормативно-правового регулирования</v>
      </c>
      <c r="F5" t="str">
        <f t="shared" si="1"/>
        <v/>
      </c>
      <c r="G5" t="s">
        <v>279</v>
      </c>
    </row>
    <row r="6" spans="1:7" x14ac:dyDescent="0.25">
      <c r="B6" t="s">
        <v>60</v>
      </c>
      <c r="C6" t="str">
        <f t="shared" si="0"/>
        <v>Формулирует проектную задачу, определяет способы ее решения средствами проектного управления</v>
      </c>
      <c r="E6" t="s">
        <v>54</v>
      </c>
      <c r="F6" t="str">
        <f t="shared" si="1"/>
        <v>УК-1.2</v>
      </c>
      <c r="G6" t="s">
        <v>280</v>
      </c>
    </row>
    <row r="7" spans="1:7" x14ac:dyDescent="0.25">
      <c r="A7" t="s">
        <v>62</v>
      </c>
      <c r="B7" t="s">
        <v>62</v>
      </c>
      <c r="C7" t="str">
        <f t="shared" si="0"/>
        <v>Способен осуществлять социальное взаимодействие и реализовывать свою роль в команде</v>
      </c>
      <c r="F7" t="str">
        <f t="shared" si="1"/>
        <v/>
      </c>
      <c r="G7" t="s">
        <v>145</v>
      </c>
    </row>
    <row r="8" spans="1:7" x14ac:dyDescent="0.25">
      <c r="B8" t="s">
        <v>285</v>
      </c>
      <c r="C8" t="str">
        <f t="shared" si="0"/>
        <v>Организует и координирует работу команды с учетом интересов, особенностей поведения и мнения её членов</v>
      </c>
      <c r="F8" t="str">
        <f t="shared" si="1"/>
        <v/>
      </c>
      <c r="G8" t="s">
        <v>279</v>
      </c>
    </row>
    <row r="9" spans="1:7" x14ac:dyDescent="0.25">
      <c r="B9" t="s">
        <v>287</v>
      </c>
      <c r="C9" t="str">
        <f t="shared" si="0"/>
        <v>Вырабатывает командную стратегию для достижения поставленной цели</v>
      </c>
      <c r="D9" t="s">
        <v>56</v>
      </c>
      <c r="F9" t="str">
        <f t="shared" si="1"/>
        <v>УК-2</v>
      </c>
      <c r="G9" t="s">
        <v>281</v>
      </c>
    </row>
    <row r="10" spans="1:7" x14ac:dyDescent="0.25">
      <c r="A10" t="s">
        <v>66</v>
      </c>
      <c r="B10" t="s">
        <v>66</v>
      </c>
      <c r="C10" t="str">
        <f t="shared" si="0"/>
        <v>Способен осуществлять деловую коммуникацию в устной и письменной формах на государственном языке Российской Федерации и иностранном(ых) языке(ах)</v>
      </c>
      <c r="E10" t="s">
        <v>58</v>
      </c>
      <c r="F10" t="str">
        <f t="shared" si="1"/>
        <v>УК-2.1</v>
      </c>
      <c r="G10" t="s">
        <v>282</v>
      </c>
    </row>
    <row r="11" spans="1:7" x14ac:dyDescent="0.25">
      <c r="B11" t="s">
        <v>290</v>
      </c>
      <c r="C11" t="str">
        <f t="shared" si="0"/>
        <v>Отбирает и использует средства русского языка в соответствии с языковыми нормами в целях построения эффективной академической и профессиональной коммуникации</v>
      </c>
      <c r="F11" t="str">
        <f t="shared" si="1"/>
        <v/>
      </c>
      <c r="G11" t="s">
        <v>160</v>
      </c>
    </row>
    <row r="12" spans="1:7" x14ac:dyDescent="0.25">
      <c r="B12" t="s">
        <v>292</v>
      </c>
      <c r="C12" t="str">
        <f t="shared" si="0"/>
        <v>Осуществляет академическое и деловое взаимодействие в различных жанрах и формах с использованием современных коммуникативных технологий</v>
      </c>
      <c r="F12" t="str">
        <f t="shared" si="1"/>
        <v/>
      </c>
      <c r="G12" t="s">
        <v>170</v>
      </c>
    </row>
    <row r="13" spans="1:7" x14ac:dyDescent="0.25">
      <c r="B13" t="s">
        <v>294</v>
      </c>
      <c r="C13" t="str">
        <f t="shared" si="0"/>
        <v>Применяет современные коммуникативные технологии для академического взаимодействия на иностранном(ых) языке(ах)</v>
      </c>
      <c r="F13" t="str">
        <f t="shared" si="1"/>
        <v/>
      </c>
      <c r="G13" t="s">
        <v>279</v>
      </c>
    </row>
    <row r="14" spans="1:7" x14ac:dyDescent="0.25">
      <c r="B14" t="s">
        <v>296</v>
      </c>
      <c r="C14" t="str">
        <f t="shared" si="0"/>
        <v>Применяет современные коммуникативные технологии для профессионального взаимодействия на иностранном(ых) языке(ах)</v>
      </c>
      <c r="E14" t="s">
        <v>60</v>
      </c>
      <c r="F14" t="str">
        <f t="shared" si="1"/>
        <v>УК-2.2</v>
      </c>
      <c r="G14" t="s">
        <v>283</v>
      </c>
    </row>
    <row r="15" spans="1:7" x14ac:dyDescent="0.25">
      <c r="A15" t="s">
        <v>70</v>
      </c>
      <c r="B15" t="s">
        <v>70</v>
      </c>
      <c r="C15" t="str">
        <f t="shared" si="0"/>
        <v>Способен воспринимать межкультурное разнообразие общества в социально-историческом, этическом и философском контекстах</v>
      </c>
      <c r="F15" t="str">
        <f t="shared" si="1"/>
        <v/>
      </c>
      <c r="G15" t="s">
        <v>164</v>
      </c>
    </row>
    <row r="16" spans="1:7" x14ac:dyDescent="0.25">
      <c r="B16" t="s">
        <v>72</v>
      </c>
      <c r="C16" t="str">
        <f t="shared" si="0"/>
        <v xml:space="preserve">Анализирует идеологические и ценностные системы в контексте исторического развития общества, обосновывает актуальность их использования при социальном и профессиональном взаимодействии </v>
      </c>
      <c r="F16" t="str">
        <f t="shared" si="1"/>
        <v/>
      </c>
      <c r="G16" t="s">
        <v>279</v>
      </c>
    </row>
    <row r="17" spans="1:7" x14ac:dyDescent="0.25">
      <c r="B17" t="s">
        <v>300</v>
      </c>
      <c r="C17" t="str">
        <f t="shared" si="0"/>
        <v>Выявляет современные тенденции исторического развития России с учетом геополитической обстановки</v>
      </c>
      <c r="F17" t="str">
        <f t="shared" si="1"/>
        <v/>
      </c>
      <c r="G17" t="s">
        <v>193</v>
      </c>
    </row>
    <row r="18" spans="1:7" x14ac:dyDescent="0.25">
      <c r="B18" t="s">
        <v>201</v>
      </c>
      <c r="C18" t="str">
        <f t="shared" si="0"/>
        <v>Выстраивает социальное и профессиональное взаимодействие с учетом особенностей основных форм научного и религиозного сознания, деловой и общей культуры представителей различных социальных групп, этносов и конфессий</v>
      </c>
      <c r="D18" t="s">
        <v>62</v>
      </c>
      <c r="F18" t="str">
        <f t="shared" si="1"/>
        <v>УК-3</v>
      </c>
      <c r="G18" t="s">
        <v>284</v>
      </c>
    </row>
    <row r="19" spans="1:7" x14ac:dyDescent="0.25">
      <c r="A19" t="s">
        <v>75</v>
      </c>
      <c r="B19" t="s">
        <v>75</v>
      </c>
      <c r="C19" t="str">
        <f t="shared" si="0"/>
        <v>Способен управлять своим временем, выстраивать и реализовывать траекторию саморазвития на основе принципов образования в течение всей жизни</v>
      </c>
      <c r="E19" t="s">
        <v>285</v>
      </c>
      <c r="F19" t="str">
        <f t="shared" si="1"/>
        <v>УК-3.1</v>
      </c>
      <c r="G19" t="s">
        <v>286</v>
      </c>
    </row>
    <row r="20" spans="1:7" x14ac:dyDescent="0.25">
      <c r="B20" t="s">
        <v>304</v>
      </c>
      <c r="C20" t="str">
        <f t="shared" si="0"/>
        <v>Определяет цели и задачи саморазвития и профессионального роста на основе оценки временных и личностных ресурсов</v>
      </c>
      <c r="F20" t="str">
        <f t="shared" si="1"/>
        <v/>
      </c>
      <c r="G20" t="s">
        <v>164</v>
      </c>
    </row>
    <row r="21" spans="1:7" x14ac:dyDescent="0.25">
      <c r="B21" t="s">
        <v>306</v>
      </c>
      <c r="C21" t="str">
        <f t="shared" si="0"/>
        <v>Использует основные возможности и инструменты непрерывного образования (образования в течение всей жизни) для реализации траектории саморазвития</v>
      </c>
      <c r="F21" t="str">
        <f t="shared" si="1"/>
        <v/>
      </c>
      <c r="G21" t="s">
        <v>279</v>
      </c>
    </row>
    <row r="22" spans="1:7" x14ac:dyDescent="0.25">
      <c r="A22" t="s">
        <v>270</v>
      </c>
      <c r="B22" t="s">
        <v>270</v>
      </c>
      <c r="C22" t="str">
        <f t="shared" si="0"/>
        <v>Способен поддерживать должный уровень физической подготовленности для обеспечения полноценной социальной и профессиональной деятельности</v>
      </c>
      <c r="E22" t="s">
        <v>287</v>
      </c>
      <c r="F22" t="str">
        <f t="shared" si="1"/>
        <v>УК-3.2</v>
      </c>
      <c r="G22" t="s">
        <v>288</v>
      </c>
    </row>
    <row r="23" spans="1:7" x14ac:dyDescent="0.25">
      <c r="B23" t="s">
        <v>309</v>
      </c>
      <c r="C23" t="str">
        <f t="shared" si="0"/>
        <v>Идентифицирует и анализирует социально-биологические и методические основы физического воспитания, здорового образа жизни, профессионально-прикладной физической подготовки</v>
      </c>
      <c r="F23" t="str">
        <f t="shared" si="1"/>
        <v/>
      </c>
      <c r="G23" t="s">
        <v>164</v>
      </c>
    </row>
    <row r="24" spans="1:7" x14ac:dyDescent="0.25">
      <c r="B24" t="s">
        <v>311</v>
      </c>
      <c r="C24" t="str">
        <f t="shared" si="0"/>
        <v>Выбирает способы оценки и контроля уровня физического развития, физической и профессионально-прикладной подготовленности, показателей работоспособности и здоровья, с учетом физиологических особенностей организма</v>
      </c>
      <c r="F24" t="str">
        <f t="shared" si="1"/>
        <v/>
      </c>
      <c r="G24" t="s">
        <v>279</v>
      </c>
    </row>
    <row r="25" spans="1:7" x14ac:dyDescent="0.25">
      <c r="B25" t="s">
        <v>219</v>
      </c>
      <c r="C25" t="str">
        <f t="shared" si="0"/>
        <v>Соблюдает нормы здорового образа жизни, поддерживает должный уровень физической подготовленности для обеспечения полноценной социальной и профессиональной деятельности</v>
      </c>
      <c r="D25" t="s">
        <v>66</v>
      </c>
      <c r="F25" t="str">
        <f t="shared" si="1"/>
        <v>УК-4</v>
      </c>
      <c r="G25" t="s">
        <v>289</v>
      </c>
    </row>
    <row r="26" spans="1:7" x14ac:dyDescent="0.25">
      <c r="A26" t="s">
        <v>271</v>
      </c>
      <c r="B26" t="s">
        <v>271</v>
      </c>
      <c r="C26" t="str">
        <f t="shared" si="0"/>
        <v>Способен создавать и поддерживать в повседневной жизни и в профессиональной деятельности безопасные условия жизнедеятельности для сохранения природной среды, обеспечения устойчивого развития общества, в том числе при угрозе и возникновении чрезвычайных ситуаций и военных конфликтов</v>
      </c>
      <c r="E26" t="s">
        <v>290</v>
      </c>
      <c r="F26" t="str">
        <f t="shared" si="1"/>
        <v>УК-4.1</v>
      </c>
      <c r="G26" t="s">
        <v>291</v>
      </c>
    </row>
    <row r="27" spans="1:7" x14ac:dyDescent="0.25">
      <c r="B27" t="s">
        <v>315</v>
      </c>
      <c r="C27" t="str">
        <f t="shared" si="0"/>
        <v>Идентифицирует и анализирует факторы вредного влияния элементов среды обитания (технических средств, технологических процессов, материалов, зданий и сооружений, природных и социальных явлений)</v>
      </c>
      <c r="F27" t="str">
        <f t="shared" si="1"/>
        <v/>
      </c>
      <c r="G27" t="s">
        <v>157</v>
      </c>
    </row>
    <row r="28" spans="1:7" x14ac:dyDescent="0.25">
      <c r="B28" t="s">
        <v>317</v>
      </c>
      <c r="C28" t="str">
        <f t="shared" si="0"/>
        <v>Определяет алгоритм действий по обеспечению безопасных условий жизнедеятельности при угрозе и возникновении чрезвычайных ситуаций и военных конфликтов</v>
      </c>
      <c r="F28" t="str">
        <f t="shared" si="1"/>
        <v/>
      </c>
      <c r="G28" t="s">
        <v>279</v>
      </c>
    </row>
    <row r="29" spans="1:7" x14ac:dyDescent="0.25">
      <c r="B29" t="s">
        <v>319</v>
      </c>
      <c r="C29" t="str">
        <f t="shared" si="0"/>
        <v>Планирует мероприятия по организации безопасных условий труда на предприятии</v>
      </c>
      <c r="E29" t="s">
        <v>292</v>
      </c>
      <c r="F29" t="str">
        <f t="shared" si="1"/>
        <v>УК-4.2</v>
      </c>
      <c r="G29" t="s">
        <v>293</v>
      </c>
    </row>
    <row r="30" spans="1:7" x14ac:dyDescent="0.25">
      <c r="A30" t="s">
        <v>272</v>
      </c>
      <c r="B30" t="s">
        <v>272</v>
      </c>
      <c r="C30" t="str">
        <f t="shared" si="0"/>
        <v>Способен использовать базовые дефектологические знания в социальной и профессиональной сферах</v>
      </c>
      <c r="F30" t="str">
        <f t="shared" si="1"/>
        <v/>
      </c>
      <c r="G30" t="s">
        <v>157</v>
      </c>
    </row>
    <row r="31" spans="1:7" x14ac:dyDescent="0.25">
      <c r="B31" t="s">
        <v>322</v>
      </c>
      <c r="C31" t="str">
        <f t="shared" si="0"/>
        <v>Осуществляет взаимодействие в социальной и профессиональной сферах с лицами с ограниченными возможностями здоровья и инвалидами</v>
      </c>
      <c r="F31" t="str">
        <f t="shared" si="1"/>
        <v/>
      </c>
      <c r="G31" t="s">
        <v>279</v>
      </c>
    </row>
    <row r="32" spans="1:7" x14ac:dyDescent="0.25">
      <c r="B32" t="s">
        <v>324</v>
      </c>
      <c r="C32" t="str">
        <f t="shared" si="0"/>
        <v>Планирует мероприятия по организации доступной среды на объектах транспорта для безбарьерного обслуживания пассажиров из числа инвалидов и лиц с ограниченными возможностями здоровья</v>
      </c>
      <c r="E32" t="s">
        <v>294</v>
      </c>
      <c r="F32" t="str">
        <f t="shared" si="1"/>
        <v>УК-4.3</v>
      </c>
      <c r="G32" t="s">
        <v>295</v>
      </c>
    </row>
    <row r="33" spans="1:7" x14ac:dyDescent="0.25">
      <c r="A33" t="s">
        <v>273</v>
      </c>
      <c r="B33" t="s">
        <v>273</v>
      </c>
      <c r="C33" t="str">
        <f t="shared" si="0"/>
        <v>Способен принимать обоснованные экономические решения в различных областях жизнедеятельности</v>
      </c>
      <c r="F33" t="str">
        <f t="shared" si="1"/>
        <v/>
      </c>
      <c r="G33" t="s">
        <v>147</v>
      </c>
    </row>
    <row r="34" spans="1:7" x14ac:dyDescent="0.25">
      <c r="B34" t="s">
        <v>327</v>
      </c>
      <c r="C34" t="str">
        <f t="shared" si="0"/>
        <v>Анализирует и критически оценивает информацию, необходимую для принятия обоснованных экономических решений</v>
      </c>
      <c r="F34" t="str">
        <f t="shared" si="1"/>
        <v/>
      </c>
      <c r="G34" t="s">
        <v>279</v>
      </c>
    </row>
    <row r="35" spans="1:7" x14ac:dyDescent="0.25">
      <c r="B35" t="s">
        <v>329</v>
      </c>
      <c r="C35" t="str">
        <f t="shared" si="0"/>
        <v>Применяет методы личного экономического и финансового планирования для достижения текущих и долгосрочных финансовых целей, использует финансовые инструменты для управления личными финансами (личным бюджетом), контролирует собственные экономические и финансовые риски</v>
      </c>
      <c r="E35" t="s">
        <v>296</v>
      </c>
      <c r="F35" t="str">
        <f t="shared" si="1"/>
        <v>УК-4.4</v>
      </c>
      <c r="G35" t="s">
        <v>297</v>
      </c>
    </row>
    <row r="36" spans="1:7" x14ac:dyDescent="0.25">
      <c r="A36" t="s">
        <v>274</v>
      </c>
      <c r="B36" t="s">
        <v>274</v>
      </c>
      <c r="C36" t="str">
        <f t="shared" si="0"/>
        <v>Способен формировать нетерпимое отношение к проявлениям экстремизма, терроризма, коррупционному поведению и противодействовать им в профессиональной деятельности</v>
      </c>
      <c r="F36" t="str">
        <f t="shared" si="1"/>
        <v/>
      </c>
      <c r="G36" t="s">
        <v>147</v>
      </c>
    </row>
    <row r="37" spans="1:7" x14ac:dyDescent="0.25">
      <c r="B37" t="s">
        <v>332</v>
      </c>
      <c r="C37" t="str">
        <f t="shared" si="0"/>
        <v>Раскрывает механизм проявления коррупционного поведения и определяет способы противодействия ему в профессиональной деятельности</v>
      </c>
      <c r="F37" t="str">
        <f t="shared" si="1"/>
        <v/>
      </c>
      <c r="G37" t="s">
        <v>279</v>
      </c>
    </row>
    <row r="38" spans="1:7" x14ac:dyDescent="0.25">
      <c r="B38" t="s">
        <v>334</v>
      </c>
      <c r="C38" t="str">
        <f t="shared" si="0"/>
        <v>Обосновывает правовыми средствами свою гражданскую позицию в отношении терроризма и экстремизма и применяет способы противодействия им в профессиональной сфере</v>
      </c>
      <c r="D38" t="s">
        <v>70</v>
      </c>
      <c r="F38" t="str">
        <f t="shared" si="1"/>
        <v>УК-5</v>
      </c>
      <c r="G38" t="s">
        <v>298</v>
      </c>
    </row>
    <row r="39" spans="1:7" x14ac:dyDescent="0.25">
      <c r="B39" t="s">
        <v>79</v>
      </c>
      <c r="C39" t="str">
        <f t="shared" si="0"/>
        <v>Способен применять естественнонаучные и общеинженерные знания, методы математического анализа и моделирования в профессиональной деятельности</v>
      </c>
      <c r="E39" t="s">
        <v>72</v>
      </c>
      <c r="F39" t="str">
        <f t="shared" si="1"/>
        <v>УК-5.1</v>
      </c>
      <c r="G39" t="s">
        <v>299</v>
      </c>
    </row>
    <row r="40" spans="1:7" x14ac:dyDescent="0.25">
      <c r="B40" t="s">
        <v>204</v>
      </c>
      <c r="C40" t="str">
        <f t="shared" si="0"/>
        <v>Применяет методы высшей математики для решения задач профессиональной деятельности</v>
      </c>
      <c r="F40" t="str">
        <f t="shared" si="1"/>
        <v/>
      </c>
      <c r="G40" t="s">
        <v>146</v>
      </c>
    </row>
    <row r="41" spans="1:7" x14ac:dyDescent="0.25">
      <c r="B41" t="s">
        <v>82</v>
      </c>
      <c r="C41" t="str">
        <f t="shared" si="0"/>
        <v>Применяет основные понятия и законы естественных наук для решения предметно-профильных задач</v>
      </c>
      <c r="F41" t="str">
        <f t="shared" si="1"/>
        <v/>
      </c>
      <c r="G41" t="s">
        <v>170</v>
      </c>
    </row>
    <row r="42" spans="1:7" x14ac:dyDescent="0.25">
      <c r="B42" t="s">
        <v>339</v>
      </c>
      <c r="C42" t="str">
        <f t="shared" si="0"/>
        <v>Применяет естественнонаучные методы теоретического и экспериментального исследования объектов, процессов, явлений, проводит эксперименты по заданной методике и анализирует результаты</v>
      </c>
      <c r="F42" t="str">
        <f t="shared" si="1"/>
        <v/>
      </c>
      <c r="G42" t="s">
        <v>279</v>
      </c>
    </row>
    <row r="43" spans="1:7" x14ac:dyDescent="0.25">
      <c r="A43" t="s">
        <v>79</v>
      </c>
      <c r="B43" t="s">
        <v>208</v>
      </c>
      <c r="C43" t="str">
        <f t="shared" si="0"/>
        <v>Разрабатывает графическую техническую документацию в соответствии с требованиями ЕСКД, в том числе с использованием пакетов прикладных программ для автоматизированного построения модели деталей техники</v>
      </c>
      <c r="E43" t="s">
        <v>300</v>
      </c>
      <c r="F43" t="str">
        <f t="shared" si="1"/>
        <v>УК-5.2</v>
      </c>
      <c r="G43" t="s">
        <v>301</v>
      </c>
    </row>
    <row r="44" spans="1:7" x14ac:dyDescent="0.25">
      <c r="B44" t="s">
        <v>342</v>
      </c>
      <c r="C44" t="str">
        <f t="shared" si="0"/>
        <v>Применяет методы математического анализа и моделирования для решения прикладных задач</v>
      </c>
      <c r="F44" t="str">
        <f t="shared" si="1"/>
        <v/>
      </c>
      <c r="G44" t="s">
        <v>146</v>
      </c>
    </row>
    <row r="45" spans="1:7" x14ac:dyDescent="0.25">
      <c r="B45" t="s">
        <v>84</v>
      </c>
      <c r="C45" t="str">
        <f t="shared" si="0"/>
        <v>Способен осуществлять профессиональную деятельность с учетом экономических, экологических и социальных ограничений на всех этапах жизненного цикла транспортно-технологических машин и комплексов</v>
      </c>
      <c r="F45" t="str">
        <f t="shared" si="1"/>
        <v/>
      </c>
      <c r="G45" t="s">
        <v>170</v>
      </c>
    </row>
    <row r="46" spans="1:7" x14ac:dyDescent="0.25">
      <c r="B46" t="s">
        <v>210</v>
      </c>
      <c r="C46" t="str">
        <f t="shared" si="0"/>
        <v>Осуществляет мониторинг, прогнозирование и оценку экологической безопасности действующих, вновь строящихся и реконструируемых объектов</v>
      </c>
      <c r="F46" t="str">
        <f t="shared" si="1"/>
        <v/>
      </c>
      <c r="G46" t="s">
        <v>279</v>
      </c>
    </row>
    <row r="47" spans="1:7" x14ac:dyDescent="0.25">
      <c r="B47" t="s">
        <v>346</v>
      </c>
      <c r="C47" t="str">
        <f t="shared" si="0"/>
        <v>Решает задачи профессиональной деятельности с учетом экономических ограничений на всех этапах жизненного цикла транспортно-технологических машин и комплексов</v>
      </c>
      <c r="E47" t="s">
        <v>201</v>
      </c>
      <c r="F47" t="str">
        <f t="shared" si="1"/>
        <v>УК-5.3</v>
      </c>
      <c r="G47" t="s">
        <v>302</v>
      </c>
    </row>
    <row r="48" spans="1:7" x14ac:dyDescent="0.25">
      <c r="B48" t="s">
        <v>348</v>
      </c>
      <c r="C48" t="str">
        <f t="shared" si="0"/>
        <v>Применяет теоретические основы менеджмента при решении профессиональных задач</v>
      </c>
      <c r="F48" t="str">
        <f t="shared" si="1"/>
        <v/>
      </c>
      <c r="G48" t="s">
        <v>152</v>
      </c>
    </row>
    <row r="49" spans="1:7" x14ac:dyDescent="0.25">
      <c r="B49" t="s">
        <v>350</v>
      </c>
      <c r="C49" t="str">
        <f t="shared" si="0"/>
        <v>Предлагает решение проблем, связанных с формированием или развитием транспортно-технологических систем (в том числе машин и комплексов)</v>
      </c>
      <c r="F49" t="str">
        <f t="shared" si="1"/>
        <v/>
      </c>
      <c r="G49" t="s">
        <v>279</v>
      </c>
    </row>
    <row r="50" spans="1:7" x14ac:dyDescent="0.25">
      <c r="B50" t="s">
        <v>88</v>
      </c>
      <c r="C50" t="str">
        <f t="shared" si="0"/>
        <v>Способен в сфере своей профессиональной деятельности проводить измерения и наблюдения, обрабатывать и представлять экспериментальные данные и результаты испытаний</v>
      </c>
      <c r="F50" t="str">
        <f t="shared" si="1"/>
        <v/>
      </c>
      <c r="G50" t="s">
        <v>192</v>
      </c>
    </row>
    <row r="51" spans="1:7" x14ac:dyDescent="0.25">
      <c r="B51" t="s">
        <v>353</v>
      </c>
      <c r="C51" t="str">
        <f t="shared" si="0"/>
        <v>Проводит измерения и наблюдения с использованием технических средств с учетом правовых норм метрологии</v>
      </c>
      <c r="D51" t="s">
        <v>75</v>
      </c>
      <c r="F51" t="str">
        <f t="shared" si="1"/>
        <v>УК-6</v>
      </c>
      <c r="G51" t="s">
        <v>303</v>
      </c>
    </row>
    <row r="52" spans="1:7" x14ac:dyDescent="0.25">
      <c r="B52" t="s">
        <v>355</v>
      </c>
      <c r="C52" t="str">
        <f t="shared" si="0"/>
        <v>Обрабатывает и представляет результаты измерений в ходе выполнения экспериментальных испытаний в соответствии с требованиями действующих стандартов</v>
      </c>
      <c r="E52" t="s">
        <v>304</v>
      </c>
      <c r="F52" t="str">
        <f t="shared" si="1"/>
        <v>УК-6.1</v>
      </c>
      <c r="G52" t="s">
        <v>305</v>
      </c>
    </row>
    <row r="53" spans="1:7" x14ac:dyDescent="0.25">
      <c r="B53" t="s">
        <v>92</v>
      </c>
      <c r="C53" t="str">
        <f t="shared" si="0"/>
        <v>Способен понимать принципы работы современных информационных технологий и использовать их для решения задач профессиональной деятельности</v>
      </c>
      <c r="F53" t="str">
        <f t="shared" si="1"/>
        <v/>
      </c>
      <c r="G53" t="s">
        <v>153</v>
      </c>
    </row>
    <row r="54" spans="1:7" x14ac:dyDescent="0.25">
      <c r="B54" t="s">
        <v>199</v>
      </c>
      <c r="C54" t="str">
        <f t="shared" si="0"/>
        <v>Применяет основные методы представления информации и алгоритмы обработки данных в профессиональной деятельности</v>
      </c>
      <c r="F54" t="str">
        <f t="shared" si="1"/>
        <v/>
      </c>
      <c r="G54" t="s">
        <v>279</v>
      </c>
    </row>
    <row r="55" spans="1:7" x14ac:dyDescent="0.25">
      <c r="B55" t="s">
        <v>200</v>
      </c>
      <c r="C55" t="str">
        <f t="shared" si="0"/>
        <v>Использует ресурсы электронной образовательной среды в рамках своей образовательной деятельности</v>
      </c>
      <c r="E55" t="s">
        <v>306</v>
      </c>
      <c r="F55" t="str">
        <f t="shared" si="1"/>
        <v>УК-6.2</v>
      </c>
      <c r="G55" t="s">
        <v>307</v>
      </c>
    </row>
    <row r="56" spans="1:7" x14ac:dyDescent="0.25">
      <c r="B56" t="s">
        <v>361</v>
      </c>
      <c r="C56" t="str">
        <f t="shared" si="0"/>
        <v>Использует в своей профессиональной деятельности автоматизированные информационно-управляющие и аналитические системы, применяемые на транспорте</v>
      </c>
      <c r="F56" t="str">
        <f t="shared" si="1"/>
        <v/>
      </c>
      <c r="G56" t="s">
        <v>153</v>
      </c>
    </row>
    <row r="57" spans="1:7" x14ac:dyDescent="0.25">
      <c r="B57" t="s">
        <v>214</v>
      </c>
      <c r="C57" t="str">
        <f t="shared" si="0"/>
        <v>Использует методы искусственного интеллекта (машинного обучения) и анализа больших данных для решения прикладных задач</v>
      </c>
      <c r="F57" t="str">
        <f t="shared" si="1"/>
        <v/>
      </c>
      <c r="G57" t="s">
        <v>279</v>
      </c>
    </row>
    <row r="58" spans="1:7" x14ac:dyDescent="0.25">
      <c r="B58" t="s">
        <v>96</v>
      </c>
      <c r="C58" t="str">
        <f t="shared" si="0"/>
        <v>Способен принимать обоснованные технические решения, выбирать эффективные и безопасные технические средства и технологии при решении задач профессиональной деятельности</v>
      </c>
      <c r="D58" t="s">
        <v>270</v>
      </c>
      <c r="F58" t="str">
        <f t="shared" si="1"/>
        <v>УК-7</v>
      </c>
      <c r="G58" t="s">
        <v>308</v>
      </c>
    </row>
    <row r="59" spans="1:7" x14ac:dyDescent="0.25">
      <c r="B59" t="s">
        <v>365</v>
      </c>
      <c r="C59" t="str">
        <f t="shared" si="0"/>
        <v>Обосновывает технические решения, выбирает эффективные и безопасные технические средства и технологии при решении задач профессиональной деятельности</v>
      </c>
      <c r="E59" t="s">
        <v>309</v>
      </c>
      <c r="F59" t="str">
        <f t="shared" si="1"/>
        <v>УК-7.1</v>
      </c>
      <c r="G59" t="s">
        <v>310</v>
      </c>
    </row>
    <row r="60" spans="1:7" x14ac:dyDescent="0.25">
      <c r="B60" t="s">
        <v>367</v>
      </c>
      <c r="C60" t="str">
        <f t="shared" si="0"/>
        <v>Выбирает эффективные и безопасные технические средства и технологии погрузочно-разгрузочных работ</v>
      </c>
      <c r="F60" t="str">
        <f t="shared" si="1"/>
        <v/>
      </c>
      <c r="G60" t="s">
        <v>149</v>
      </c>
    </row>
    <row r="61" spans="1:7" x14ac:dyDescent="0.25">
      <c r="A61" t="s">
        <v>84</v>
      </c>
      <c r="B61" t="s">
        <v>100</v>
      </c>
      <c r="C61" t="str">
        <f t="shared" si="0"/>
        <v>Обосновывает выбор эффективных и безопасных технических средств и технологий при решении задач профессиональной деятельности</v>
      </c>
      <c r="F61" t="str">
        <f t="shared" si="1"/>
        <v/>
      </c>
      <c r="G61" t="s">
        <v>279</v>
      </c>
    </row>
    <row r="62" spans="1:7" x14ac:dyDescent="0.25">
      <c r="B62" t="s">
        <v>102</v>
      </c>
      <c r="C62" t="str">
        <f t="shared" si="0"/>
        <v>Способен участвовать в разработке технической документации с использованием стандартов, норм и правил, связанных с профессиональной деятельностью</v>
      </c>
      <c r="E62" t="s">
        <v>311</v>
      </c>
      <c r="F62" t="str">
        <f t="shared" si="1"/>
        <v>УК-7.2</v>
      </c>
      <c r="G62" t="s">
        <v>312</v>
      </c>
    </row>
    <row r="63" spans="1:7" x14ac:dyDescent="0.25">
      <c r="B63" t="s">
        <v>104</v>
      </c>
      <c r="C63" t="str">
        <f t="shared" si="0"/>
        <v>Использует стандарты, нормы и правила, связанные с профессиональной деятельностью, при разработке технических и технологических мероприятий в организации перевозочного процесса и оказании логистических услуг</v>
      </c>
      <c r="F63" t="str">
        <f t="shared" si="1"/>
        <v/>
      </c>
      <c r="G63" t="s">
        <v>149</v>
      </c>
    </row>
    <row r="64" spans="1:7" x14ac:dyDescent="0.25">
      <c r="B64" t="s">
        <v>372</v>
      </c>
      <c r="C64" t="str">
        <f t="shared" si="0"/>
        <v>Разрабатывает технические и технологические мероприятия производственной деятельности с учетом действующих международных, российских, отраслевых стандартов, норм и правил</v>
      </c>
      <c r="F64" t="str">
        <f t="shared" si="1"/>
        <v/>
      </c>
      <c r="G64" t="s">
        <v>279</v>
      </c>
    </row>
    <row r="65" spans="1:7" x14ac:dyDescent="0.25">
      <c r="B65" t="s">
        <v>107</v>
      </c>
      <c r="C65" t="str">
        <f t="shared" si="0"/>
        <v>Способен выполнять комплекс услуг по транспортному обслуживанию грузоотправителей и грузополучателей при перевозке грузов, в том числе скоропортящихся, на основе принципов логистики с учетом эффективного и рационального взаимодействия видов транспорта, составляющих единую транспортную систему</v>
      </c>
      <c r="E65" t="s">
        <v>219</v>
      </c>
      <c r="F65" t="str">
        <f t="shared" si="1"/>
        <v>УК-7.3</v>
      </c>
      <c r="G65" t="s">
        <v>313</v>
      </c>
    </row>
    <row r="66" spans="1:7" x14ac:dyDescent="0.25">
      <c r="B66" t="s">
        <v>109</v>
      </c>
      <c r="C66" t="str">
        <f t="shared" ref="C66:C129" si="2">VLOOKUP(B66,F:G,2,0)</f>
        <v>Планирует работу предприятия транспортной отрасли по оказанию комплекса услуг грузовладельцам</v>
      </c>
      <c r="F66" t="str">
        <f t="shared" si="1"/>
        <v/>
      </c>
      <c r="G66" t="s">
        <v>171</v>
      </c>
    </row>
    <row r="67" spans="1:7" x14ac:dyDescent="0.25">
      <c r="B67" t="s">
        <v>111</v>
      </c>
      <c r="C67" t="str">
        <f t="shared" si="2"/>
        <v>Идентифицирует и анализирует свойства грузов, характеристики подвижного состава, требования к размещению и креплению грузов в вагонах и контейнерах</v>
      </c>
      <c r="F67" t="str">
        <f t="shared" ref="F67:F130" si="3">_xlfn.CONCAT(D67,E67)</f>
        <v/>
      </c>
      <c r="G67" t="s">
        <v>279</v>
      </c>
    </row>
    <row r="68" spans="1:7" x14ac:dyDescent="0.25">
      <c r="B68" t="s">
        <v>113</v>
      </c>
      <c r="C68" t="str">
        <f t="shared" si="2"/>
        <v>Определяет перечень транспортных услуг, связанных с перевозкой скоропортящихся грузов</v>
      </c>
      <c r="D68" t="s">
        <v>271</v>
      </c>
      <c r="F68" t="str">
        <f t="shared" si="3"/>
        <v>УК-8</v>
      </c>
      <c r="G68" t="s">
        <v>314</v>
      </c>
    </row>
    <row r="69" spans="1:7" x14ac:dyDescent="0.25">
      <c r="B69" t="s">
        <v>230</v>
      </c>
      <c r="C69" t="str">
        <f t="shared" si="2"/>
        <v>Разрабатывает комплекс услуг по транспортно-логистическому обслуживанию для эффективной мультимодальной перевозки грузов</v>
      </c>
      <c r="E69" t="s">
        <v>315</v>
      </c>
      <c r="F69" t="str">
        <f t="shared" si="3"/>
        <v>УК-8.1</v>
      </c>
      <c r="G69" t="s">
        <v>316</v>
      </c>
    </row>
    <row r="70" spans="1:7" x14ac:dyDescent="0.25">
      <c r="B70" t="s">
        <v>115</v>
      </c>
      <c r="C70" t="str">
        <f t="shared" si="2"/>
        <v>Способен осуществлять контроль и управление перевозочным процессом, оперативное планирование и управление эксплуатационной работой с учетом технического состояния, контроль безопасности движения и эксплуатации на железнодорожном транспорте</v>
      </c>
      <c r="F70" t="str">
        <f t="shared" si="3"/>
        <v/>
      </c>
      <c r="G70" t="s">
        <v>148</v>
      </c>
    </row>
    <row r="71" spans="1:7" x14ac:dyDescent="0.25">
      <c r="B71" t="s">
        <v>225</v>
      </c>
      <c r="C71" t="str">
        <f t="shared" si="2"/>
        <v>Осуществляет оперативное планирование, управление, контроль перевозочного процесса с учетом технического состояния и безопасности</v>
      </c>
      <c r="F71" t="str">
        <f t="shared" si="3"/>
        <v/>
      </c>
      <c r="G71" t="s">
        <v>279</v>
      </c>
    </row>
    <row r="72" spans="1:7" x14ac:dyDescent="0.25">
      <c r="B72" t="s">
        <v>381</v>
      </c>
      <c r="C72" t="str">
        <f t="shared" si="2"/>
        <v>Использует технические средства для обеспечения безопасности на железнодорожном транспорте</v>
      </c>
      <c r="E72" t="s">
        <v>317</v>
      </c>
      <c r="F72" t="str">
        <f t="shared" si="3"/>
        <v>УК-8.2</v>
      </c>
      <c r="G72" t="s">
        <v>318</v>
      </c>
    </row>
    <row r="73" spans="1:7" x14ac:dyDescent="0.25">
      <c r="B73" t="s">
        <v>383</v>
      </c>
      <c r="C73" t="str">
        <f t="shared" si="2"/>
        <v>Определяет последовательность действий в соответствии с правилами технической эксплуатации и требованиями техники безопасности при организации и проведении работ</v>
      </c>
      <c r="F73" t="str">
        <f t="shared" si="3"/>
        <v/>
      </c>
      <c r="G73" t="s">
        <v>148</v>
      </c>
    </row>
    <row r="74" spans="1:7" x14ac:dyDescent="0.25">
      <c r="A74" t="s">
        <v>88</v>
      </c>
      <c r="B74" t="s">
        <v>224</v>
      </c>
      <c r="C74" t="str">
        <f t="shared" si="2"/>
        <v>Осуществляет контроль и управление движением поездов, принимает решения по организации движения поездов по участку в изменяющейся поездной обстановке</v>
      </c>
      <c r="F74" t="str">
        <f t="shared" si="3"/>
        <v/>
      </c>
      <c r="G74" t="s">
        <v>279</v>
      </c>
    </row>
    <row r="75" spans="1:7" x14ac:dyDescent="0.25">
      <c r="B75" t="s">
        <v>119</v>
      </c>
      <c r="C75" t="str">
        <f t="shared" si="2"/>
        <v>Способен проектировать железнодорожные линии, станции и узлы,  разрабатывать и корректировать нормативную технологическую документацию с учетом технического оснащения и перспективного развития объектов железнодорожной инфраструктуры</v>
      </c>
      <c r="E75" t="s">
        <v>319</v>
      </c>
      <c r="F75" t="str">
        <f t="shared" si="3"/>
        <v>УК-8.3</v>
      </c>
      <c r="G75" t="s">
        <v>320</v>
      </c>
    </row>
    <row r="76" spans="1:7" x14ac:dyDescent="0.25">
      <c r="B76" t="s">
        <v>387</v>
      </c>
      <c r="C76" t="str">
        <f t="shared" si="2"/>
        <v>Использует техническую и нормативную документацию по проектированию объектов транспортной инфраструктуры, устройств и технического оснащения раздельных пунктов и транспортных узлов; методы расчета основных элементов; способы увязки проектных решений с передовой технологией работы станций и железнодорожных узлов; методы выполнения технико-экономических расчетов по выбору наиболее эффективных решений</v>
      </c>
      <c r="F76" t="str">
        <f t="shared" si="3"/>
        <v/>
      </c>
      <c r="G76" t="s">
        <v>148</v>
      </c>
    </row>
    <row r="77" spans="1:7" x14ac:dyDescent="0.25">
      <c r="B77" t="s">
        <v>389</v>
      </c>
      <c r="C77" t="str">
        <f t="shared" si="2"/>
        <v>Использует методы технико-экономического обоснования при принятии решения о необходимости развития железнодорожной станции и узла; проектирования и расчетов, включая применение автоматизированного проектирования</v>
      </c>
      <c r="F77" t="str">
        <f t="shared" si="3"/>
        <v/>
      </c>
      <c r="G77" t="s">
        <v>279</v>
      </c>
    </row>
    <row r="78" spans="1:7" x14ac:dyDescent="0.25">
      <c r="B78" t="s">
        <v>123</v>
      </c>
      <c r="C78" t="str">
        <f t="shared" si="2"/>
        <v>Способен осуществлять организацию работы с подрядчиками на рынке транспортных услуг</v>
      </c>
      <c r="D78" t="s">
        <v>272</v>
      </c>
      <c r="F78" t="str">
        <f t="shared" si="3"/>
        <v>УК-9</v>
      </c>
      <c r="G78" t="s">
        <v>321</v>
      </c>
    </row>
    <row r="79" spans="1:7" x14ac:dyDescent="0.25">
      <c r="B79" t="s">
        <v>231</v>
      </c>
      <c r="C79" t="str">
        <f t="shared" si="2"/>
        <v>Решает задачи по организации работы экспедиторских фирм, оформляет необходимые документы для заключения договоров с юридическими и физическими лицами на транспортно-экспедиционное обслуживание грузовладельцев</v>
      </c>
      <c r="E79" t="s">
        <v>322</v>
      </c>
      <c r="F79" t="str">
        <f t="shared" si="3"/>
        <v>УК-9.1</v>
      </c>
      <c r="G79" t="s">
        <v>323</v>
      </c>
    </row>
    <row r="80" spans="1:7" x14ac:dyDescent="0.25">
      <c r="B80" t="s">
        <v>223</v>
      </c>
      <c r="C80" t="str">
        <f t="shared" si="2"/>
        <v>Разрабатывает эффективные схемы взаимоотношения промышленного и магистрального транспорта в процессе оказания логистической услуги перевозки груза в цепи поставок</v>
      </c>
      <c r="F80" t="str">
        <f t="shared" si="3"/>
        <v/>
      </c>
      <c r="G80" t="s">
        <v>159</v>
      </c>
    </row>
    <row r="81" spans="1:7" x14ac:dyDescent="0.25">
      <c r="A81" t="s">
        <v>92</v>
      </c>
      <c r="B81" t="s">
        <v>394</v>
      </c>
      <c r="C81" t="str">
        <f t="shared" si="2"/>
        <v>Анализирует информацию о планируемых мероприятиях, разрабатывает эффективные схемы взаимоотношений в процессе оказания логистической услуги перевозки груза, организует планирование услуг, этапов, сроков доставки</v>
      </c>
      <c r="F81" t="str">
        <f t="shared" si="3"/>
        <v/>
      </c>
      <c r="G81" t="s">
        <v>279</v>
      </c>
    </row>
    <row r="82" spans="1:7" x14ac:dyDescent="0.25">
      <c r="B82" t="s">
        <v>396</v>
      </c>
      <c r="C82" t="str">
        <f t="shared" si="2"/>
        <v>Определяет перечень необходимых услуг на транспортном рынке, выбирает подрядчика на основе критериального анализа, проверяет договор на содержание, полноту и соответствие услуг, организует работу с подрядчиками на рынке транспортных услуг</v>
      </c>
      <c r="E82" t="s">
        <v>324</v>
      </c>
      <c r="F82" t="str">
        <f t="shared" si="3"/>
        <v>УК-9.2</v>
      </c>
      <c r="G82" t="s">
        <v>325</v>
      </c>
    </row>
    <row r="83" spans="1:7" x14ac:dyDescent="0.25">
      <c r="B83" t="s">
        <v>275</v>
      </c>
      <c r="C83" t="str">
        <f t="shared" si="2"/>
        <v>Способен осуществлять организацию перевозочного процесса и улучшения качества оказания логистических услуг</v>
      </c>
      <c r="F83" t="str">
        <f t="shared" si="3"/>
        <v/>
      </c>
      <c r="G83" t="s">
        <v>159</v>
      </c>
    </row>
    <row r="84" spans="1:7" x14ac:dyDescent="0.25">
      <c r="B84" t="s">
        <v>399</v>
      </c>
      <c r="C84" t="str">
        <f t="shared" si="2"/>
        <v>Разрабатывает математические модели для решения транспортных задач и улучшения качества оказания логистических услуг</v>
      </c>
      <c r="F84" t="str">
        <f t="shared" si="3"/>
        <v/>
      </c>
      <c r="G84" t="s">
        <v>279</v>
      </c>
    </row>
    <row r="85" spans="1:7" x14ac:dyDescent="0.25">
      <c r="B85" t="s">
        <v>222</v>
      </c>
      <c r="C85" t="str">
        <f t="shared" si="2"/>
        <v>Планирует деятельность по продвижению транспортно-логистических услуг и выбору оптимальных схем доставки грузов в цепи поставок</v>
      </c>
      <c r="D85" t="s">
        <v>273</v>
      </c>
      <c r="F85" t="str">
        <f t="shared" si="3"/>
        <v>УК-10</v>
      </c>
      <c r="G85" t="s">
        <v>326</v>
      </c>
    </row>
    <row r="86" spans="1:7" x14ac:dyDescent="0.25">
      <c r="B86" t="s">
        <v>402</v>
      </c>
      <c r="C86" t="str">
        <f t="shared" si="2"/>
        <v>Решает задачи по повышению эффективности технических и технологических мероприятий при организации перевозочного процесса и оказании логистических услуг</v>
      </c>
      <c r="E86" t="s">
        <v>327</v>
      </c>
      <c r="F86" t="str">
        <f t="shared" si="3"/>
        <v>УК-10.1</v>
      </c>
      <c r="G86" t="s">
        <v>328</v>
      </c>
    </row>
    <row r="87" spans="1:7" x14ac:dyDescent="0.25">
      <c r="B87" t="s">
        <v>229</v>
      </c>
      <c r="C87" t="str">
        <f t="shared" si="2"/>
        <v>Планирует логистические мероприятия по организации контейнерных и пакетных перевозок в технологии работы терминальных систем транспорта</v>
      </c>
      <c r="F87" t="str">
        <f t="shared" si="3"/>
        <v/>
      </c>
      <c r="G87" t="s">
        <v>162</v>
      </c>
    </row>
    <row r="88" spans="1:7" x14ac:dyDescent="0.25">
      <c r="B88" t="s">
        <v>220</v>
      </c>
      <c r="C88" t="str">
        <f t="shared" si="2"/>
        <v>Планирует логистические операции, распределяет задачи в процессе реализации ключевых и поддерживающих функций логистики</v>
      </c>
      <c r="F88" t="str">
        <f t="shared" si="3"/>
        <v/>
      </c>
      <c r="G88" t="s">
        <v>279</v>
      </c>
    </row>
    <row r="89" spans="1:7" x14ac:dyDescent="0.25">
      <c r="B89" t="s">
        <v>276</v>
      </c>
      <c r="C89" t="str">
        <f t="shared" si="2"/>
        <v>Способен осуществлять контроль и управление системой организации пассажирских перевозок на железнодорожном транспорте</v>
      </c>
      <c r="E89" t="s">
        <v>329</v>
      </c>
      <c r="F89" t="str">
        <f t="shared" si="3"/>
        <v>УК-10.2</v>
      </c>
      <c r="G89" t="s">
        <v>330</v>
      </c>
    </row>
    <row r="90" spans="1:7" x14ac:dyDescent="0.25">
      <c r="B90" t="s">
        <v>407</v>
      </c>
      <c r="C90" t="str">
        <f t="shared" si="2"/>
        <v>Решает задачи, направленные на организацию пассажирских перевозок на железнодорожном транспорте</v>
      </c>
      <c r="F90" t="str">
        <f t="shared" si="3"/>
        <v/>
      </c>
      <c r="G90" t="s">
        <v>162</v>
      </c>
    </row>
    <row r="91" spans="1:7" x14ac:dyDescent="0.25">
      <c r="B91" t="s">
        <v>409</v>
      </c>
      <c r="C91" t="str">
        <f t="shared" si="2"/>
        <v>Решает задачи, направленные на организацию работы и эксплуатацию вокзальных комплексов, транспортно-пересадочных узлов</v>
      </c>
      <c r="F91" t="str">
        <f t="shared" si="3"/>
        <v/>
      </c>
      <c r="G91" t="s">
        <v>279</v>
      </c>
    </row>
    <row r="92" spans="1:7" x14ac:dyDescent="0.25">
      <c r="C92" t="e">
        <f t="shared" si="2"/>
        <v>#N/A</v>
      </c>
      <c r="D92" t="s">
        <v>274</v>
      </c>
      <c r="F92" t="str">
        <f t="shared" si="3"/>
        <v>УК-11</v>
      </c>
      <c r="G92" t="s">
        <v>331</v>
      </c>
    </row>
    <row r="93" spans="1:7" x14ac:dyDescent="0.25">
      <c r="C93" t="e">
        <f t="shared" si="2"/>
        <v>#N/A</v>
      </c>
      <c r="E93" t="s">
        <v>332</v>
      </c>
      <c r="F93" t="str">
        <f t="shared" si="3"/>
        <v>УК-11.1</v>
      </c>
      <c r="G93" t="s">
        <v>333</v>
      </c>
    </row>
    <row r="94" spans="1:7" x14ac:dyDescent="0.25">
      <c r="C94" t="e">
        <f t="shared" si="2"/>
        <v>#N/A</v>
      </c>
      <c r="F94" t="str">
        <f t="shared" si="3"/>
        <v/>
      </c>
      <c r="G94" t="s">
        <v>160</v>
      </c>
    </row>
    <row r="95" spans="1:7" x14ac:dyDescent="0.25">
      <c r="C95" t="e">
        <f t="shared" si="2"/>
        <v>#N/A</v>
      </c>
      <c r="F95" t="str">
        <f t="shared" si="3"/>
        <v/>
      </c>
      <c r="G95" t="s">
        <v>279</v>
      </c>
    </row>
    <row r="96" spans="1:7" x14ac:dyDescent="0.25">
      <c r="C96" t="e">
        <f t="shared" si="2"/>
        <v>#N/A</v>
      </c>
      <c r="E96" t="s">
        <v>334</v>
      </c>
      <c r="F96" t="str">
        <f t="shared" si="3"/>
        <v>УК-11.2</v>
      </c>
      <c r="G96" t="s">
        <v>335</v>
      </c>
    </row>
    <row r="97" spans="1:7" x14ac:dyDescent="0.25">
      <c r="C97" t="e">
        <f t="shared" si="2"/>
        <v>#N/A</v>
      </c>
      <c r="F97" t="str">
        <f t="shared" si="3"/>
        <v/>
      </c>
      <c r="G97" t="s">
        <v>160</v>
      </c>
    </row>
    <row r="98" spans="1:7" x14ac:dyDescent="0.25">
      <c r="C98" t="e">
        <f t="shared" si="2"/>
        <v>#N/A</v>
      </c>
      <c r="F98" t="str">
        <f t="shared" si="3"/>
        <v/>
      </c>
      <c r="G98" t="s">
        <v>279</v>
      </c>
    </row>
    <row r="99" spans="1:7" x14ac:dyDescent="0.25">
      <c r="A99" t="s">
        <v>96</v>
      </c>
      <c r="C99" t="e">
        <f t="shared" si="2"/>
        <v>#N/A</v>
      </c>
      <c r="D99" t="s">
        <v>79</v>
      </c>
      <c r="F99" t="str">
        <f t="shared" si="3"/>
        <v>ОПК-1</v>
      </c>
      <c r="G99" t="s">
        <v>336</v>
      </c>
    </row>
    <row r="100" spans="1:7" x14ac:dyDescent="0.25">
      <c r="C100" t="e">
        <f t="shared" si="2"/>
        <v>#N/A</v>
      </c>
      <c r="E100" t="s">
        <v>204</v>
      </c>
      <c r="F100" t="str">
        <f t="shared" si="3"/>
        <v>ОПК-1.1</v>
      </c>
      <c r="G100" t="s">
        <v>337</v>
      </c>
    </row>
    <row r="101" spans="1:7" x14ac:dyDescent="0.25">
      <c r="C101" t="e">
        <f t="shared" si="2"/>
        <v>#N/A</v>
      </c>
      <c r="F101" t="str">
        <f t="shared" si="3"/>
        <v/>
      </c>
      <c r="G101" t="s">
        <v>156</v>
      </c>
    </row>
    <row r="102" spans="1:7" x14ac:dyDescent="0.25">
      <c r="C102" t="e">
        <f t="shared" si="2"/>
        <v>#N/A</v>
      </c>
      <c r="F102" t="str">
        <f t="shared" si="3"/>
        <v/>
      </c>
      <c r="G102" t="s">
        <v>279</v>
      </c>
    </row>
    <row r="103" spans="1:7" x14ac:dyDescent="0.25">
      <c r="C103" t="e">
        <f t="shared" si="2"/>
        <v>#N/A</v>
      </c>
      <c r="E103" t="s">
        <v>82</v>
      </c>
      <c r="F103" t="str">
        <f t="shared" si="3"/>
        <v>ОПК-1.2</v>
      </c>
      <c r="G103" t="s">
        <v>338</v>
      </c>
    </row>
    <row r="104" spans="1:7" x14ac:dyDescent="0.25">
      <c r="C104" t="e">
        <f t="shared" si="2"/>
        <v>#N/A</v>
      </c>
      <c r="F104" t="str">
        <f t="shared" si="3"/>
        <v/>
      </c>
      <c r="G104" t="s">
        <v>154</v>
      </c>
    </row>
    <row r="105" spans="1:7" x14ac:dyDescent="0.25">
      <c r="C105" t="e">
        <f t="shared" si="2"/>
        <v>#N/A</v>
      </c>
      <c r="F105" t="str">
        <f t="shared" si="3"/>
        <v/>
      </c>
      <c r="G105" t="s">
        <v>155</v>
      </c>
    </row>
    <row r="106" spans="1:7" x14ac:dyDescent="0.25">
      <c r="C106" t="e">
        <f t="shared" si="2"/>
        <v>#N/A</v>
      </c>
      <c r="F106" t="str">
        <f t="shared" si="3"/>
        <v/>
      </c>
      <c r="G106" t="s">
        <v>279</v>
      </c>
    </row>
    <row r="107" spans="1:7" x14ac:dyDescent="0.25">
      <c r="C107" t="e">
        <f t="shared" si="2"/>
        <v>#N/A</v>
      </c>
      <c r="E107" t="s">
        <v>339</v>
      </c>
      <c r="F107" t="str">
        <f t="shared" si="3"/>
        <v>ОПК-1.3</v>
      </c>
      <c r="G107" t="s">
        <v>340</v>
      </c>
    </row>
    <row r="108" spans="1:7" x14ac:dyDescent="0.25">
      <c r="C108" t="e">
        <f t="shared" si="2"/>
        <v>#N/A</v>
      </c>
      <c r="F108" t="str">
        <f t="shared" si="3"/>
        <v/>
      </c>
      <c r="G108" t="s">
        <v>154</v>
      </c>
    </row>
    <row r="109" spans="1:7" x14ac:dyDescent="0.25">
      <c r="C109" t="e">
        <f t="shared" si="2"/>
        <v>#N/A</v>
      </c>
      <c r="F109" t="str">
        <f t="shared" si="3"/>
        <v/>
      </c>
      <c r="G109" t="s">
        <v>155</v>
      </c>
    </row>
    <row r="110" spans="1:7" x14ac:dyDescent="0.25">
      <c r="A110" t="s">
        <v>102</v>
      </c>
      <c r="C110" t="e">
        <f t="shared" si="2"/>
        <v>#N/A</v>
      </c>
      <c r="F110" t="str">
        <f t="shared" si="3"/>
        <v/>
      </c>
      <c r="G110" t="s">
        <v>279</v>
      </c>
    </row>
    <row r="111" spans="1:7" x14ac:dyDescent="0.25">
      <c r="C111" t="e">
        <f t="shared" si="2"/>
        <v>#N/A</v>
      </c>
      <c r="E111" t="s">
        <v>208</v>
      </c>
      <c r="F111" t="str">
        <f t="shared" si="3"/>
        <v>ОПК-1.4</v>
      </c>
      <c r="G111" t="s">
        <v>341</v>
      </c>
    </row>
    <row r="112" spans="1:7" x14ac:dyDescent="0.25">
      <c r="C112" t="e">
        <f t="shared" si="2"/>
        <v>#N/A</v>
      </c>
      <c r="F112" t="str">
        <f t="shared" si="3"/>
        <v/>
      </c>
      <c r="G112" t="s">
        <v>161</v>
      </c>
    </row>
    <row r="113" spans="1:7" x14ac:dyDescent="0.25">
      <c r="C113" t="e">
        <f t="shared" si="2"/>
        <v>#N/A</v>
      </c>
      <c r="F113" t="str">
        <f t="shared" si="3"/>
        <v/>
      </c>
      <c r="G113" t="s">
        <v>279</v>
      </c>
    </row>
    <row r="114" spans="1:7" x14ac:dyDescent="0.25">
      <c r="C114" t="e">
        <f t="shared" si="2"/>
        <v>#N/A</v>
      </c>
      <c r="E114" t="s">
        <v>342</v>
      </c>
      <c r="F114" t="str">
        <f t="shared" si="3"/>
        <v>ОПК-1.5</v>
      </c>
      <c r="G114" t="s">
        <v>343</v>
      </c>
    </row>
    <row r="115" spans="1:7" x14ac:dyDescent="0.25">
      <c r="C115" t="e">
        <f t="shared" si="2"/>
        <v>#N/A</v>
      </c>
      <c r="F115" t="str">
        <f t="shared" si="3"/>
        <v/>
      </c>
      <c r="G115" t="s">
        <v>168</v>
      </c>
    </row>
    <row r="116" spans="1:7" x14ac:dyDescent="0.25">
      <c r="C116" t="e">
        <f t="shared" si="2"/>
        <v>#N/A</v>
      </c>
      <c r="F116" t="str">
        <f t="shared" si="3"/>
        <v/>
      </c>
      <c r="G116" t="s">
        <v>279</v>
      </c>
    </row>
    <row r="117" spans="1:7" x14ac:dyDescent="0.25">
      <c r="A117" t="s">
        <v>107</v>
      </c>
      <c r="C117" t="e">
        <f t="shared" si="2"/>
        <v>#N/A</v>
      </c>
      <c r="D117" t="s">
        <v>84</v>
      </c>
      <c r="F117" t="str">
        <f t="shared" si="3"/>
        <v>ОПК-2</v>
      </c>
      <c r="G117" t="s">
        <v>344</v>
      </c>
    </row>
    <row r="118" spans="1:7" x14ac:dyDescent="0.25">
      <c r="C118" t="e">
        <f t="shared" si="2"/>
        <v>#N/A</v>
      </c>
      <c r="E118" t="s">
        <v>210</v>
      </c>
      <c r="F118" t="str">
        <f t="shared" si="3"/>
        <v>ОПК-2.1</v>
      </c>
      <c r="G118" t="s">
        <v>345</v>
      </c>
    </row>
    <row r="119" spans="1:7" x14ac:dyDescent="0.25">
      <c r="C119" t="e">
        <f t="shared" si="2"/>
        <v>#N/A</v>
      </c>
      <c r="F119" t="str">
        <f t="shared" si="3"/>
        <v/>
      </c>
      <c r="G119" t="s">
        <v>163</v>
      </c>
    </row>
    <row r="120" spans="1:7" x14ac:dyDescent="0.25">
      <c r="C120" t="e">
        <f t="shared" si="2"/>
        <v>#N/A</v>
      </c>
      <c r="F120" t="str">
        <f t="shared" si="3"/>
        <v/>
      </c>
      <c r="G120" t="s">
        <v>279</v>
      </c>
    </row>
    <row r="121" spans="1:7" x14ac:dyDescent="0.25">
      <c r="C121" t="e">
        <f t="shared" si="2"/>
        <v>#N/A</v>
      </c>
      <c r="E121" t="s">
        <v>346</v>
      </c>
      <c r="F121" t="str">
        <f t="shared" si="3"/>
        <v>ОПК-2.2</v>
      </c>
      <c r="G121" t="s">
        <v>347</v>
      </c>
    </row>
    <row r="122" spans="1:7" x14ac:dyDescent="0.25">
      <c r="C122" t="e">
        <f t="shared" si="2"/>
        <v>#N/A</v>
      </c>
      <c r="F122" t="str">
        <f t="shared" si="3"/>
        <v/>
      </c>
      <c r="G122" t="s">
        <v>162</v>
      </c>
    </row>
    <row r="123" spans="1:7" x14ac:dyDescent="0.25">
      <c r="C123" t="e">
        <f t="shared" si="2"/>
        <v>#N/A</v>
      </c>
      <c r="F123" t="str">
        <f t="shared" si="3"/>
        <v/>
      </c>
      <c r="G123" t="s">
        <v>279</v>
      </c>
    </row>
    <row r="124" spans="1:7" x14ac:dyDescent="0.25">
      <c r="C124" t="e">
        <f t="shared" si="2"/>
        <v>#N/A</v>
      </c>
      <c r="E124" t="s">
        <v>348</v>
      </c>
      <c r="F124" t="str">
        <f t="shared" si="3"/>
        <v>ОПК-2.3</v>
      </c>
      <c r="G124" t="s">
        <v>349</v>
      </c>
    </row>
    <row r="125" spans="1:7" x14ac:dyDescent="0.25">
      <c r="C125" t="e">
        <f t="shared" si="2"/>
        <v>#N/A</v>
      </c>
      <c r="F125" t="str">
        <f t="shared" si="3"/>
        <v/>
      </c>
      <c r="G125" t="s">
        <v>164</v>
      </c>
    </row>
    <row r="126" spans="1:7" x14ac:dyDescent="0.25">
      <c r="C126" t="e">
        <f t="shared" si="2"/>
        <v>#N/A</v>
      </c>
      <c r="F126" t="str">
        <f t="shared" si="3"/>
        <v/>
      </c>
      <c r="G126" t="s">
        <v>279</v>
      </c>
    </row>
    <row r="127" spans="1:7" x14ac:dyDescent="0.25">
      <c r="C127" t="e">
        <f t="shared" si="2"/>
        <v>#N/A</v>
      </c>
      <c r="E127" t="s">
        <v>350</v>
      </c>
      <c r="F127" t="str">
        <f t="shared" si="3"/>
        <v>ОПК-2.4</v>
      </c>
      <c r="G127" t="s">
        <v>351</v>
      </c>
    </row>
    <row r="128" spans="1:7" x14ac:dyDescent="0.25">
      <c r="C128" t="e">
        <f t="shared" si="2"/>
        <v>#N/A</v>
      </c>
      <c r="F128" t="str">
        <f t="shared" si="3"/>
        <v/>
      </c>
      <c r="G128" t="s">
        <v>166</v>
      </c>
    </row>
    <row r="129" spans="1:7" x14ac:dyDescent="0.25">
      <c r="C129" t="e">
        <f t="shared" si="2"/>
        <v>#N/A</v>
      </c>
      <c r="F129" t="str">
        <f t="shared" si="3"/>
        <v/>
      </c>
      <c r="G129" t="s">
        <v>279</v>
      </c>
    </row>
    <row r="130" spans="1:7" x14ac:dyDescent="0.25">
      <c r="C130" t="e">
        <f t="shared" ref="C130:C193" si="4">VLOOKUP(B130,F:G,2,0)</f>
        <v>#N/A</v>
      </c>
      <c r="D130" t="s">
        <v>88</v>
      </c>
      <c r="F130" t="str">
        <f t="shared" si="3"/>
        <v>ОПК-3</v>
      </c>
      <c r="G130" t="s">
        <v>352</v>
      </c>
    </row>
    <row r="131" spans="1:7" x14ac:dyDescent="0.25">
      <c r="C131" t="e">
        <f t="shared" si="4"/>
        <v>#N/A</v>
      </c>
      <c r="E131" t="s">
        <v>353</v>
      </c>
      <c r="F131" t="str">
        <f t="shared" ref="F131:F194" si="5">_xlfn.CONCAT(D131,E131)</f>
        <v>ОПК-3.1</v>
      </c>
      <c r="G131" t="s">
        <v>354</v>
      </c>
    </row>
    <row r="132" spans="1:7" x14ac:dyDescent="0.25">
      <c r="C132" t="e">
        <f t="shared" si="4"/>
        <v>#N/A</v>
      </c>
      <c r="F132" t="str">
        <f t="shared" si="5"/>
        <v/>
      </c>
      <c r="G132" t="s">
        <v>165</v>
      </c>
    </row>
    <row r="133" spans="1:7" x14ac:dyDescent="0.25">
      <c r="C133" t="e">
        <f t="shared" si="4"/>
        <v>#N/A</v>
      </c>
      <c r="F133" t="str">
        <f t="shared" si="5"/>
        <v/>
      </c>
      <c r="G133" t="s">
        <v>279</v>
      </c>
    </row>
    <row r="134" spans="1:7" x14ac:dyDescent="0.25">
      <c r="C134" t="e">
        <f t="shared" si="4"/>
        <v>#N/A</v>
      </c>
      <c r="E134" t="s">
        <v>355</v>
      </c>
      <c r="F134" t="str">
        <f t="shared" si="5"/>
        <v>ОПК-3.2</v>
      </c>
      <c r="G134" t="s">
        <v>356</v>
      </c>
    </row>
    <row r="135" spans="1:7" x14ac:dyDescent="0.25">
      <c r="C135" t="e">
        <f t="shared" si="4"/>
        <v>#N/A</v>
      </c>
      <c r="F135" t="str">
        <f t="shared" si="5"/>
        <v/>
      </c>
      <c r="G135" t="s">
        <v>165</v>
      </c>
    </row>
    <row r="136" spans="1:7" x14ac:dyDescent="0.25">
      <c r="A136" t="s">
        <v>115</v>
      </c>
      <c r="C136" t="e">
        <f t="shared" si="4"/>
        <v>#N/A</v>
      </c>
      <c r="F136" t="str">
        <f t="shared" si="5"/>
        <v/>
      </c>
      <c r="G136" t="s">
        <v>279</v>
      </c>
    </row>
    <row r="137" spans="1:7" x14ac:dyDescent="0.25">
      <c r="C137" t="e">
        <f t="shared" si="4"/>
        <v>#N/A</v>
      </c>
      <c r="D137" t="s">
        <v>92</v>
      </c>
      <c r="F137" t="str">
        <f t="shared" si="5"/>
        <v>ОПК-4</v>
      </c>
      <c r="G137" t="s">
        <v>357</v>
      </c>
    </row>
    <row r="138" spans="1:7" x14ac:dyDescent="0.25">
      <c r="C138" t="e">
        <f t="shared" si="4"/>
        <v>#N/A</v>
      </c>
      <c r="E138" t="s">
        <v>199</v>
      </c>
      <c r="F138" t="str">
        <f t="shared" si="5"/>
        <v>ОПК-4.1</v>
      </c>
      <c r="G138" t="s">
        <v>358</v>
      </c>
    </row>
    <row r="139" spans="1:7" x14ac:dyDescent="0.25">
      <c r="C139" t="e">
        <f t="shared" si="4"/>
        <v>#N/A</v>
      </c>
      <c r="F139" t="str">
        <f t="shared" si="5"/>
        <v/>
      </c>
      <c r="G139" t="s">
        <v>359</v>
      </c>
    </row>
    <row r="140" spans="1:7" x14ac:dyDescent="0.25">
      <c r="C140" t="e">
        <f t="shared" si="4"/>
        <v>#N/A</v>
      </c>
      <c r="F140" t="str">
        <f t="shared" si="5"/>
        <v/>
      </c>
      <c r="G140" t="s">
        <v>150</v>
      </c>
    </row>
    <row r="141" spans="1:7" x14ac:dyDescent="0.25">
      <c r="C141" t="e">
        <f t="shared" si="4"/>
        <v>#N/A</v>
      </c>
      <c r="F141" t="str">
        <f t="shared" si="5"/>
        <v/>
      </c>
      <c r="G141" t="s">
        <v>279</v>
      </c>
    </row>
    <row r="142" spans="1:7" x14ac:dyDescent="0.25">
      <c r="C142" t="e">
        <f t="shared" si="4"/>
        <v>#N/A</v>
      </c>
      <c r="E142" t="s">
        <v>200</v>
      </c>
      <c r="F142" t="str">
        <f t="shared" si="5"/>
        <v>ОПК-4.2</v>
      </c>
      <c r="G142" t="s">
        <v>360</v>
      </c>
    </row>
    <row r="143" spans="1:7" x14ac:dyDescent="0.25">
      <c r="C143" t="e">
        <f t="shared" si="4"/>
        <v>#N/A</v>
      </c>
      <c r="F143" t="str">
        <f t="shared" si="5"/>
        <v/>
      </c>
      <c r="G143" t="s">
        <v>359</v>
      </c>
    </row>
    <row r="144" spans="1:7" x14ac:dyDescent="0.25">
      <c r="C144" t="e">
        <f t="shared" si="4"/>
        <v>#N/A</v>
      </c>
      <c r="F144" t="str">
        <f t="shared" si="5"/>
        <v/>
      </c>
      <c r="G144" t="s">
        <v>151</v>
      </c>
    </row>
    <row r="145" spans="1:7" x14ac:dyDescent="0.25">
      <c r="C145" t="e">
        <f t="shared" si="4"/>
        <v>#N/A</v>
      </c>
      <c r="F145" t="str">
        <f t="shared" si="5"/>
        <v/>
      </c>
      <c r="G145" t="s">
        <v>167</v>
      </c>
    </row>
    <row r="146" spans="1:7" x14ac:dyDescent="0.25">
      <c r="C146" t="e">
        <f t="shared" si="4"/>
        <v>#N/A</v>
      </c>
      <c r="F146" t="str">
        <f t="shared" si="5"/>
        <v/>
      </c>
      <c r="G146" t="s">
        <v>279</v>
      </c>
    </row>
    <row r="147" spans="1:7" x14ac:dyDescent="0.25">
      <c r="C147" t="e">
        <f t="shared" si="4"/>
        <v>#N/A</v>
      </c>
      <c r="E147" t="s">
        <v>361</v>
      </c>
      <c r="F147" t="str">
        <f t="shared" si="5"/>
        <v>ОПК-4.3</v>
      </c>
      <c r="G147" t="s">
        <v>362</v>
      </c>
    </row>
    <row r="148" spans="1:7" x14ac:dyDescent="0.25">
      <c r="C148" t="e">
        <f t="shared" si="4"/>
        <v>#N/A</v>
      </c>
      <c r="F148" t="str">
        <f t="shared" si="5"/>
        <v/>
      </c>
      <c r="G148" t="s">
        <v>363</v>
      </c>
    </row>
    <row r="149" spans="1:7" x14ac:dyDescent="0.25">
      <c r="C149" t="e">
        <f t="shared" si="4"/>
        <v>#N/A</v>
      </c>
      <c r="F149" t="str">
        <f t="shared" si="5"/>
        <v/>
      </c>
      <c r="G149" t="s">
        <v>167</v>
      </c>
    </row>
    <row r="150" spans="1:7" x14ac:dyDescent="0.25">
      <c r="C150" t="e">
        <f t="shared" si="4"/>
        <v>#N/A</v>
      </c>
      <c r="F150" t="str">
        <f t="shared" si="5"/>
        <v/>
      </c>
      <c r="G150" t="s">
        <v>279</v>
      </c>
    </row>
    <row r="151" spans="1:7" x14ac:dyDescent="0.25">
      <c r="C151" t="e">
        <f t="shared" si="4"/>
        <v>#N/A</v>
      </c>
      <c r="E151" t="s">
        <v>214</v>
      </c>
      <c r="F151" t="str">
        <f t="shared" si="5"/>
        <v>ОПК-4.4</v>
      </c>
      <c r="G151" t="s">
        <v>101</v>
      </c>
    </row>
    <row r="152" spans="1:7" x14ac:dyDescent="0.25">
      <c r="C152" t="e">
        <f t="shared" si="4"/>
        <v>#N/A</v>
      </c>
      <c r="F152" t="str">
        <f t="shared" si="5"/>
        <v/>
      </c>
      <c r="G152" t="s">
        <v>363</v>
      </c>
    </row>
    <row r="153" spans="1:7" x14ac:dyDescent="0.25">
      <c r="A153" t="s">
        <v>119</v>
      </c>
      <c r="C153" t="e">
        <f t="shared" si="4"/>
        <v>#N/A</v>
      </c>
      <c r="F153" t="str">
        <f t="shared" si="5"/>
        <v/>
      </c>
      <c r="G153" t="s">
        <v>18</v>
      </c>
    </row>
    <row r="154" spans="1:7" x14ac:dyDescent="0.25">
      <c r="C154" t="e">
        <f t="shared" si="4"/>
        <v>#N/A</v>
      </c>
      <c r="F154" t="str">
        <f t="shared" si="5"/>
        <v/>
      </c>
      <c r="G154" t="s">
        <v>279</v>
      </c>
    </row>
    <row r="155" spans="1:7" x14ac:dyDescent="0.25">
      <c r="C155" t="e">
        <f t="shared" si="4"/>
        <v>#N/A</v>
      </c>
      <c r="D155" t="s">
        <v>96</v>
      </c>
      <c r="F155" t="str">
        <f t="shared" si="5"/>
        <v>ОПК-5</v>
      </c>
      <c r="G155" t="s">
        <v>364</v>
      </c>
    </row>
    <row r="156" spans="1:7" x14ac:dyDescent="0.25">
      <c r="C156" t="e">
        <f t="shared" si="4"/>
        <v>#N/A</v>
      </c>
      <c r="E156" t="s">
        <v>365</v>
      </c>
      <c r="F156" t="str">
        <f t="shared" si="5"/>
        <v>ОПК-5.1</v>
      </c>
      <c r="G156" t="s">
        <v>366</v>
      </c>
    </row>
    <row r="157" spans="1:7" x14ac:dyDescent="0.25">
      <c r="C157" t="e">
        <f t="shared" si="4"/>
        <v>#N/A</v>
      </c>
      <c r="F157" t="str">
        <f t="shared" si="5"/>
        <v/>
      </c>
      <c r="G157" t="s">
        <v>169</v>
      </c>
    </row>
    <row r="158" spans="1:7" x14ac:dyDescent="0.25">
      <c r="C158" t="e">
        <f t="shared" si="4"/>
        <v>#N/A</v>
      </c>
      <c r="F158" t="str">
        <f t="shared" si="5"/>
        <v/>
      </c>
      <c r="G158" t="s">
        <v>279</v>
      </c>
    </row>
    <row r="159" spans="1:7" x14ac:dyDescent="0.25">
      <c r="C159" t="e">
        <f t="shared" si="4"/>
        <v>#N/A</v>
      </c>
      <c r="E159" t="s">
        <v>367</v>
      </c>
      <c r="F159" t="str">
        <f t="shared" si="5"/>
        <v>ОПК-5.2</v>
      </c>
      <c r="G159" t="s">
        <v>368</v>
      </c>
    </row>
    <row r="160" spans="1:7" x14ac:dyDescent="0.25">
      <c r="C160" t="e">
        <f t="shared" si="4"/>
        <v>#N/A</v>
      </c>
      <c r="F160" t="str">
        <f t="shared" si="5"/>
        <v/>
      </c>
      <c r="G160" t="s">
        <v>166</v>
      </c>
    </row>
    <row r="161" spans="1:7" x14ac:dyDescent="0.25">
      <c r="C161" t="e">
        <f t="shared" si="4"/>
        <v>#N/A</v>
      </c>
      <c r="F161" t="str">
        <f t="shared" si="5"/>
        <v/>
      </c>
      <c r="G161" t="s">
        <v>279</v>
      </c>
    </row>
    <row r="162" spans="1:7" x14ac:dyDescent="0.25">
      <c r="A162" t="s">
        <v>123</v>
      </c>
      <c r="C162" t="e">
        <f t="shared" si="4"/>
        <v>#N/A</v>
      </c>
      <c r="E162" t="s">
        <v>100</v>
      </c>
      <c r="F162" t="str">
        <f t="shared" si="5"/>
        <v>ОПК-5.3</v>
      </c>
      <c r="G162" t="s">
        <v>369</v>
      </c>
    </row>
    <row r="163" spans="1:7" x14ac:dyDescent="0.25">
      <c r="C163" t="e">
        <f t="shared" si="4"/>
        <v>#N/A</v>
      </c>
      <c r="F163" t="str">
        <f t="shared" si="5"/>
        <v/>
      </c>
      <c r="G163" t="s">
        <v>158</v>
      </c>
    </row>
    <row r="164" spans="1:7" x14ac:dyDescent="0.25">
      <c r="C164" t="e">
        <f t="shared" si="4"/>
        <v>#N/A</v>
      </c>
      <c r="F164" t="str">
        <f t="shared" si="5"/>
        <v/>
      </c>
      <c r="G164" t="s">
        <v>38</v>
      </c>
    </row>
    <row r="165" spans="1:7" x14ac:dyDescent="0.25">
      <c r="C165" t="e">
        <f t="shared" si="4"/>
        <v>#N/A</v>
      </c>
      <c r="F165" t="str">
        <f t="shared" si="5"/>
        <v/>
      </c>
      <c r="G165" t="s">
        <v>279</v>
      </c>
    </row>
    <row r="166" spans="1:7" x14ac:dyDescent="0.25">
      <c r="C166" t="e">
        <f t="shared" si="4"/>
        <v>#N/A</v>
      </c>
      <c r="D166" t="s">
        <v>102</v>
      </c>
      <c r="F166" t="str">
        <f t="shared" si="5"/>
        <v>ОПК-6</v>
      </c>
      <c r="G166" t="s">
        <v>370</v>
      </c>
    </row>
    <row r="167" spans="1:7" x14ac:dyDescent="0.25">
      <c r="C167" t="e">
        <f t="shared" si="4"/>
        <v>#N/A</v>
      </c>
      <c r="E167" t="s">
        <v>104</v>
      </c>
      <c r="F167" t="str">
        <f t="shared" si="5"/>
        <v>ОПК-6.1</v>
      </c>
      <c r="G167" t="s">
        <v>371</v>
      </c>
    </row>
    <row r="168" spans="1:7" x14ac:dyDescent="0.25">
      <c r="C168" t="e">
        <f t="shared" si="4"/>
        <v>#N/A</v>
      </c>
      <c r="F168" t="str">
        <f t="shared" si="5"/>
        <v/>
      </c>
      <c r="G168" t="s">
        <v>169</v>
      </c>
    </row>
    <row r="169" spans="1:7" x14ac:dyDescent="0.25">
      <c r="C169" t="e">
        <f t="shared" si="4"/>
        <v>#N/A</v>
      </c>
      <c r="F169" t="str">
        <f t="shared" si="5"/>
        <v/>
      </c>
      <c r="G169" t="s">
        <v>279</v>
      </c>
    </row>
    <row r="170" spans="1:7" x14ac:dyDescent="0.25">
      <c r="C170" t="e">
        <f t="shared" si="4"/>
        <v>#N/A</v>
      </c>
      <c r="E170" t="s">
        <v>372</v>
      </c>
      <c r="F170" t="str">
        <f t="shared" si="5"/>
        <v>ОПК-6.2</v>
      </c>
      <c r="G170" t="s">
        <v>373</v>
      </c>
    </row>
    <row r="171" spans="1:7" x14ac:dyDescent="0.25">
      <c r="C171" t="e">
        <f t="shared" si="4"/>
        <v>#N/A</v>
      </c>
      <c r="F171" t="str">
        <f t="shared" si="5"/>
        <v/>
      </c>
      <c r="G171" t="s">
        <v>165</v>
      </c>
    </row>
    <row r="172" spans="1:7" x14ac:dyDescent="0.25">
      <c r="C172" t="e">
        <f t="shared" si="4"/>
        <v>#N/A</v>
      </c>
      <c r="F172" t="str">
        <f t="shared" si="5"/>
        <v/>
      </c>
      <c r="G172" t="s">
        <v>279</v>
      </c>
    </row>
    <row r="173" spans="1:7" x14ac:dyDescent="0.25">
      <c r="C173" t="e">
        <f t="shared" si="4"/>
        <v>#N/A</v>
      </c>
      <c r="D173" t="s">
        <v>107</v>
      </c>
      <c r="F173" t="str">
        <f t="shared" si="5"/>
        <v>ПК-1</v>
      </c>
      <c r="G173" t="s">
        <v>374</v>
      </c>
    </row>
    <row r="174" spans="1:7" x14ac:dyDescent="0.25">
      <c r="C174" t="e">
        <f t="shared" si="4"/>
        <v>#N/A</v>
      </c>
      <c r="E174" t="s">
        <v>109</v>
      </c>
      <c r="F174" t="str">
        <f t="shared" si="5"/>
        <v>ПК-1.1</v>
      </c>
      <c r="G174" t="s">
        <v>375</v>
      </c>
    </row>
    <row r="175" spans="1:7" x14ac:dyDescent="0.25">
      <c r="C175" t="e">
        <f t="shared" si="4"/>
        <v>#N/A</v>
      </c>
      <c r="F175" t="str">
        <f t="shared" si="5"/>
        <v/>
      </c>
      <c r="G175" t="s">
        <v>173</v>
      </c>
    </row>
    <row r="176" spans="1:7" x14ac:dyDescent="0.25">
      <c r="C176" t="e">
        <f t="shared" si="4"/>
        <v>#N/A</v>
      </c>
      <c r="F176" t="str">
        <f t="shared" si="5"/>
        <v/>
      </c>
      <c r="G176" t="s">
        <v>44</v>
      </c>
    </row>
    <row r="177" spans="1:7" x14ac:dyDescent="0.25">
      <c r="C177" t="e">
        <f t="shared" si="4"/>
        <v>#N/A</v>
      </c>
      <c r="F177" t="str">
        <f t="shared" si="5"/>
        <v/>
      </c>
      <c r="G177" t="s">
        <v>279</v>
      </c>
    </row>
    <row r="178" spans="1:7" x14ac:dyDescent="0.25">
      <c r="C178" t="e">
        <f t="shared" si="4"/>
        <v>#N/A</v>
      </c>
      <c r="E178" t="s">
        <v>111</v>
      </c>
      <c r="F178" t="str">
        <f t="shared" si="5"/>
        <v>ПК-1.2</v>
      </c>
      <c r="G178" t="s">
        <v>376</v>
      </c>
    </row>
    <row r="179" spans="1:7" x14ac:dyDescent="0.25">
      <c r="C179" t="e">
        <f t="shared" si="4"/>
        <v>#N/A</v>
      </c>
      <c r="F179" t="str">
        <f t="shared" si="5"/>
        <v/>
      </c>
      <c r="G179" t="s">
        <v>173</v>
      </c>
    </row>
    <row r="180" spans="1:7" x14ac:dyDescent="0.25">
      <c r="C180" t="e">
        <f t="shared" si="4"/>
        <v>#N/A</v>
      </c>
      <c r="F180" t="str">
        <f t="shared" si="5"/>
        <v/>
      </c>
      <c r="G180" t="s">
        <v>42</v>
      </c>
    </row>
    <row r="181" spans="1:7" x14ac:dyDescent="0.25">
      <c r="C181" t="e">
        <f t="shared" si="4"/>
        <v>#N/A</v>
      </c>
      <c r="F181" t="str">
        <f t="shared" si="5"/>
        <v/>
      </c>
      <c r="G181" t="s">
        <v>279</v>
      </c>
    </row>
    <row r="182" spans="1:7" x14ac:dyDescent="0.25">
      <c r="A182" t="s">
        <v>275</v>
      </c>
      <c r="C182" t="e">
        <f t="shared" si="4"/>
        <v>#N/A</v>
      </c>
      <c r="E182" t="s">
        <v>113</v>
      </c>
      <c r="F182" t="str">
        <f t="shared" si="5"/>
        <v>ПК-1.3</v>
      </c>
      <c r="G182" t="s">
        <v>377</v>
      </c>
    </row>
    <row r="183" spans="1:7" x14ac:dyDescent="0.25">
      <c r="C183" t="e">
        <f t="shared" si="4"/>
        <v>#N/A</v>
      </c>
      <c r="F183" t="str">
        <f t="shared" si="5"/>
        <v/>
      </c>
      <c r="G183" t="s">
        <v>181</v>
      </c>
    </row>
    <row r="184" spans="1:7" x14ac:dyDescent="0.25">
      <c r="C184" t="e">
        <f t="shared" si="4"/>
        <v>#N/A</v>
      </c>
      <c r="F184" t="str">
        <f t="shared" si="5"/>
        <v/>
      </c>
      <c r="G184" t="s">
        <v>182</v>
      </c>
    </row>
    <row r="185" spans="1:7" x14ac:dyDescent="0.25">
      <c r="C185" t="e">
        <f t="shared" si="4"/>
        <v>#N/A</v>
      </c>
      <c r="F185" t="str">
        <f t="shared" si="5"/>
        <v/>
      </c>
      <c r="G185" t="s">
        <v>44</v>
      </c>
    </row>
    <row r="186" spans="1:7" x14ac:dyDescent="0.25">
      <c r="C186" t="e">
        <f t="shared" si="4"/>
        <v>#N/A</v>
      </c>
      <c r="F186" t="str">
        <f t="shared" si="5"/>
        <v/>
      </c>
      <c r="G186" t="s">
        <v>279</v>
      </c>
    </row>
    <row r="187" spans="1:7" x14ac:dyDescent="0.25">
      <c r="C187" t="e">
        <f t="shared" si="4"/>
        <v>#N/A</v>
      </c>
      <c r="E187" t="s">
        <v>230</v>
      </c>
      <c r="F187" t="str">
        <f t="shared" si="5"/>
        <v>ПК-1.4</v>
      </c>
      <c r="G187" t="s">
        <v>378</v>
      </c>
    </row>
    <row r="188" spans="1:7" x14ac:dyDescent="0.25">
      <c r="C188" t="e">
        <f t="shared" si="4"/>
        <v>#N/A</v>
      </c>
      <c r="F188" t="str">
        <f t="shared" si="5"/>
        <v/>
      </c>
      <c r="G188" t="s">
        <v>187</v>
      </c>
    </row>
    <row r="189" spans="1:7" x14ac:dyDescent="0.25">
      <c r="C189" t="e">
        <f t="shared" si="4"/>
        <v>#N/A</v>
      </c>
      <c r="F189" t="str">
        <f t="shared" si="5"/>
        <v/>
      </c>
      <c r="G189" t="s">
        <v>188</v>
      </c>
    </row>
    <row r="190" spans="1:7" x14ac:dyDescent="0.25">
      <c r="C190" t="e">
        <f t="shared" si="4"/>
        <v>#N/A</v>
      </c>
      <c r="F190" t="str">
        <f t="shared" si="5"/>
        <v/>
      </c>
      <c r="G190" t="s">
        <v>191</v>
      </c>
    </row>
    <row r="191" spans="1:7" x14ac:dyDescent="0.25">
      <c r="C191" t="e">
        <f t="shared" si="4"/>
        <v>#N/A</v>
      </c>
      <c r="F191" t="str">
        <f t="shared" si="5"/>
        <v/>
      </c>
      <c r="G191" t="s">
        <v>279</v>
      </c>
    </row>
    <row r="192" spans="1:7" x14ac:dyDescent="0.25">
      <c r="C192" t="e">
        <f t="shared" si="4"/>
        <v>#N/A</v>
      </c>
      <c r="D192" t="s">
        <v>115</v>
      </c>
      <c r="F192" t="str">
        <f t="shared" si="5"/>
        <v>ПК-2</v>
      </c>
      <c r="G192" t="s">
        <v>379</v>
      </c>
    </row>
    <row r="193" spans="1:7" x14ac:dyDescent="0.25">
      <c r="C193" t="e">
        <f t="shared" si="4"/>
        <v>#N/A</v>
      </c>
      <c r="E193" t="s">
        <v>225</v>
      </c>
      <c r="F193" t="str">
        <f t="shared" si="5"/>
        <v>ПК-2.1</v>
      </c>
      <c r="G193" t="s">
        <v>380</v>
      </c>
    </row>
    <row r="194" spans="1:7" x14ac:dyDescent="0.25">
      <c r="C194" t="e">
        <f t="shared" ref="C194:C257" si="6">VLOOKUP(B194,F:G,2,0)</f>
        <v>#N/A</v>
      </c>
      <c r="F194" t="str">
        <f t="shared" si="5"/>
        <v/>
      </c>
      <c r="G194" t="s">
        <v>178</v>
      </c>
    </row>
    <row r="195" spans="1:7" x14ac:dyDescent="0.25">
      <c r="C195" t="e">
        <f t="shared" si="6"/>
        <v>#N/A</v>
      </c>
      <c r="F195" t="str">
        <f t="shared" ref="F195:F258" si="7">_xlfn.CONCAT(D195,E195)</f>
        <v/>
      </c>
      <c r="G195" t="s">
        <v>42</v>
      </c>
    </row>
    <row r="196" spans="1:7" x14ac:dyDescent="0.25">
      <c r="C196" t="e">
        <f t="shared" si="6"/>
        <v>#N/A</v>
      </c>
      <c r="F196" t="str">
        <f t="shared" si="7"/>
        <v/>
      </c>
      <c r="G196" t="s">
        <v>279</v>
      </c>
    </row>
    <row r="197" spans="1:7" x14ac:dyDescent="0.25">
      <c r="C197" t="e">
        <f t="shared" si="6"/>
        <v>#N/A</v>
      </c>
      <c r="E197" t="s">
        <v>381</v>
      </c>
      <c r="F197" t="str">
        <f t="shared" si="7"/>
        <v>ПК-2.2</v>
      </c>
      <c r="G197" t="s">
        <v>382</v>
      </c>
    </row>
    <row r="198" spans="1:7" x14ac:dyDescent="0.25">
      <c r="C198" t="e">
        <f t="shared" si="6"/>
        <v>#N/A</v>
      </c>
      <c r="F198" t="str">
        <f t="shared" si="7"/>
        <v/>
      </c>
      <c r="G198" t="s">
        <v>180</v>
      </c>
    </row>
    <row r="199" spans="1:7" x14ac:dyDescent="0.25">
      <c r="C199" t="e">
        <f t="shared" si="6"/>
        <v>#N/A</v>
      </c>
      <c r="F199" t="str">
        <f t="shared" si="7"/>
        <v/>
      </c>
      <c r="G199" t="s">
        <v>191</v>
      </c>
    </row>
    <row r="200" spans="1:7" x14ac:dyDescent="0.25">
      <c r="C200" t="e">
        <f t="shared" si="6"/>
        <v>#N/A</v>
      </c>
      <c r="F200" t="str">
        <f t="shared" si="7"/>
        <v/>
      </c>
      <c r="G200" t="s">
        <v>279</v>
      </c>
    </row>
    <row r="201" spans="1:7" x14ac:dyDescent="0.25">
      <c r="C201" t="e">
        <f t="shared" si="6"/>
        <v>#N/A</v>
      </c>
      <c r="E201" t="s">
        <v>383</v>
      </c>
      <c r="F201" t="str">
        <f t="shared" si="7"/>
        <v>ПК-2.3</v>
      </c>
      <c r="G201" t="s">
        <v>384</v>
      </c>
    </row>
    <row r="202" spans="1:7" x14ac:dyDescent="0.25">
      <c r="C202" t="e">
        <f t="shared" si="6"/>
        <v>#N/A</v>
      </c>
      <c r="F202" t="str">
        <f t="shared" si="7"/>
        <v/>
      </c>
      <c r="G202" t="s">
        <v>180</v>
      </c>
    </row>
    <row r="203" spans="1:7" x14ac:dyDescent="0.25">
      <c r="C203" t="e">
        <f t="shared" si="6"/>
        <v>#N/A</v>
      </c>
      <c r="F203" t="str">
        <f t="shared" si="7"/>
        <v/>
      </c>
      <c r="G203" t="s">
        <v>191</v>
      </c>
    </row>
    <row r="204" spans="1:7" x14ac:dyDescent="0.25">
      <c r="C204" t="e">
        <f t="shared" si="6"/>
        <v>#N/A</v>
      </c>
      <c r="F204" t="str">
        <f t="shared" si="7"/>
        <v/>
      </c>
      <c r="G204" t="s">
        <v>279</v>
      </c>
    </row>
    <row r="205" spans="1:7" x14ac:dyDescent="0.25">
      <c r="A205" t="s">
        <v>276</v>
      </c>
      <c r="C205" t="e">
        <f t="shared" si="6"/>
        <v>#N/A</v>
      </c>
      <c r="E205" t="s">
        <v>224</v>
      </c>
      <c r="F205" t="str">
        <f t="shared" si="7"/>
        <v>ПК-2.4</v>
      </c>
      <c r="G205" t="s">
        <v>385</v>
      </c>
    </row>
    <row r="206" spans="1:7" x14ac:dyDescent="0.25">
      <c r="C206" t="e">
        <f t="shared" si="6"/>
        <v>#N/A</v>
      </c>
      <c r="F206" t="str">
        <f t="shared" si="7"/>
        <v/>
      </c>
      <c r="G206" t="s">
        <v>176</v>
      </c>
    </row>
    <row r="207" spans="1:7" x14ac:dyDescent="0.25">
      <c r="C207" t="e">
        <f t="shared" si="6"/>
        <v>#N/A</v>
      </c>
      <c r="F207" t="str">
        <f t="shared" si="7"/>
        <v/>
      </c>
      <c r="G207" t="s">
        <v>44</v>
      </c>
    </row>
    <row r="208" spans="1:7" x14ac:dyDescent="0.25">
      <c r="C208" t="e">
        <f t="shared" si="6"/>
        <v>#N/A</v>
      </c>
      <c r="F208" t="str">
        <f t="shared" si="7"/>
        <v/>
      </c>
      <c r="G208" t="s">
        <v>279</v>
      </c>
    </row>
    <row r="209" spans="3:7" x14ac:dyDescent="0.25">
      <c r="C209" t="e">
        <f t="shared" si="6"/>
        <v>#N/A</v>
      </c>
      <c r="D209" t="s">
        <v>119</v>
      </c>
      <c r="F209" t="str">
        <f t="shared" si="7"/>
        <v>ПК-3</v>
      </c>
      <c r="G209" t="s">
        <v>386</v>
      </c>
    </row>
    <row r="210" spans="3:7" x14ac:dyDescent="0.25">
      <c r="C210" t="e">
        <f t="shared" si="6"/>
        <v>#N/A</v>
      </c>
      <c r="E210" t="s">
        <v>387</v>
      </c>
      <c r="F210" t="str">
        <f t="shared" si="7"/>
        <v>ПК-3.1</v>
      </c>
      <c r="G210" t="s">
        <v>388</v>
      </c>
    </row>
    <row r="211" spans="3:7" x14ac:dyDescent="0.25">
      <c r="C211" t="e">
        <f t="shared" si="6"/>
        <v>#N/A</v>
      </c>
      <c r="F211" t="str">
        <f t="shared" si="7"/>
        <v/>
      </c>
      <c r="G211" t="s">
        <v>177</v>
      </c>
    </row>
    <row r="212" spans="3:7" x14ac:dyDescent="0.25">
      <c r="C212" t="e">
        <f t="shared" si="6"/>
        <v>#N/A</v>
      </c>
      <c r="F212" t="str">
        <f t="shared" si="7"/>
        <v/>
      </c>
      <c r="G212" t="s">
        <v>42</v>
      </c>
    </row>
    <row r="213" spans="3:7" x14ac:dyDescent="0.25">
      <c r="C213" t="e">
        <f t="shared" si="6"/>
        <v>#N/A</v>
      </c>
      <c r="F213" t="str">
        <f t="shared" si="7"/>
        <v/>
      </c>
      <c r="G213" t="s">
        <v>279</v>
      </c>
    </row>
    <row r="214" spans="3:7" x14ac:dyDescent="0.25">
      <c r="C214" t="e">
        <f t="shared" si="6"/>
        <v>#N/A</v>
      </c>
      <c r="E214" t="s">
        <v>389</v>
      </c>
      <c r="F214" t="str">
        <f t="shared" si="7"/>
        <v>ПК-3.2</v>
      </c>
      <c r="G214" t="s">
        <v>390</v>
      </c>
    </row>
    <row r="215" spans="3:7" x14ac:dyDescent="0.25">
      <c r="C215" t="e">
        <f t="shared" si="6"/>
        <v>#N/A</v>
      </c>
      <c r="F215" t="str">
        <f t="shared" si="7"/>
        <v/>
      </c>
      <c r="G215" t="s">
        <v>177</v>
      </c>
    </row>
    <row r="216" spans="3:7" x14ac:dyDescent="0.25">
      <c r="C216" t="e">
        <f t="shared" si="6"/>
        <v>#N/A</v>
      </c>
      <c r="F216" t="str">
        <f t="shared" si="7"/>
        <v/>
      </c>
      <c r="G216" t="s">
        <v>42</v>
      </c>
    </row>
    <row r="217" spans="3:7" x14ac:dyDescent="0.25">
      <c r="C217" t="e">
        <f t="shared" si="6"/>
        <v>#N/A</v>
      </c>
      <c r="F217" t="str">
        <f t="shared" si="7"/>
        <v/>
      </c>
      <c r="G217" t="s">
        <v>279</v>
      </c>
    </row>
    <row r="218" spans="3:7" x14ac:dyDescent="0.25">
      <c r="C218" t="e">
        <f t="shared" si="6"/>
        <v>#N/A</v>
      </c>
      <c r="D218" t="s">
        <v>123</v>
      </c>
      <c r="F218" t="str">
        <f t="shared" si="7"/>
        <v>ПК-4</v>
      </c>
      <c r="G218" t="s">
        <v>391</v>
      </c>
    </row>
    <row r="219" spans="3:7" x14ac:dyDescent="0.25">
      <c r="C219" t="e">
        <f t="shared" si="6"/>
        <v>#N/A</v>
      </c>
      <c r="E219" t="s">
        <v>231</v>
      </c>
      <c r="F219" t="str">
        <f t="shared" si="7"/>
        <v>ПК-4.1</v>
      </c>
      <c r="G219" t="s">
        <v>392</v>
      </c>
    </row>
    <row r="220" spans="3:7" x14ac:dyDescent="0.25">
      <c r="C220" t="e">
        <f t="shared" si="6"/>
        <v>#N/A</v>
      </c>
      <c r="F220" t="str">
        <f t="shared" si="7"/>
        <v/>
      </c>
      <c r="G220" t="s">
        <v>189</v>
      </c>
    </row>
    <row r="221" spans="3:7" x14ac:dyDescent="0.25">
      <c r="C221" t="e">
        <f t="shared" si="6"/>
        <v>#N/A</v>
      </c>
      <c r="F221" t="str">
        <f t="shared" si="7"/>
        <v/>
      </c>
      <c r="G221" t="s">
        <v>190</v>
      </c>
    </row>
    <row r="222" spans="3:7" x14ac:dyDescent="0.25">
      <c r="C222" t="e">
        <f t="shared" si="6"/>
        <v>#N/A</v>
      </c>
      <c r="F222" t="str">
        <f t="shared" si="7"/>
        <v/>
      </c>
      <c r="G222" t="s">
        <v>44</v>
      </c>
    </row>
    <row r="223" spans="3:7" x14ac:dyDescent="0.25">
      <c r="C223" t="e">
        <f t="shared" si="6"/>
        <v>#N/A</v>
      </c>
      <c r="F223" t="str">
        <f t="shared" si="7"/>
        <v/>
      </c>
      <c r="G223" t="s">
        <v>279</v>
      </c>
    </row>
    <row r="224" spans="3:7" x14ac:dyDescent="0.25">
      <c r="C224" t="e">
        <f t="shared" si="6"/>
        <v>#N/A</v>
      </c>
      <c r="E224" t="s">
        <v>223</v>
      </c>
      <c r="F224" t="str">
        <f t="shared" si="7"/>
        <v>ПК-4.2</v>
      </c>
      <c r="G224" t="s">
        <v>393</v>
      </c>
    </row>
    <row r="225" spans="3:7" x14ac:dyDescent="0.25">
      <c r="C225" t="e">
        <f t="shared" si="6"/>
        <v>#N/A</v>
      </c>
      <c r="F225" t="str">
        <f t="shared" si="7"/>
        <v/>
      </c>
      <c r="G225" t="s">
        <v>175</v>
      </c>
    </row>
    <row r="226" spans="3:7" x14ac:dyDescent="0.25">
      <c r="C226" t="e">
        <f t="shared" si="6"/>
        <v>#N/A</v>
      </c>
      <c r="F226" t="str">
        <f t="shared" si="7"/>
        <v/>
      </c>
      <c r="G226" t="s">
        <v>191</v>
      </c>
    </row>
    <row r="227" spans="3:7" x14ac:dyDescent="0.25">
      <c r="C227" t="e">
        <f t="shared" si="6"/>
        <v>#N/A</v>
      </c>
      <c r="F227" t="str">
        <f t="shared" si="7"/>
        <v/>
      </c>
      <c r="G227" t="s">
        <v>279</v>
      </c>
    </row>
    <row r="228" spans="3:7" x14ac:dyDescent="0.25">
      <c r="C228" t="e">
        <f t="shared" si="6"/>
        <v>#N/A</v>
      </c>
      <c r="E228" t="s">
        <v>394</v>
      </c>
      <c r="F228" t="str">
        <f t="shared" si="7"/>
        <v>ПК-4.3</v>
      </c>
      <c r="G228" t="s">
        <v>395</v>
      </c>
    </row>
    <row r="229" spans="3:7" x14ac:dyDescent="0.25">
      <c r="C229" t="e">
        <f t="shared" si="6"/>
        <v>#N/A</v>
      </c>
      <c r="F229" t="str">
        <f t="shared" si="7"/>
        <v/>
      </c>
      <c r="G229" t="s">
        <v>183</v>
      </c>
    </row>
    <row r="230" spans="3:7" x14ac:dyDescent="0.25">
      <c r="C230" t="e">
        <f t="shared" si="6"/>
        <v>#N/A</v>
      </c>
      <c r="F230" t="str">
        <f t="shared" si="7"/>
        <v/>
      </c>
      <c r="G230" t="s">
        <v>184</v>
      </c>
    </row>
    <row r="231" spans="3:7" x14ac:dyDescent="0.25">
      <c r="C231" t="e">
        <f t="shared" si="6"/>
        <v>#N/A</v>
      </c>
      <c r="F231" t="str">
        <f t="shared" si="7"/>
        <v/>
      </c>
      <c r="G231" t="s">
        <v>191</v>
      </c>
    </row>
    <row r="232" spans="3:7" x14ac:dyDescent="0.25">
      <c r="C232" t="e">
        <f t="shared" si="6"/>
        <v>#N/A</v>
      </c>
      <c r="F232" t="str">
        <f t="shared" si="7"/>
        <v/>
      </c>
      <c r="G232" t="s">
        <v>279</v>
      </c>
    </row>
    <row r="233" spans="3:7" x14ac:dyDescent="0.25">
      <c r="C233" t="e">
        <f t="shared" si="6"/>
        <v>#N/A</v>
      </c>
      <c r="E233" t="s">
        <v>396</v>
      </c>
      <c r="F233" t="str">
        <f t="shared" si="7"/>
        <v>ПК-4.4</v>
      </c>
      <c r="G233" t="s">
        <v>397</v>
      </c>
    </row>
    <row r="234" spans="3:7" x14ac:dyDescent="0.25">
      <c r="C234" t="e">
        <f t="shared" si="6"/>
        <v>#N/A</v>
      </c>
      <c r="F234" t="str">
        <f t="shared" si="7"/>
        <v/>
      </c>
      <c r="G234" t="s">
        <v>183</v>
      </c>
    </row>
    <row r="235" spans="3:7" x14ac:dyDescent="0.25">
      <c r="C235" t="e">
        <f t="shared" si="6"/>
        <v>#N/A</v>
      </c>
      <c r="F235" t="str">
        <f t="shared" si="7"/>
        <v/>
      </c>
      <c r="G235" t="s">
        <v>184</v>
      </c>
    </row>
    <row r="236" spans="3:7" x14ac:dyDescent="0.25">
      <c r="C236" t="e">
        <f t="shared" si="6"/>
        <v>#N/A</v>
      </c>
      <c r="F236" t="str">
        <f t="shared" si="7"/>
        <v/>
      </c>
      <c r="G236" t="s">
        <v>44</v>
      </c>
    </row>
    <row r="237" spans="3:7" x14ac:dyDescent="0.25">
      <c r="C237" t="e">
        <f t="shared" si="6"/>
        <v>#N/A</v>
      </c>
      <c r="F237" t="str">
        <f t="shared" si="7"/>
        <v/>
      </c>
      <c r="G237" t="s">
        <v>279</v>
      </c>
    </row>
    <row r="238" spans="3:7" x14ac:dyDescent="0.25">
      <c r="C238" t="e">
        <f t="shared" si="6"/>
        <v>#N/A</v>
      </c>
      <c r="D238" t="s">
        <v>275</v>
      </c>
      <c r="F238" t="str">
        <f t="shared" si="7"/>
        <v>ПК-5</v>
      </c>
      <c r="G238" t="s">
        <v>398</v>
      </c>
    </row>
    <row r="239" spans="3:7" x14ac:dyDescent="0.25">
      <c r="C239" t="e">
        <f t="shared" si="6"/>
        <v>#N/A</v>
      </c>
      <c r="E239" t="s">
        <v>399</v>
      </c>
      <c r="F239" t="str">
        <f t="shared" si="7"/>
        <v>ПК-5.1</v>
      </c>
      <c r="G239" t="s">
        <v>400</v>
      </c>
    </row>
    <row r="240" spans="3:7" x14ac:dyDescent="0.25">
      <c r="C240" t="e">
        <f t="shared" si="6"/>
        <v>#N/A</v>
      </c>
      <c r="F240" t="str">
        <f t="shared" si="7"/>
        <v/>
      </c>
      <c r="G240" t="s">
        <v>168</v>
      </c>
    </row>
    <row r="241" spans="3:7" x14ac:dyDescent="0.25">
      <c r="C241" t="e">
        <f t="shared" si="6"/>
        <v>#N/A</v>
      </c>
      <c r="F241" t="str">
        <f t="shared" si="7"/>
        <v/>
      </c>
      <c r="G241" t="s">
        <v>191</v>
      </c>
    </row>
    <row r="242" spans="3:7" x14ac:dyDescent="0.25">
      <c r="C242" t="e">
        <f t="shared" si="6"/>
        <v>#N/A</v>
      </c>
      <c r="F242" t="str">
        <f t="shared" si="7"/>
        <v/>
      </c>
      <c r="G242" t="s">
        <v>279</v>
      </c>
    </row>
    <row r="243" spans="3:7" x14ac:dyDescent="0.25">
      <c r="C243" t="e">
        <f t="shared" si="6"/>
        <v>#N/A</v>
      </c>
      <c r="E243" t="s">
        <v>222</v>
      </c>
      <c r="F243" t="str">
        <f t="shared" si="7"/>
        <v>ПК-5.2</v>
      </c>
      <c r="G243" t="s">
        <v>401</v>
      </c>
    </row>
    <row r="244" spans="3:7" x14ac:dyDescent="0.25">
      <c r="C244" t="e">
        <f t="shared" si="6"/>
        <v>#N/A</v>
      </c>
      <c r="F244" t="str">
        <f t="shared" si="7"/>
        <v/>
      </c>
      <c r="G244" t="s">
        <v>174</v>
      </c>
    </row>
    <row r="245" spans="3:7" x14ac:dyDescent="0.25">
      <c r="C245" t="e">
        <f t="shared" si="6"/>
        <v>#N/A</v>
      </c>
      <c r="F245" t="str">
        <f t="shared" si="7"/>
        <v/>
      </c>
      <c r="G245" t="s">
        <v>42</v>
      </c>
    </row>
    <row r="246" spans="3:7" x14ac:dyDescent="0.25">
      <c r="C246" t="e">
        <f t="shared" si="6"/>
        <v>#N/A</v>
      </c>
      <c r="F246" t="str">
        <f t="shared" si="7"/>
        <v/>
      </c>
      <c r="G246" t="s">
        <v>279</v>
      </c>
    </row>
    <row r="247" spans="3:7" x14ac:dyDescent="0.25">
      <c r="C247" t="e">
        <f t="shared" si="6"/>
        <v>#N/A</v>
      </c>
      <c r="E247" t="s">
        <v>402</v>
      </c>
      <c r="F247" t="str">
        <f t="shared" si="7"/>
        <v>ПК-5.3</v>
      </c>
      <c r="G247" t="s">
        <v>403</v>
      </c>
    </row>
    <row r="248" spans="3:7" x14ac:dyDescent="0.25">
      <c r="C248" t="e">
        <f t="shared" si="6"/>
        <v>#N/A</v>
      </c>
      <c r="F248" t="str">
        <f t="shared" si="7"/>
        <v/>
      </c>
      <c r="G248" t="s">
        <v>169</v>
      </c>
    </row>
    <row r="249" spans="3:7" x14ac:dyDescent="0.25">
      <c r="C249" t="e">
        <f t="shared" si="6"/>
        <v>#N/A</v>
      </c>
      <c r="F249" t="str">
        <f t="shared" si="7"/>
        <v/>
      </c>
      <c r="G249" t="s">
        <v>191</v>
      </c>
    </row>
    <row r="250" spans="3:7" x14ac:dyDescent="0.25">
      <c r="C250" t="e">
        <f t="shared" si="6"/>
        <v>#N/A</v>
      </c>
      <c r="F250" t="str">
        <f t="shared" si="7"/>
        <v/>
      </c>
      <c r="G250" t="s">
        <v>279</v>
      </c>
    </row>
    <row r="251" spans="3:7" x14ac:dyDescent="0.25">
      <c r="C251" t="e">
        <f t="shared" si="6"/>
        <v>#N/A</v>
      </c>
      <c r="E251" t="s">
        <v>229</v>
      </c>
      <c r="F251" t="str">
        <f t="shared" si="7"/>
        <v>ПК-5.4</v>
      </c>
      <c r="G251" t="s">
        <v>404</v>
      </c>
    </row>
    <row r="252" spans="3:7" x14ac:dyDescent="0.25">
      <c r="C252" t="e">
        <f t="shared" si="6"/>
        <v>#N/A</v>
      </c>
      <c r="F252" t="str">
        <f t="shared" si="7"/>
        <v/>
      </c>
      <c r="G252" t="s">
        <v>185</v>
      </c>
    </row>
    <row r="253" spans="3:7" x14ac:dyDescent="0.25">
      <c r="C253" t="e">
        <f t="shared" si="6"/>
        <v>#N/A</v>
      </c>
      <c r="F253" t="str">
        <f t="shared" si="7"/>
        <v/>
      </c>
      <c r="G253" t="s">
        <v>186</v>
      </c>
    </row>
    <row r="254" spans="3:7" x14ac:dyDescent="0.25">
      <c r="C254" t="e">
        <f t="shared" si="6"/>
        <v>#N/A</v>
      </c>
      <c r="F254" t="str">
        <f t="shared" si="7"/>
        <v/>
      </c>
      <c r="G254" t="s">
        <v>44</v>
      </c>
    </row>
    <row r="255" spans="3:7" x14ac:dyDescent="0.25">
      <c r="C255" t="e">
        <f t="shared" si="6"/>
        <v>#N/A</v>
      </c>
      <c r="F255" t="str">
        <f t="shared" si="7"/>
        <v/>
      </c>
      <c r="G255" t="s">
        <v>279</v>
      </c>
    </row>
    <row r="256" spans="3:7" x14ac:dyDescent="0.25">
      <c r="C256" t="e">
        <f t="shared" si="6"/>
        <v>#N/A</v>
      </c>
      <c r="E256" t="s">
        <v>220</v>
      </c>
      <c r="F256" t="str">
        <f t="shared" si="7"/>
        <v>ПК-5.5</v>
      </c>
      <c r="G256" t="s">
        <v>405</v>
      </c>
    </row>
    <row r="257" spans="3:7" x14ac:dyDescent="0.25">
      <c r="C257" t="e">
        <f t="shared" si="6"/>
        <v>#N/A</v>
      </c>
      <c r="F257" t="str">
        <f t="shared" si="7"/>
        <v/>
      </c>
      <c r="G257" t="s">
        <v>172</v>
      </c>
    </row>
    <row r="258" spans="3:7" x14ac:dyDescent="0.25">
      <c r="C258" t="e">
        <f t="shared" ref="C258:C269" si="8">VLOOKUP(B258,F:G,2,0)</f>
        <v>#N/A</v>
      </c>
      <c r="F258" t="str">
        <f t="shared" si="7"/>
        <v/>
      </c>
      <c r="G258" t="s">
        <v>38</v>
      </c>
    </row>
    <row r="259" spans="3:7" x14ac:dyDescent="0.25">
      <c r="C259" t="e">
        <f t="shared" si="8"/>
        <v>#N/A</v>
      </c>
      <c r="F259" t="str">
        <f t="shared" ref="F259:F269" si="9">_xlfn.CONCAT(D259,E259)</f>
        <v/>
      </c>
      <c r="G259" t="s">
        <v>44</v>
      </c>
    </row>
    <row r="260" spans="3:7" x14ac:dyDescent="0.25">
      <c r="C260" t="e">
        <f t="shared" si="8"/>
        <v>#N/A</v>
      </c>
      <c r="F260" t="str">
        <f t="shared" si="9"/>
        <v/>
      </c>
      <c r="G260" t="s">
        <v>279</v>
      </c>
    </row>
    <row r="261" spans="3:7" x14ac:dyDescent="0.25">
      <c r="C261" t="e">
        <f t="shared" si="8"/>
        <v>#N/A</v>
      </c>
      <c r="D261" t="s">
        <v>276</v>
      </c>
      <c r="F261" t="str">
        <f t="shared" si="9"/>
        <v>ПК-6</v>
      </c>
      <c r="G261" t="s">
        <v>406</v>
      </c>
    </row>
    <row r="262" spans="3:7" x14ac:dyDescent="0.25">
      <c r="C262" t="e">
        <f t="shared" si="8"/>
        <v>#N/A</v>
      </c>
      <c r="E262" t="s">
        <v>407</v>
      </c>
      <c r="F262" t="str">
        <f t="shared" si="9"/>
        <v>ПК-6.1</v>
      </c>
      <c r="G262" t="s">
        <v>408</v>
      </c>
    </row>
    <row r="263" spans="3:7" x14ac:dyDescent="0.25">
      <c r="C263" t="e">
        <f t="shared" si="8"/>
        <v>#N/A</v>
      </c>
      <c r="F263" t="str">
        <f t="shared" si="9"/>
        <v/>
      </c>
      <c r="G263" t="s">
        <v>179</v>
      </c>
    </row>
    <row r="264" spans="3:7" x14ac:dyDescent="0.25">
      <c r="C264" t="e">
        <f t="shared" si="8"/>
        <v>#N/A</v>
      </c>
      <c r="F264" t="str">
        <f t="shared" si="9"/>
        <v/>
      </c>
      <c r="G264" t="s">
        <v>191</v>
      </c>
    </row>
    <row r="265" spans="3:7" x14ac:dyDescent="0.25">
      <c r="C265" t="e">
        <f t="shared" si="8"/>
        <v>#N/A</v>
      </c>
      <c r="F265" t="str">
        <f t="shared" si="9"/>
        <v/>
      </c>
      <c r="G265" t="s">
        <v>279</v>
      </c>
    </row>
    <row r="266" spans="3:7" x14ac:dyDescent="0.25">
      <c r="C266" t="e">
        <f t="shared" si="8"/>
        <v>#N/A</v>
      </c>
      <c r="E266" t="s">
        <v>409</v>
      </c>
      <c r="F266" t="str">
        <f t="shared" si="9"/>
        <v>ПК-6.2</v>
      </c>
      <c r="G266" t="s">
        <v>410</v>
      </c>
    </row>
    <row r="267" spans="3:7" x14ac:dyDescent="0.25">
      <c r="C267" t="e">
        <f t="shared" si="8"/>
        <v>#N/A</v>
      </c>
      <c r="F267" t="str">
        <f t="shared" si="9"/>
        <v/>
      </c>
      <c r="G267" t="s">
        <v>179</v>
      </c>
    </row>
    <row r="268" spans="3:7" x14ac:dyDescent="0.25">
      <c r="C268" t="e">
        <f t="shared" si="8"/>
        <v>#N/A</v>
      </c>
      <c r="F268" t="str">
        <f t="shared" si="9"/>
        <v/>
      </c>
      <c r="G268" t="s">
        <v>191</v>
      </c>
    </row>
    <row r="269" spans="3:7" x14ac:dyDescent="0.25">
      <c r="C269" t="e">
        <f t="shared" si="8"/>
        <v>#N/A</v>
      </c>
      <c r="F269" t="str">
        <f t="shared" si="9"/>
        <v/>
      </c>
      <c r="G269" t="s">
        <v>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86B4-AC2E-4E63-8BBB-15A76F131CCE}">
  <dimension ref="A1:AI55"/>
  <sheetViews>
    <sheetView tabSelected="1" zoomScale="115" zoomScaleNormal="115" workbookViewId="0">
      <selection activeCell="C4" sqref="C4"/>
    </sheetView>
    <sheetView workbookViewId="1"/>
  </sheetViews>
  <sheetFormatPr defaultRowHeight="15" x14ac:dyDescent="0.25"/>
  <cols>
    <col min="1" max="1" width="18.85546875" bestFit="1" customWidth="1"/>
    <col min="2" max="2" width="40" customWidth="1"/>
    <col min="3" max="7" width="31.7109375" customWidth="1"/>
    <col min="8" max="8" width="20.85546875" bestFit="1" customWidth="1"/>
    <col min="10" max="10" width="63.5703125" customWidth="1"/>
    <col min="11" max="18" width="13.140625" customWidth="1"/>
  </cols>
  <sheetData>
    <row r="1" spans="1:35" ht="15.75" thickBot="1" x14ac:dyDescent="0.3">
      <c r="C1" t="s">
        <v>413</v>
      </c>
      <c r="G1" s="30">
        <v>7</v>
      </c>
      <c r="K1">
        <v>1</v>
      </c>
      <c r="L1">
        <v>2</v>
      </c>
      <c r="M1">
        <v>3</v>
      </c>
      <c r="N1">
        <v>4</v>
      </c>
      <c r="O1">
        <v>5</v>
      </c>
      <c r="P1">
        <v>6</v>
      </c>
      <c r="Q1">
        <v>7</v>
      </c>
      <c r="R1">
        <v>8</v>
      </c>
      <c r="S1">
        <v>9</v>
      </c>
      <c r="T1">
        <v>10</v>
      </c>
      <c r="U1">
        <v>11</v>
      </c>
      <c r="V1">
        <v>12</v>
      </c>
      <c r="W1">
        <v>13</v>
      </c>
      <c r="X1">
        <v>14</v>
      </c>
      <c r="Y1">
        <v>15</v>
      </c>
      <c r="Z1">
        <v>16</v>
      </c>
      <c r="AA1">
        <v>17</v>
      </c>
      <c r="AB1">
        <v>18</v>
      </c>
      <c r="AC1">
        <v>19</v>
      </c>
      <c r="AD1">
        <v>20</v>
      </c>
      <c r="AE1">
        <v>21</v>
      </c>
      <c r="AF1">
        <v>22</v>
      </c>
      <c r="AG1">
        <v>23</v>
      </c>
      <c r="AH1">
        <v>24</v>
      </c>
      <c r="AI1">
        <v>25</v>
      </c>
    </row>
    <row r="2" spans="1:35" ht="105" x14ac:dyDescent="0.25">
      <c r="C2" s="29" t="str">
        <f>HLOOKUP($G$1,$K$1:$AI$4,4,0)</f>
        <v>ОПК-3.1; ПК-2.1; ПК-2.2</v>
      </c>
      <c r="D2" s="29"/>
      <c r="E2" s="29"/>
      <c r="F2" s="29"/>
      <c r="G2" s="29" t="str">
        <f>_xlfn.CONCAT(HLOOKUP($G$1,$K$1:$AI$4,3,0)," ",HLOOKUP($G$1,$K$1:$AI$4,2,0))</f>
        <v>Б1.О.07 Экономика транспортных систем</v>
      </c>
      <c r="I2" s="42" t="s">
        <v>0</v>
      </c>
      <c r="J2" s="43" t="s">
        <v>49</v>
      </c>
      <c r="K2" s="6" t="s">
        <v>2</v>
      </c>
      <c r="L2" s="4" t="s">
        <v>4</v>
      </c>
      <c r="M2" s="4" t="s">
        <v>6</v>
      </c>
      <c r="N2" s="4" t="s">
        <v>8</v>
      </c>
      <c r="O2" s="4" t="s">
        <v>10</v>
      </c>
      <c r="P2" s="4" t="s">
        <v>12</v>
      </c>
      <c r="Q2" s="4" t="s">
        <v>14</v>
      </c>
      <c r="R2" s="4" t="s">
        <v>16</v>
      </c>
      <c r="S2" s="4" t="s">
        <v>18</v>
      </c>
      <c r="T2" s="4" t="s">
        <v>20</v>
      </c>
      <c r="U2" s="4" t="s">
        <v>22</v>
      </c>
      <c r="V2" s="4" t="s">
        <v>24</v>
      </c>
      <c r="W2" s="4" t="s">
        <v>26</v>
      </c>
      <c r="X2" s="4" t="s">
        <v>28</v>
      </c>
      <c r="Y2" s="4" t="s">
        <v>30</v>
      </c>
      <c r="Z2" s="4" t="s">
        <v>32</v>
      </c>
      <c r="AA2" s="4" t="s">
        <v>34</v>
      </c>
      <c r="AB2" s="4" t="s">
        <v>36</v>
      </c>
      <c r="AC2" s="4" t="s">
        <v>38</v>
      </c>
      <c r="AD2" s="4" t="s">
        <v>40</v>
      </c>
      <c r="AE2" s="4" t="s">
        <v>42</v>
      </c>
      <c r="AF2" s="5" t="s">
        <v>44</v>
      </c>
      <c r="AG2" s="46" t="s">
        <v>141</v>
      </c>
      <c r="AH2" s="6" t="s">
        <v>46</v>
      </c>
      <c r="AI2" s="5" t="s">
        <v>48</v>
      </c>
    </row>
    <row r="3" spans="1:35" x14ac:dyDescent="0.25">
      <c r="A3" s="51" t="s">
        <v>411</v>
      </c>
      <c r="B3" s="51" t="s">
        <v>412</v>
      </c>
      <c r="C3" s="52" t="s">
        <v>414</v>
      </c>
      <c r="D3" s="52" t="s">
        <v>415</v>
      </c>
      <c r="E3" s="51" t="s">
        <v>416</v>
      </c>
      <c r="F3" s="51" t="s">
        <v>417</v>
      </c>
      <c r="G3" s="52" t="s">
        <v>418</v>
      </c>
      <c r="H3" s="51" t="s">
        <v>419</v>
      </c>
      <c r="I3" s="49"/>
      <c r="J3" s="44"/>
      <c r="K3" s="3" t="s">
        <v>1</v>
      </c>
      <c r="L3" s="1" t="s">
        <v>3</v>
      </c>
      <c r="M3" s="1" t="s">
        <v>5</v>
      </c>
      <c r="N3" s="1" t="s">
        <v>7</v>
      </c>
      <c r="O3" s="1" t="s">
        <v>9</v>
      </c>
      <c r="P3" s="1" t="s">
        <v>11</v>
      </c>
      <c r="Q3" s="1" t="s">
        <v>13</v>
      </c>
      <c r="R3" s="1" t="s">
        <v>15</v>
      </c>
      <c r="S3" s="1" t="s">
        <v>17</v>
      </c>
      <c r="T3" s="1" t="s">
        <v>19</v>
      </c>
      <c r="U3" s="1" t="s">
        <v>21</v>
      </c>
      <c r="V3" s="1" t="s">
        <v>23</v>
      </c>
      <c r="W3" s="1" t="s">
        <v>25</v>
      </c>
      <c r="X3" s="1" t="s">
        <v>27</v>
      </c>
      <c r="Y3" s="1" t="s">
        <v>29</v>
      </c>
      <c r="Z3" s="1" t="s">
        <v>31</v>
      </c>
      <c r="AA3" s="1" t="s">
        <v>33</v>
      </c>
      <c r="AB3" s="1" t="s">
        <v>35</v>
      </c>
      <c r="AC3" s="1" t="s">
        <v>37</v>
      </c>
      <c r="AD3" s="1" t="s">
        <v>39</v>
      </c>
      <c r="AE3" s="1" t="s">
        <v>41</v>
      </c>
      <c r="AF3" s="2" t="s">
        <v>43</v>
      </c>
      <c r="AG3" s="47"/>
      <c r="AH3" s="3" t="s">
        <v>45</v>
      </c>
      <c r="AI3" s="2" t="s">
        <v>47</v>
      </c>
    </row>
    <row r="4" spans="1:35" ht="165.75" thickBot="1" x14ac:dyDescent="0.3">
      <c r="A4" s="51" t="str">
        <f>IFERROR(LEFT(C4,SEARCH(".",C4)-1),"")</f>
        <v>ОПК-3</v>
      </c>
      <c r="B4" s="52" t="str">
        <f>IFERROR(VLOOKUP(A4,$I$5:$J$54,2,0),"")</f>
        <v>Способен управлять жизненным циклом инженерных продуктов с учетом экономических, экологических и социальных ограничений</v>
      </c>
      <c r="C4" s="52" t="str" cm="1">
        <f t="array" ref="C4:C6">_xlfn.TEXTSPLIT(C2,," ")</f>
        <v>ОПК-3.1;</v>
      </c>
      <c r="D4" s="52" t="str">
        <f>IFERROR(VLOOKUP(IF(RIGHT(C4,1)&lt;&gt;";",C4,LEFT(C4,LEN(C4)-1)),$I$5:$J$54,2,0),"")</f>
        <v xml:space="preserve">Анализирует стадии жизненного цикла инженерных продуктов и подходы к экономической оценке их стоимости </v>
      </c>
      <c r="E4" s="53" t="str">
        <f>_xlfn.CONCAT(A4," ",B4)</f>
        <v>ОПК-3 Способен управлять жизненным циклом инженерных продуктов с учетом экономических, экологических и социальных ограничений</v>
      </c>
      <c r="F4" s="53" t="str">
        <f>_xlfn.CONCAT(IF(RIGHT(C4,1)&lt;&gt;";",C4,LEFT(C4,LEN(C4)-1))," ",D4)</f>
        <v xml:space="preserve">ОПК-3.1 Анализирует стадии жизненного цикла инженерных продуктов и подходы к экономической оценке их стоимости </v>
      </c>
      <c r="G4" s="53" t="str">
        <f>$G$2</f>
        <v>Б1.О.07 Экономика транспортных систем</v>
      </c>
      <c r="H4" s="51">
        <f>IFERROR(VLOOKUP(IF(RIGHT(C4,1)&lt;&gt;";",C4,LEFT(C4,LEN(C4)-1)),$I$5:$AI$54,$G$1+2,0),"")</f>
        <v>10</v>
      </c>
      <c r="I4" s="50"/>
      <c r="J4" s="45"/>
      <c r="K4" s="9" t="s">
        <v>127</v>
      </c>
      <c r="L4" s="7" t="s">
        <v>128</v>
      </c>
      <c r="M4" s="7" t="s">
        <v>129</v>
      </c>
      <c r="N4" s="7" t="s">
        <v>104</v>
      </c>
      <c r="O4" s="7" t="s">
        <v>130</v>
      </c>
      <c r="P4" s="7" t="s">
        <v>131</v>
      </c>
      <c r="Q4" s="7" t="s">
        <v>132</v>
      </c>
      <c r="R4" s="7" t="s">
        <v>82</v>
      </c>
      <c r="S4" s="7" t="s">
        <v>100</v>
      </c>
      <c r="T4" s="7" t="s">
        <v>133</v>
      </c>
      <c r="U4" s="7" t="s">
        <v>134</v>
      </c>
      <c r="V4" s="7" t="s">
        <v>109</v>
      </c>
      <c r="W4" s="7" t="s">
        <v>113</v>
      </c>
      <c r="X4" s="7" t="s">
        <v>113</v>
      </c>
      <c r="Y4" s="7" t="s">
        <v>111</v>
      </c>
      <c r="Z4" s="7" t="s">
        <v>111</v>
      </c>
      <c r="AA4" s="7" t="s">
        <v>135</v>
      </c>
      <c r="AB4" s="7" t="s">
        <v>135</v>
      </c>
      <c r="AC4" s="7" t="s">
        <v>136</v>
      </c>
      <c r="AD4" s="7" t="s">
        <v>137</v>
      </c>
      <c r="AE4" s="7" t="s">
        <v>138</v>
      </c>
      <c r="AF4" s="8" t="s">
        <v>139</v>
      </c>
      <c r="AG4" s="48"/>
      <c r="AH4" s="9" t="s">
        <v>109</v>
      </c>
      <c r="AI4" s="8" t="s">
        <v>72</v>
      </c>
    </row>
    <row r="5" spans="1:35" ht="105" x14ac:dyDescent="0.25">
      <c r="A5" s="51" t="str">
        <f t="shared" ref="A5:A14" si="0">IFERROR(LEFT(C5,SEARCH(".",C5)-1),"")</f>
        <v>ПК-2</v>
      </c>
      <c r="B5" s="51" t="str">
        <f t="shared" ref="B5:B14" si="1">IFERROR(VLOOKUP(A5,$I$5:$J$54,2,0),"")</f>
        <v>Способен осуществлять контроль ключевых финансовых показателей логистической деятельности по перевозке груза в цепи поставок</v>
      </c>
      <c r="C5" s="52" t="str">
        <v>ПК-2.1;</v>
      </c>
      <c r="D5" s="52" t="str">
        <f t="shared" ref="D5:D14" si="2">IFERROR(VLOOKUP(IF(RIGHT(C5,1)&lt;&gt;";",C5,LEFT(C5,LEN(C5)-1)),$I$5:$J$54,2,0),"")</f>
        <v>Анализирует финансовую информацию и разрабатывает план мероприятий по достижению финансовых показателей деятельности по перевозке грузов в рамках цепей поставок</v>
      </c>
      <c r="E5" s="53" t="str">
        <f t="shared" ref="E5:E14" si="3">_xlfn.CONCAT(A5," ",B5)</f>
        <v>ПК-2 Способен осуществлять контроль ключевых финансовых показателей логистической деятельности по перевозке груза в цепи поставок</v>
      </c>
      <c r="F5" s="53" t="str">
        <f t="shared" ref="F5:F14" si="4">_xlfn.CONCAT(IF(RIGHT(C5,1)&lt;&gt;";",C5,LEFT(C5,LEN(C5)-1))," ",D5)</f>
        <v>ПК-2.1 Анализирует финансовую информацию и разрабатывает план мероприятий по достижению финансовых показателей деятельности по перевозке грузов в рамках цепей поставок</v>
      </c>
      <c r="G5" s="53" t="str">
        <f>IF(F5&lt;&gt;" ",$G$2,"")</f>
        <v>Б1.О.07 Экономика транспортных систем</v>
      </c>
      <c r="H5" s="51">
        <f>IFERROR(VLOOKUP(IF(RIGHT(C5,1)&lt;&gt;";",C5,LEFT(C5,LEN(C5)-1)),$I$5:$AI$54,$G$1+2,0),"")</f>
        <v>6</v>
      </c>
      <c r="I5" s="54" t="s">
        <v>50</v>
      </c>
      <c r="J5" s="17" t="s">
        <v>51</v>
      </c>
      <c r="K5" s="18" t="s">
        <v>140</v>
      </c>
      <c r="L5" s="19">
        <v>16</v>
      </c>
      <c r="M5" s="19" t="s">
        <v>140</v>
      </c>
      <c r="N5" s="19" t="s">
        <v>140</v>
      </c>
      <c r="O5" s="19" t="s">
        <v>140</v>
      </c>
      <c r="P5" s="19" t="s">
        <v>140</v>
      </c>
      <c r="Q5" s="19" t="s">
        <v>140</v>
      </c>
      <c r="R5" s="19" t="s">
        <v>140</v>
      </c>
      <c r="S5" s="19" t="s">
        <v>140</v>
      </c>
      <c r="T5" s="19" t="s">
        <v>140</v>
      </c>
      <c r="U5" s="19" t="s">
        <v>140</v>
      </c>
      <c r="V5" s="19" t="s">
        <v>140</v>
      </c>
      <c r="W5" s="19" t="s">
        <v>140</v>
      </c>
      <c r="X5" s="19" t="s">
        <v>140</v>
      </c>
      <c r="Y5" s="19" t="s">
        <v>140</v>
      </c>
      <c r="Z5" s="19" t="s">
        <v>140</v>
      </c>
      <c r="AA5" s="19" t="s">
        <v>140</v>
      </c>
      <c r="AB5" s="19" t="s">
        <v>140</v>
      </c>
      <c r="AC5" s="19" t="s">
        <v>140</v>
      </c>
      <c r="AD5" s="19" t="s">
        <v>140</v>
      </c>
      <c r="AE5" s="19" t="s">
        <v>140</v>
      </c>
      <c r="AF5" s="20" t="s">
        <v>140</v>
      </c>
      <c r="AG5" s="21">
        <f t="shared" ref="AG5:AG36" si="5">SUM(S5:AF5)</f>
        <v>0</v>
      </c>
      <c r="AH5" s="18" t="s">
        <v>140</v>
      </c>
      <c r="AI5" s="20" t="s">
        <v>140</v>
      </c>
    </row>
    <row r="6" spans="1:35" ht="75" x14ac:dyDescent="0.25">
      <c r="A6" s="51" t="str">
        <f t="shared" si="0"/>
        <v>ПК-2</v>
      </c>
      <c r="B6" s="51" t="str">
        <f t="shared" si="1"/>
        <v>Способен осуществлять контроль ключевых финансовых показателей логистической деятельности по перевозке груза в цепи поставок</v>
      </c>
      <c r="C6" s="52" t="str">
        <v>ПК-2.2</v>
      </c>
      <c r="D6" s="52" t="str">
        <f t="shared" si="2"/>
        <v>Контролирует финансовые показатели логистической деятельности</v>
      </c>
      <c r="E6" s="53" t="str">
        <f t="shared" si="3"/>
        <v>ПК-2 Способен осуществлять контроль ключевых финансовых показателей логистической деятельности по перевозке груза в цепи поставок</v>
      </c>
      <c r="F6" s="53" t="str">
        <f t="shared" si="4"/>
        <v>ПК-2.2 Контролирует финансовые показатели логистической деятельности</v>
      </c>
      <c r="G6" s="53" t="str">
        <f t="shared" ref="G6:G14" si="6">IF(F6&lt;&gt;" ",$G$2,"")</f>
        <v>Б1.О.07 Экономика транспортных систем</v>
      </c>
      <c r="H6" s="51">
        <f>IFERROR(VLOOKUP(IF(RIGHT(C6,1)&lt;&gt;";",C6,LEFT(C6,LEN(C6)-1)),$I$5:$AI$54,$G$1+2,0),"")</f>
        <v>6</v>
      </c>
      <c r="I6" s="55" t="s">
        <v>52</v>
      </c>
      <c r="J6" s="12" t="s">
        <v>53</v>
      </c>
      <c r="K6" s="13" t="s">
        <v>140</v>
      </c>
      <c r="L6" s="28">
        <v>8</v>
      </c>
      <c r="M6" s="14" t="s">
        <v>140</v>
      </c>
      <c r="N6" s="14" t="s">
        <v>140</v>
      </c>
      <c r="O6" s="14" t="s">
        <v>140</v>
      </c>
      <c r="P6" s="14" t="s">
        <v>140</v>
      </c>
      <c r="Q6" s="14" t="s">
        <v>140</v>
      </c>
      <c r="R6" s="14" t="s">
        <v>140</v>
      </c>
      <c r="S6" s="14" t="s">
        <v>140</v>
      </c>
      <c r="T6" s="14" t="s">
        <v>140</v>
      </c>
      <c r="U6" s="14" t="s">
        <v>140</v>
      </c>
      <c r="V6" s="14" t="s">
        <v>140</v>
      </c>
      <c r="W6" s="14" t="s">
        <v>140</v>
      </c>
      <c r="X6" s="14" t="s">
        <v>140</v>
      </c>
      <c r="Y6" s="14" t="s">
        <v>140</v>
      </c>
      <c r="Z6" s="14" t="s">
        <v>140</v>
      </c>
      <c r="AA6" s="14" t="s">
        <v>140</v>
      </c>
      <c r="AB6" s="14" t="s">
        <v>140</v>
      </c>
      <c r="AC6" s="14" t="s">
        <v>140</v>
      </c>
      <c r="AD6" s="14" t="s">
        <v>140</v>
      </c>
      <c r="AE6" s="14" t="s">
        <v>140</v>
      </c>
      <c r="AF6" s="15" t="s">
        <v>140</v>
      </c>
      <c r="AG6" s="16">
        <f t="shared" si="5"/>
        <v>0</v>
      </c>
      <c r="AH6" s="13" t="str">
        <f t="shared" ref="AH6:AI7" si="7">IFERROR(SEARCH(_xlfn.CONCAT(" ",$I6),AH$4),"")</f>
        <v/>
      </c>
      <c r="AI6" s="15" t="str">
        <f t="shared" si="7"/>
        <v/>
      </c>
    </row>
    <row r="7" spans="1:35" ht="21" x14ac:dyDescent="0.25">
      <c r="A7" s="51" t="str">
        <f t="shared" si="0"/>
        <v/>
      </c>
      <c r="B7" s="51" t="str">
        <f t="shared" si="1"/>
        <v/>
      </c>
      <c r="C7" s="52"/>
      <c r="D7" s="52" t="str">
        <f t="shared" si="2"/>
        <v/>
      </c>
      <c r="E7" s="53" t="str">
        <f t="shared" si="3"/>
        <v xml:space="preserve"> </v>
      </c>
      <c r="F7" s="53" t="str">
        <f t="shared" si="4"/>
        <v xml:space="preserve"> </v>
      </c>
      <c r="G7" s="53" t="str">
        <f t="shared" si="6"/>
        <v/>
      </c>
      <c r="H7" s="51" t="str">
        <f>IFERROR(VLOOKUP(IF(RIGHT(C7,1)&lt;&gt;";",C7,LEFT(C7,LEN(C7)-1)),$I$5:$AI$54,$G$1+2,0),"")</f>
        <v/>
      </c>
      <c r="I7" s="55" t="s">
        <v>54</v>
      </c>
      <c r="J7" s="12" t="s">
        <v>55</v>
      </c>
      <c r="K7" s="13" t="s">
        <v>140</v>
      </c>
      <c r="L7" s="28">
        <v>8</v>
      </c>
      <c r="M7" s="14" t="s">
        <v>140</v>
      </c>
      <c r="N7" s="14" t="s">
        <v>140</v>
      </c>
      <c r="O7" s="14" t="s">
        <v>140</v>
      </c>
      <c r="P7" s="14" t="s">
        <v>140</v>
      </c>
      <c r="Q7" s="14" t="s">
        <v>140</v>
      </c>
      <c r="R7" s="14" t="s">
        <v>140</v>
      </c>
      <c r="S7" s="14" t="s">
        <v>140</v>
      </c>
      <c r="T7" s="14" t="s">
        <v>140</v>
      </c>
      <c r="U7" s="14" t="s">
        <v>140</v>
      </c>
      <c r="V7" s="14" t="s">
        <v>140</v>
      </c>
      <c r="W7" s="14" t="s">
        <v>140</v>
      </c>
      <c r="X7" s="14" t="s">
        <v>140</v>
      </c>
      <c r="Y7" s="14" t="s">
        <v>140</v>
      </c>
      <c r="Z7" s="14" t="s">
        <v>140</v>
      </c>
      <c r="AA7" s="14" t="s">
        <v>140</v>
      </c>
      <c r="AB7" s="14" t="s">
        <v>140</v>
      </c>
      <c r="AC7" s="14" t="s">
        <v>140</v>
      </c>
      <c r="AD7" s="14" t="s">
        <v>140</v>
      </c>
      <c r="AE7" s="14" t="s">
        <v>140</v>
      </c>
      <c r="AF7" s="15" t="s">
        <v>140</v>
      </c>
      <c r="AG7" s="16">
        <f t="shared" si="5"/>
        <v>0</v>
      </c>
      <c r="AH7" s="13" t="str">
        <f t="shared" si="7"/>
        <v/>
      </c>
      <c r="AI7" s="15" t="str">
        <f t="shared" si="7"/>
        <v/>
      </c>
    </row>
    <row r="8" spans="1:35" x14ac:dyDescent="0.25">
      <c r="A8" s="51" t="str">
        <f t="shared" si="0"/>
        <v/>
      </c>
      <c r="B8" s="51" t="str">
        <f t="shared" si="1"/>
        <v/>
      </c>
      <c r="C8" s="52"/>
      <c r="D8" s="52" t="str">
        <f t="shared" si="2"/>
        <v/>
      </c>
      <c r="E8" s="53" t="str">
        <f t="shared" si="3"/>
        <v xml:space="preserve"> </v>
      </c>
      <c r="F8" s="53" t="str">
        <f t="shared" si="4"/>
        <v xml:space="preserve"> </v>
      </c>
      <c r="G8" s="53" t="str">
        <f t="shared" si="6"/>
        <v/>
      </c>
      <c r="H8" s="51" t="str">
        <f>IFERROR(VLOOKUP(IF(RIGHT(C8,1)&lt;&gt;";",C8,LEFT(C8,LEN(C8)-1)),$I$5:$AI$54,$G$1+2,0),"")</f>
        <v/>
      </c>
      <c r="I8" s="56" t="s">
        <v>56</v>
      </c>
      <c r="J8" s="23" t="s">
        <v>57</v>
      </c>
      <c r="K8" s="24" t="s">
        <v>140</v>
      </c>
      <c r="L8" s="25" t="s">
        <v>140</v>
      </c>
      <c r="M8" s="25">
        <v>16</v>
      </c>
      <c r="N8" s="25" t="s">
        <v>140</v>
      </c>
      <c r="O8" s="25" t="s">
        <v>140</v>
      </c>
      <c r="P8" s="25" t="s">
        <v>140</v>
      </c>
      <c r="Q8" s="25" t="s">
        <v>140</v>
      </c>
      <c r="R8" s="25" t="s">
        <v>140</v>
      </c>
      <c r="S8" s="25" t="s">
        <v>140</v>
      </c>
      <c r="T8" s="25" t="s">
        <v>140</v>
      </c>
      <c r="U8" s="25" t="s">
        <v>140</v>
      </c>
      <c r="V8" s="25" t="s">
        <v>140</v>
      </c>
      <c r="W8" s="25" t="s">
        <v>140</v>
      </c>
      <c r="X8" s="25" t="s">
        <v>140</v>
      </c>
      <c r="Y8" s="25" t="s">
        <v>140</v>
      </c>
      <c r="Z8" s="25" t="s">
        <v>140</v>
      </c>
      <c r="AA8" s="25" t="s">
        <v>140</v>
      </c>
      <c r="AB8" s="25" t="s">
        <v>140</v>
      </c>
      <c r="AC8" s="25" t="s">
        <v>140</v>
      </c>
      <c r="AD8" s="25" t="s">
        <v>140</v>
      </c>
      <c r="AE8" s="25" t="s">
        <v>140</v>
      </c>
      <c r="AF8" s="26" t="s">
        <v>140</v>
      </c>
      <c r="AG8" s="27">
        <f t="shared" si="5"/>
        <v>0</v>
      </c>
      <c r="AH8" s="24" t="s">
        <v>140</v>
      </c>
      <c r="AI8" s="26" t="s">
        <v>140</v>
      </c>
    </row>
    <row r="9" spans="1:35" ht="21" x14ac:dyDescent="0.25">
      <c r="A9" s="51" t="str">
        <f t="shared" si="0"/>
        <v/>
      </c>
      <c r="B9" s="51" t="str">
        <f t="shared" si="1"/>
        <v/>
      </c>
      <c r="C9" s="52"/>
      <c r="D9" s="52" t="str">
        <f t="shared" si="2"/>
        <v/>
      </c>
      <c r="E9" s="53" t="str">
        <f t="shared" si="3"/>
        <v xml:space="preserve"> </v>
      </c>
      <c r="F9" s="53" t="str">
        <f t="shared" si="4"/>
        <v xml:space="preserve"> </v>
      </c>
      <c r="G9" s="53" t="str">
        <f t="shared" si="6"/>
        <v/>
      </c>
      <c r="H9" s="51" t="str">
        <f>IFERROR(VLOOKUP(IF(RIGHT(C9,1)&lt;&gt;";",C9,LEFT(C9,LEN(C9)-1)),$I$5:$AI$54,$G$1+2,0),"")</f>
        <v/>
      </c>
      <c r="I9" s="55" t="s">
        <v>58</v>
      </c>
      <c r="J9" s="12" t="s">
        <v>59</v>
      </c>
      <c r="K9" s="13" t="s">
        <v>140</v>
      </c>
      <c r="L9" s="14" t="s">
        <v>140</v>
      </c>
      <c r="M9" s="28">
        <v>8</v>
      </c>
      <c r="N9" s="14" t="s">
        <v>140</v>
      </c>
      <c r="O9" s="14" t="s">
        <v>140</v>
      </c>
      <c r="P9" s="14" t="s">
        <v>140</v>
      </c>
      <c r="Q9" s="14" t="s">
        <v>140</v>
      </c>
      <c r="R9" s="14" t="s">
        <v>140</v>
      </c>
      <c r="S9" s="14" t="s">
        <v>140</v>
      </c>
      <c r="T9" s="14" t="s">
        <v>140</v>
      </c>
      <c r="U9" s="14" t="s">
        <v>140</v>
      </c>
      <c r="V9" s="14" t="s">
        <v>140</v>
      </c>
      <c r="W9" s="14" t="s">
        <v>140</v>
      </c>
      <c r="X9" s="14" t="s">
        <v>140</v>
      </c>
      <c r="Y9" s="14" t="s">
        <v>140</v>
      </c>
      <c r="Z9" s="14" t="s">
        <v>140</v>
      </c>
      <c r="AA9" s="14" t="s">
        <v>140</v>
      </c>
      <c r="AB9" s="14" t="s">
        <v>140</v>
      </c>
      <c r="AC9" s="14" t="s">
        <v>140</v>
      </c>
      <c r="AD9" s="14" t="s">
        <v>140</v>
      </c>
      <c r="AE9" s="14" t="s">
        <v>140</v>
      </c>
      <c r="AF9" s="15" t="s">
        <v>140</v>
      </c>
      <c r="AG9" s="16">
        <f t="shared" si="5"/>
        <v>0</v>
      </c>
      <c r="AH9" s="13" t="str">
        <f t="shared" ref="AH9:AI10" si="8">IFERROR(SEARCH(_xlfn.CONCAT(" ",$I9),AH$4),"")</f>
        <v/>
      </c>
      <c r="AI9" s="15" t="str">
        <f t="shared" si="8"/>
        <v/>
      </c>
    </row>
    <row r="10" spans="1:35" ht="31.5" x14ac:dyDescent="0.25">
      <c r="A10" s="51" t="str">
        <f t="shared" si="0"/>
        <v/>
      </c>
      <c r="B10" s="51" t="str">
        <f t="shared" si="1"/>
        <v/>
      </c>
      <c r="C10" s="51"/>
      <c r="D10" s="52" t="str">
        <f t="shared" si="2"/>
        <v/>
      </c>
      <c r="E10" s="53" t="str">
        <f t="shared" si="3"/>
        <v xml:space="preserve"> </v>
      </c>
      <c r="F10" s="53" t="str">
        <f t="shared" si="4"/>
        <v xml:space="preserve"> </v>
      </c>
      <c r="G10" s="53" t="str">
        <f t="shared" si="6"/>
        <v/>
      </c>
      <c r="H10" s="51" t="str">
        <f>IFERROR(VLOOKUP(IF(RIGHT(C10,1)&lt;&gt;";",C10,LEFT(C10,LEN(C10)-1)),$I$5:$AI$54,$G$1+2,0),"")</f>
        <v/>
      </c>
      <c r="I10" s="55" t="s">
        <v>60</v>
      </c>
      <c r="J10" s="12" t="s">
        <v>61</v>
      </c>
      <c r="K10" s="13" t="s">
        <v>140</v>
      </c>
      <c r="L10" s="14" t="s">
        <v>140</v>
      </c>
      <c r="M10" s="28">
        <v>8</v>
      </c>
      <c r="N10" s="14" t="s">
        <v>140</v>
      </c>
      <c r="O10" s="14" t="s">
        <v>140</v>
      </c>
      <c r="P10" s="14" t="s">
        <v>140</v>
      </c>
      <c r="Q10" s="14" t="s">
        <v>140</v>
      </c>
      <c r="R10" s="14" t="s">
        <v>140</v>
      </c>
      <c r="S10" s="14" t="s">
        <v>140</v>
      </c>
      <c r="T10" s="14" t="s">
        <v>140</v>
      </c>
      <c r="U10" s="14" t="s">
        <v>140</v>
      </c>
      <c r="V10" s="14" t="s">
        <v>140</v>
      </c>
      <c r="W10" s="14" t="s">
        <v>140</v>
      </c>
      <c r="X10" s="14" t="s">
        <v>140</v>
      </c>
      <c r="Y10" s="14" t="s">
        <v>140</v>
      </c>
      <c r="Z10" s="14" t="s">
        <v>140</v>
      </c>
      <c r="AA10" s="14" t="s">
        <v>140</v>
      </c>
      <c r="AB10" s="14" t="s">
        <v>140</v>
      </c>
      <c r="AC10" s="14" t="s">
        <v>140</v>
      </c>
      <c r="AD10" s="14" t="s">
        <v>140</v>
      </c>
      <c r="AE10" s="14" t="s">
        <v>140</v>
      </c>
      <c r="AF10" s="15" t="s">
        <v>140</v>
      </c>
      <c r="AG10" s="16">
        <f t="shared" si="5"/>
        <v>0</v>
      </c>
      <c r="AH10" s="13" t="str">
        <f t="shared" si="8"/>
        <v/>
      </c>
      <c r="AI10" s="15" t="str">
        <f t="shared" si="8"/>
        <v/>
      </c>
    </row>
    <row r="11" spans="1:35" ht="31.5" x14ac:dyDescent="0.25">
      <c r="A11" s="51" t="str">
        <f t="shared" si="0"/>
        <v/>
      </c>
      <c r="B11" s="51" t="str">
        <f t="shared" si="1"/>
        <v/>
      </c>
      <c r="C11" s="51"/>
      <c r="D11" s="52" t="str">
        <f t="shared" si="2"/>
        <v/>
      </c>
      <c r="E11" s="53" t="str">
        <f t="shared" si="3"/>
        <v xml:space="preserve"> </v>
      </c>
      <c r="F11" s="53" t="str">
        <f t="shared" si="4"/>
        <v xml:space="preserve"> </v>
      </c>
      <c r="G11" s="53" t="str">
        <f t="shared" si="6"/>
        <v/>
      </c>
      <c r="H11" s="51" t="str">
        <f>IFERROR(VLOOKUP(IF(RIGHT(C11,1)&lt;&gt;";",C11,LEFT(C11,LEN(C11)-1)),$I$5:$AI$54,$G$1+2,0),"")</f>
        <v/>
      </c>
      <c r="I11" s="56" t="s">
        <v>62</v>
      </c>
      <c r="J11" s="23" t="s">
        <v>63</v>
      </c>
      <c r="K11" s="24" t="s">
        <v>140</v>
      </c>
      <c r="L11" s="25" t="s">
        <v>140</v>
      </c>
      <c r="M11" s="25">
        <v>16</v>
      </c>
      <c r="N11" s="25" t="s">
        <v>140</v>
      </c>
      <c r="O11" s="25" t="s">
        <v>140</v>
      </c>
      <c r="P11" s="25" t="s">
        <v>140</v>
      </c>
      <c r="Q11" s="25" t="s">
        <v>140</v>
      </c>
      <c r="R11" s="25" t="s">
        <v>140</v>
      </c>
      <c r="S11" s="25" t="s">
        <v>140</v>
      </c>
      <c r="T11" s="25" t="s">
        <v>140</v>
      </c>
      <c r="U11" s="25" t="s">
        <v>140</v>
      </c>
      <c r="V11" s="25" t="s">
        <v>140</v>
      </c>
      <c r="W11" s="25" t="s">
        <v>140</v>
      </c>
      <c r="X11" s="25" t="s">
        <v>140</v>
      </c>
      <c r="Y11" s="25" t="s">
        <v>140</v>
      </c>
      <c r="Z11" s="25" t="s">
        <v>140</v>
      </c>
      <c r="AA11" s="25" t="s">
        <v>140</v>
      </c>
      <c r="AB11" s="25" t="s">
        <v>140</v>
      </c>
      <c r="AC11" s="25" t="s">
        <v>140</v>
      </c>
      <c r="AD11" s="25" t="s">
        <v>140</v>
      </c>
      <c r="AE11" s="25" t="s">
        <v>140</v>
      </c>
      <c r="AF11" s="26" t="s">
        <v>140</v>
      </c>
      <c r="AG11" s="27">
        <f t="shared" si="5"/>
        <v>0</v>
      </c>
      <c r="AH11" s="24" t="s">
        <v>140</v>
      </c>
      <c r="AI11" s="26" t="s">
        <v>140</v>
      </c>
    </row>
    <row r="12" spans="1:35" ht="21" x14ac:dyDescent="0.25">
      <c r="A12" s="51" t="str">
        <f t="shared" si="0"/>
        <v/>
      </c>
      <c r="B12" s="51" t="str">
        <f t="shared" si="1"/>
        <v/>
      </c>
      <c r="C12" s="51"/>
      <c r="D12" s="52" t="str">
        <f t="shared" si="2"/>
        <v/>
      </c>
      <c r="E12" s="53" t="str">
        <f t="shared" si="3"/>
        <v xml:space="preserve"> </v>
      </c>
      <c r="F12" s="53" t="str">
        <f t="shared" si="4"/>
        <v xml:space="preserve"> </v>
      </c>
      <c r="G12" s="53" t="str">
        <f t="shared" si="6"/>
        <v/>
      </c>
      <c r="H12" s="51" t="str">
        <f>IFERROR(VLOOKUP(IF(RIGHT(C12,1)&lt;&gt;";",C12,LEFT(C12,LEN(C12)-1)),$I$5:$AI$54,$G$1+2,0),"")</f>
        <v/>
      </c>
      <c r="I12" s="55" t="str">
        <f>_xlfn.CONCAT(I11,".1")</f>
        <v>УК-3.1</v>
      </c>
      <c r="J12" s="12" t="s">
        <v>64</v>
      </c>
      <c r="K12" s="13" t="s">
        <v>140</v>
      </c>
      <c r="L12" s="14" t="s">
        <v>140</v>
      </c>
      <c r="M12" s="28">
        <v>8</v>
      </c>
      <c r="N12" s="14" t="s">
        <v>140</v>
      </c>
      <c r="O12" s="14" t="s">
        <v>140</v>
      </c>
      <c r="P12" s="14" t="s">
        <v>140</v>
      </c>
      <c r="Q12" s="14" t="s">
        <v>140</v>
      </c>
      <c r="R12" s="14" t="s">
        <v>140</v>
      </c>
      <c r="S12" s="14" t="s">
        <v>140</v>
      </c>
      <c r="T12" s="14" t="s">
        <v>140</v>
      </c>
      <c r="U12" s="14" t="s">
        <v>140</v>
      </c>
      <c r="V12" s="14" t="s">
        <v>140</v>
      </c>
      <c r="W12" s="14" t="s">
        <v>140</v>
      </c>
      <c r="X12" s="14" t="s">
        <v>140</v>
      </c>
      <c r="Y12" s="14" t="s">
        <v>140</v>
      </c>
      <c r="Z12" s="14" t="s">
        <v>140</v>
      </c>
      <c r="AA12" s="14" t="s">
        <v>140</v>
      </c>
      <c r="AB12" s="14" t="s">
        <v>140</v>
      </c>
      <c r="AC12" s="14" t="s">
        <v>140</v>
      </c>
      <c r="AD12" s="14" t="s">
        <v>140</v>
      </c>
      <c r="AE12" s="14" t="s">
        <v>140</v>
      </c>
      <c r="AF12" s="15" t="s">
        <v>140</v>
      </c>
      <c r="AG12" s="16">
        <f t="shared" si="5"/>
        <v>0</v>
      </c>
      <c r="AH12" s="13" t="str">
        <f t="shared" ref="AH12:AI13" si="9">IFERROR(SEARCH(_xlfn.CONCAT(" ",$I12),AH$4),"")</f>
        <v/>
      </c>
      <c r="AI12" s="15" t="str">
        <f t="shared" si="9"/>
        <v/>
      </c>
    </row>
    <row r="13" spans="1:35" ht="21" x14ac:dyDescent="0.25">
      <c r="A13" s="51" t="str">
        <f t="shared" si="0"/>
        <v/>
      </c>
      <c r="B13" s="51" t="str">
        <f t="shared" si="1"/>
        <v/>
      </c>
      <c r="C13" s="51"/>
      <c r="D13" s="52" t="str">
        <f t="shared" si="2"/>
        <v/>
      </c>
      <c r="E13" s="53" t="str">
        <f t="shared" si="3"/>
        <v xml:space="preserve"> </v>
      </c>
      <c r="F13" s="53" t="str">
        <f t="shared" si="4"/>
        <v xml:space="preserve"> </v>
      </c>
      <c r="G13" s="53" t="str">
        <f t="shared" si="6"/>
        <v/>
      </c>
      <c r="H13" s="51" t="str">
        <f>IFERROR(VLOOKUP(IF(RIGHT(C13,1)&lt;&gt;";",C13,LEFT(C13,LEN(C13)-1)),$I$5:$AI$54,$G$1+2,0),"")</f>
        <v/>
      </c>
      <c r="I13" s="55" t="str">
        <f>_xlfn.CONCAT(I11,".2")</f>
        <v>УК-3.2</v>
      </c>
      <c r="J13" s="12" t="s">
        <v>65</v>
      </c>
      <c r="K13" s="13" t="s">
        <v>140</v>
      </c>
      <c r="L13" s="14" t="s">
        <v>140</v>
      </c>
      <c r="M13" s="28">
        <v>8</v>
      </c>
      <c r="N13" s="14" t="s">
        <v>140</v>
      </c>
      <c r="O13" s="14" t="s">
        <v>140</v>
      </c>
      <c r="P13" s="14" t="s">
        <v>140</v>
      </c>
      <c r="Q13" s="14" t="s">
        <v>140</v>
      </c>
      <c r="R13" s="14" t="s">
        <v>140</v>
      </c>
      <c r="S13" s="14" t="s">
        <v>140</v>
      </c>
      <c r="T13" s="14" t="s">
        <v>140</v>
      </c>
      <c r="U13" s="14" t="s">
        <v>140</v>
      </c>
      <c r="V13" s="14" t="s">
        <v>140</v>
      </c>
      <c r="W13" s="14" t="s">
        <v>140</v>
      </c>
      <c r="X13" s="14" t="s">
        <v>140</v>
      </c>
      <c r="Y13" s="14" t="s">
        <v>140</v>
      </c>
      <c r="Z13" s="14" t="s">
        <v>140</v>
      </c>
      <c r="AA13" s="14" t="s">
        <v>140</v>
      </c>
      <c r="AB13" s="14" t="s">
        <v>140</v>
      </c>
      <c r="AC13" s="14" t="s">
        <v>140</v>
      </c>
      <c r="AD13" s="14" t="s">
        <v>140</v>
      </c>
      <c r="AE13" s="14" t="s">
        <v>140</v>
      </c>
      <c r="AF13" s="15" t="s">
        <v>140</v>
      </c>
      <c r="AG13" s="16">
        <f t="shared" si="5"/>
        <v>0</v>
      </c>
      <c r="AH13" s="13" t="str">
        <f t="shared" si="9"/>
        <v/>
      </c>
      <c r="AI13" s="15" t="str">
        <f t="shared" si="9"/>
        <v/>
      </c>
    </row>
    <row r="14" spans="1:35" ht="31.5" x14ac:dyDescent="0.25">
      <c r="A14" s="51" t="str">
        <f t="shared" si="0"/>
        <v/>
      </c>
      <c r="B14" s="51" t="str">
        <f t="shared" si="1"/>
        <v/>
      </c>
      <c r="C14" s="51"/>
      <c r="D14" s="52" t="str">
        <f t="shared" si="2"/>
        <v/>
      </c>
      <c r="E14" s="53" t="str">
        <f t="shared" si="3"/>
        <v xml:space="preserve"> </v>
      </c>
      <c r="F14" s="53" t="str">
        <f t="shared" si="4"/>
        <v xml:space="preserve"> </v>
      </c>
      <c r="G14" s="53" t="str">
        <f t="shared" si="6"/>
        <v/>
      </c>
      <c r="H14" s="51" t="str">
        <f>IFERROR(VLOOKUP(IF(RIGHT(C14,1)&lt;&gt;";",C14,LEFT(C14,LEN(C14)-1)),$I$5:$AI$54,$G$1+2,0),"")</f>
        <v/>
      </c>
      <c r="I14" s="56" t="s">
        <v>66</v>
      </c>
      <c r="J14" s="23" t="s">
        <v>67</v>
      </c>
      <c r="K14" s="24">
        <v>16</v>
      </c>
      <c r="L14" s="25" t="s">
        <v>140</v>
      </c>
      <c r="M14" s="25" t="s">
        <v>140</v>
      </c>
      <c r="N14" s="25" t="s">
        <v>140</v>
      </c>
      <c r="O14" s="25" t="s">
        <v>140</v>
      </c>
      <c r="P14" s="25" t="s">
        <v>140</v>
      </c>
      <c r="Q14" s="25" t="s">
        <v>140</v>
      </c>
      <c r="R14" s="25" t="s">
        <v>140</v>
      </c>
      <c r="S14" s="25" t="s">
        <v>140</v>
      </c>
      <c r="T14" s="25" t="s">
        <v>140</v>
      </c>
      <c r="U14" s="25" t="s">
        <v>140</v>
      </c>
      <c r="V14" s="25" t="s">
        <v>140</v>
      </c>
      <c r="W14" s="25" t="s">
        <v>140</v>
      </c>
      <c r="X14" s="25" t="s">
        <v>140</v>
      </c>
      <c r="Y14" s="25" t="s">
        <v>140</v>
      </c>
      <c r="Z14" s="25" t="s">
        <v>140</v>
      </c>
      <c r="AA14" s="25" t="s">
        <v>140</v>
      </c>
      <c r="AB14" s="25" t="s">
        <v>140</v>
      </c>
      <c r="AC14" s="25" t="s">
        <v>140</v>
      </c>
      <c r="AD14" s="25" t="s">
        <v>140</v>
      </c>
      <c r="AE14" s="25" t="s">
        <v>140</v>
      </c>
      <c r="AF14" s="26" t="s">
        <v>140</v>
      </c>
      <c r="AG14" s="27">
        <f t="shared" si="5"/>
        <v>0</v>
      </c>
      <c r="AH14" s="24" t="s">
        <v>140</v>
      </c>
      <c r="AI14" s="26" t="s">
        <v>140</v>
      </c>
    </row>
    <row r="15" spans="1:35" ht="31.5" x14ac:dyDescent="0.25">
      <c r="I15" s="11" t="str">
        <f>_xlfn.CONCAT(I14,".1")</f>
        <v>УК-4.1</v>
      </c>
      <c r="J15" s="12" t="s">
        <v>68</v>
      </c>
      <c r="K15" s="28">
        <v>8</v>
      </c>
      <c r="L15" s="14" t="s">
        <v>140</v>
      </c>
      <c r="M15" s="14" t="s">
        <v>140</v>
      </c>
      <c r="N15" s="14" t="s">
        <v>140</v>
      </c>
      <c r="O15" s="14" t="s">
        <v>140</v>
      </c>
      <c r="P15" s="14" t="s">
        <v>140</v>
      </c>
      <c r="Q15" s="14" t="s">
        <v>140</v>
      </c>
      <c r="R15" s="14" t="s">
        <v>140</v>
      </c>
      <c r="S15" s="14" t="s">
        <v>140</v>
      </c>
      <c r="T15" s="14" t="s">
        <v>140</v>
      </c>
      <c r="U15" s="14" t="s">
        <v>140</v>
      </c>
      <c r="V15" s="14" t="s">
        <v>140</v>
      </c>
      <c r="W15" s="14" t="s">
        <v>140</v>
      </c>
      <c r="X15" s="14" t="s">
        <v>140</v>
      </c>
      <c r="Y15" s="14" t="s">
        <v>140</v>
      </c>
      <c r="Z15" s="14" t="s">
        <v>140</v>
      </c>
      <c r="AA15" s="14" t="s">
        <v>140</v>
      </c>
      <c r="AB15" s="14" t="s">
        <v>140</v>
      </c>
      <c r="AC15" s="14" t="s">
        <v>140</v>
      </c>
      <c r="AD15" s="14" t="s">
        <v>140</v>
      </c>
      <c r="AE15" s="14" t="s">
        <v>140</v>
      </c>
      <c r="AF15" s="15" t="s">
        <v>140</v>
      </c>
      <c r="AG15" s="16">
        <f t="shared" si="5"/>
        <v>0</v>
      </c>
      <c r="AH15" s="13" t="str">
        <f t="shared" ref="AH15:AI16" si="10">IFERROR(SEARCH(_xlfn.CONCAT(" ",$I15),AH$4),"")</f>
        <v/>
      </c>
      <c r="AI15" s="15" t="str">
        <f t="shared" si="10"/>
        <v/>
      </c>
    </row>
    <row r="16" spans="1:35" ht="31.5" x14ac:dyDescent="0.25">
      <c r="I16" s="11" t="str">
        <f>_xlfn.CONCAT(I14,".2")</f>
        <v>УК-4.2</v>
      </c>
      <c r="J16" s="12" t="s">
        <v>69</v>
      </c>
      <c r="K16" s="28">
        <v>8</v>
      </c>
      <c r="L16" s="14" t="s">
        <v>140</v>
      </c>
      <c r="M16" s="14" t="s">
        <v>140</v>
      </c>
      <c r="N16" s="14" t="s">
        <v>140</v>
      </c>
      <c r="O16" s="14" t="s">
        <v>140</v>
      </c>
      <c r="P16" s="14" t="s">
        <v>140</v>
      </c>
      <c r="Q16" s="14" t="s">
        <v>140</v>
      </c>
      <c r="R16" s="14" t="s">
        <v>140</v>
      </c>
      <c r="S16" s="14" t="s">
        <v>140</v>
      </c>
      <c r="T16" s="14" t="s">
        <v>140</v>
      </c>
      <c r="U16" s="14" t="s">
        <v>140</v>
      </c>
      <c r="V16" s="14" t="s">
        <v>140</v>
      </c>
      <c r="W16" s="14" t="s">
        <v>140</v>
      </c>
      <c r="X16" s="14" t="s">
        <v>140</v>
      </c>
      <c r="Y16" s="14" t="s">
        <v>140</v>
      </c>
      <c r="Z16" s="14" t="s">
        <v>140</v>
      </c>
      <c r="AA16" s="14" t="s">
        <v>140</v>
      </c>
      <c r="AB16" s="14" t="s">
        <v>140</v>
      </c>
      <c r="AC16" s="14" t="s">
        <v>140</v>
      </c>
      <c r="AD16" s="14" t="s">
        <v>140</v>
      </c>
      <c r="AE16" s="14" t="s">
        <v>140</v>
      </c>
      <c r="AF16" s="15" t="s">
        <v>140</v>
      </c>
      <c r="AG16" s="16">
        <f t="shared" si="5"/>
        <v>0</v>
      </c>
      <c r="AH16" s="13" t="str">
        <f t="shared" si="10"/>
        <v/>
      </c>
      <c r="AI16" s="15" t="str">
        <f t="shared" si="10"/>
        <v/>
      </c>
    </row>
    <row r="17" spans="9:35" ht="21" x14ac:dyDescent="0.25">
      <c r="I17" s="22" t="s">
        <v>70</v>
      </c>
      <c r="J17" s="23" t="s">
        <v>71</v>
      </c>
      <c r="K17" s="24">
        <v>16</v>
      </c>
      <c r="L17" s="25" t="s">
        <v>140</v>
      </c>
      <c r="M17" s="25" t="s">
        <v>140</v>
      </c>
      <c r="N17" s="25" t="s">
        <v>140</v>
      </c>
      <c r="O17" s="25" t="s">
        <v>140</v>
      </c>
      <c r="P17" s="25" t="s">
        <v>140</v>
      </c>
      <c r="Q17" s="25" t="s">
        <v>140</v>
      </c>
      <c r="R17" s="25" t="s">
        <v>140</v>
      </c>
      <c r="S17" s="25" t="s">
        <v>140</v>
      </c>
      <c r="T17" s="25" t="s">
        <v>140</v>
      </c>
      <c r="U17" s="25" t="s">
        <v>140</v>
      </c>
      <c r="V17" s="25" t="s">
        <v>140</v>
      </c>
      <c r="W17" s="25" t="s">
        <v>140</v>
      </c>
      <c r="X17" s="25" t="s">
        <v>140</v>
      </c>
      <c r="Y17" s="25" t="s">
        <v>140</v>
      </c>
      <c r="Z17" s="25" t="s">
        <v>140</v>
      </c>
      <c r="AA17" s="25" t="s">
        <v>140</v>
      </c>
      <c r="AB17" s="25" t="s">
        <v>140</v>
      </c>
      <c r="AC17" s="25" t="s">
        <v>140</v>
      </c>
      <c r="AD17" s="25" t="s">
        <v>140</v>
      </c>
      <c r="AE17" s="25" t="s">
        <v>140</v>
      </c>
      <c r="AF17" s="26" t="s">
        <v>140</v>
      </c>
      <c r="AG17" s="27">
        <f t="shared" si="5"/>
        <v>0</v>
      </c>
      <c r="AH17" s="24" t="s">
        <v>140</v>
      </c>
      <c r="AI17" s="26">
        <v>18</v>
      </c>
    </row>
    <row r="18" spans="9:35" ht="31.5" x14ac:dyDescent="0.25">
      <c r="I18" s="11" t="str">
        <f>_xlfn.CONCAT(I17,".1")</f>
        <v>УК-5.1</v>
      </c>
      <c r="J18" s="12" t="s">
        <v>73</v>
      </c>
      <c r="K18" s="28">
        <v>8</v>
      </c>
      <c r="L18" s="14" t="s">
        <v>140</v>
      </c>
      <c r="M18" s="14" t="s">
        <v>140</v>
      </c>
      <c r="N18" s="14" t="s">
        <v>140</v>
      </c>
      <c r="O18" s="14" t="s">
        <v>140</v>
      </c>
      <c r="P18" s="14" t="s">
        <v>140</v>
      </c>
      <c r="Q18" s="14" t="s">
        <v>140</v>
      </c>
      <c r="R18" s="14" t="s">
        <v>140</v>
      </c>
      <c r="S18" s="14" t="s">
        <v>140</v>
      </c>
      <c r="T18" s="14" t="s">
        <v>140</v>
      </c>
      <c r="U18" s="14" t="s">
        <v>140</v>
      </c>
      <c r="V18" s="14" t="s">
        <v>140</v>
      </c>
      <c r="W18" s="14" t="s">
        <v>140</v>
      </c>
      <c r="X18" s="14" t="s">
        <v>140</v>
      </c>
      <c r="Y18" s="14" t="s">
        <v>140</v>
      </c>
      <c r="Z18" s="14" t="s">
        <v>140</v>
      </c>
      <c r="AA18" s="14" t="s">
        <v>140</v>
      </c>
      <c r="AB18" s="14" t="s">
        <v>140</v>
      </c>
      <c r="AC18" s="14" t="s">
        <v>140</v>
      </c>
      <c r="AD18" s="14" t="s">
        <v>140</v>
      </c>
      <c r="AE18" s="14" t="s">
        <v>140</v>
      </c>
      <c r="AF18" s="15" t="s">
        <v>140</v>
      </c>
      <c r="AG18" s="16">
        <f t="shared" si="5"/>
        <v>0</v>
      </c>
      <c r="AH18" s="13" t="str">
        <f t="shared" ref="AH18:AI19" si="11">IFERROR(SEARCH(_xlfn.CONCAT(" ",$I18),AH$4),"")</f>
        <v/>
      </c>
      <c r="AI18" s="28">
        <v>18</v>
      </c>
    </row>
    <row r="19" spans="9:35" ht="21" x14ac:dyDescent="0.25">
      <c r="I19" s="11" t="str">
        <f>_xlfn.CONCAT(I17,".2")</f>
        <v>УК-5.2</v>
      </c>
      <c r="J19" s="12" t="s">
        <v>74</v>
      </c>
      <c r="K19" s="28">
        <v>8</v>
      </c>
      <c r="L19" s="14" t="s">
        <v>140</v>
      </c>
      <c r="M19" s="14" t="s">
        <v>140</v>
      </c>
      <c r="N19" s="14" t="s">
        <v>140</v>
      </c>
      <c r="O19" s="14" t="s">
        <v>140</v>
      </c>
      <c r="P19" s="14" t="s">
        <v>140</v>
      </c>
      <c r="Q19" s="14" t="s">
        <v>140</v>
      </c>
      <c r="R19" s="14" t="s">
        <v>140</v>
      </c>
      <c r="S19" s="14" t="s">
        <v>140</v>
      </c>
      <c r="T19" s="14" t="s">
        <v>140</v>
      </c>
      <c r="U19" s="14" t="s">
        <v>140</v>
      </c>
      <c r="V19" s="14" t="s">
        <v>140</v>
      </c>
      <c r="W19" s="14" t="s">
        <v>140</v>
      </c>
      <c r="X19" s="14" t="s">
        <v>140</v>
      </c>
      <c r="Y19" s="14" t="s">
        <v>140</v>
      </c>
      <c r="Z19" s="14" t="s">
        <v>140</v>
      </c>
      <c r="AA19" s="14" t="s">
        <v>140</v>
      </c>
      <c r="AB19" s="14" t="s">
        <v>140</v>
      </c>
      <c r="AC19" s="14" t="s">
        <v>140</v>
      </c>
      <c r="AD19" s="14" t="s">
        <v>140</v>
      </c>
      <c r="AE19" s="14" t="s">
        <v>140</v>
      </c>
      <c r="AF19" s="15" t="s">
        <v>140</v>
      </c>
      <c r="AG19" s="16">
        <f t="shared" si="5"/>
        <v>0</v>
      </c>
      <c r="AH19" s="13" t="str">
        <f t="shared" si="11"/>
        <v/>
      </c>
      <c r="AI19" s="15" t="str">
        <f t="shared" si="11"/>
        <v/>
      </c>
    </row>
    <row r="20" spans="9:35" ht="21" x14ac:dyDescent="0.25">
      <c r="I20" s="22" t="s">
        <v>75</v>
      </c>
      <c r="J20" s="23" t="s">
        <v>76</v>
      </c>
      <c r="K20" s="24" t="s">
        <v>140</v>
      </c>
      <c r="L20" s="25">
        <v>16</v>
      </c>
      <c r="M20" s="25" t="s">
        <v>140</v>
      </c>
      <c r="N20" s="25" t="s">
        <v>140</v>
      </c>
      <c r="O20" s="25" t="s">
        <v>140</v>
      </c>
      <c r="P20" s="25" t="s">
        <v>140</v>
      </c>
      <c r="Q20" s="25" t="s">
        <v>140</v>
      </c>
      <c r="R20" s="25" t="s">
        <v>140</v>
      </c>
      <c r="S20" s="25" t="s">
        <v>140</v>
      </c>
      <c r="T20" s="25" t="s">
        <v>140</v>
      </c>
      <c r="U20" s="25" t="s">
        <v>140</v>
      </c>
      <c r="V20" s="25" t="s">
        <v>140</v>
      </c>
      <c r="W20" s="25" t="s">
        <v>140</v>
      </c>
      <c r="X20" s="25" t="s">
        <v>140</v>
      </c>
      <c r="Y20" s="25" t="s">
        <v>140</v>
      </c>
      <c r="Z20" s="25" t="s">
        <v>140</v>
      </c>
      <c r="AA20" s="25" t="s">
        <v>140</v>
      </c>
      <c r="AB20" s="25" t="s">
        <v>140</v>
      </c>
      <c r="AC20" s="25" t="s">
        <v>140</v>
      </c>
      <c r="AD20" s="25" t="s">
        <v>140</v>
      </c>
      <c r="AE20" s="25" t="s">
        <v>140</v>
      </c>
      <c r="AF20" s="26" t="s">
        <v>140</v>
      </c>
      <c r="AG20" s="27">
        <f t="shared" si="5"/>
        <v>0</v>
      </c>
      <c r="AH20" s="24" t="s">
        <v>140</v>
      </c>
      <c r="AI20" s="26" t="s">
        <v>140</v>
      </c>
    </row>
    <row r="21" spans="9:35" ht="21" x14ac:dyDescent="0.25">
      <c r="I21" s="11" t="str">
        <f>_xlfn.CONCAT(I20,".1")</f>
        <v>УК-6.1</v>
      </c>
      <c r="J21" s="12" t="s">
        <v>77</v>
      </c>
      <c r="K21" s="13" t="s">
        <v>140</v>
      </c>
      <c r="L21" s="28">
        <v>8</v>
      </c>
      <c r="M21" s="14" t="s">
        <v>140</v>
      </c>
      <c r="N21" s="14" t="s">
        <v>140</v>
      </c>
      <c r="O21" s="14" t="s">
        <v>140</v>
      </c>
      <c r="P21" s="14" t="s">
        <v>140</v>
      </c>
      <c r="Q21" s="14" t="s">
        <v>140</v>
      </c>
      <c r="R21" s="14" t="s">
        <v>140</v>
      </c>
      <c r="S21" s="14" t="s">
        <v>140</v>
      </c>
      <c r="T21" s="14" t="s">
        <v>140</v>
      </c>
      <c r="U21" s="14" t="s">
        <v>140</v>
      </c>
      <c r="V21" s="14" t="s">
        <v>140</v>
      </c>
      <c r="W21" s="14" t="s">
        <v>140</v>
      </c>
      <c r="X21" s="14" t="s">
        <v>140</v>
      </c>
      <c r="Y21" s="14" t="s">
        <v>140</v>
      </c>
      <c r="Z21" s="14" t="s">
        <v>140</v>
      </c>
      <c r="AA21" s="14" t="s">
        <v>140</v>
      </c>
      <c r="AB21" s="14" t="s">
        <v>140</v>
      </c>
      <c r="AC21" s="14" t="s">
        <v>140</v>
      </c>
      <c r="AD21" s="14" t="s">
        <v>140</v>
      </c>
      <c r="AE21" s="14" t="s">
        <v>140</v>
      </c>
      <c r="AF21" s="15" t="s">
        <v>140</v>
      </c>
      <c r="AG21" s="16">
        <f t="shared" si="5"/>
        <v>0</v>
      </c>
      <c r="AH21" s="13" t="str">
        <f t="shared" ref="AH21:AI22" si="12">IFERROR(SEARCH(_xlfn.CONCAT(" ",$I21),AH$4),"")</f>
        <v/>
      </c>
      <c r="AI21" s="15" t="str">
        <f t="shared" si="12"/>
        <v/>
      </c>
    </row>
    <row r="22" spans="9:35" ht="31.5" x14ac:dyDescent="0.25">
      <c r="I22" s="11" t="str">
        <f>_xlfn.CONCAT(I20,".2")</f>
        <v>УК-6.2</v>
      </c>
      <c r="J22" s="12" t="s">
        <v>78</v>
      </c>
      <c r="K22" s="13" t="s">
        <v>140</v>
      </c>
      <c r="L22" s="28">
        <v>8</v>
      </c>
      <c r="M22" s="14" t="s">
        <v>140</v>
      </c>
      <c r="N22" s="14" t="s">
        <v>140</v>
      </c>
      <c r="O22" s="14" t="s">
        <v>140</v>
      </c>
      <c r="P22" s="14" t="s">
        <v>140</v>
      </c>
      <c r="Q22" s="14" t="s">
        <v>140</v>
      </c>
      <c r="R22" s="14" t="s">
        <v>140</v>
      </c>
      <c r="S22" s="14" t="s">
        <v>140</v>
      </c>
      <c r="T22" s="14" t="s">
        <v>140</v>
      </c>
      <c r="U22" s="14" t="s">
        <v>140</v>
      </c>
      <c r="V22" s="14" t="s">
        <v>140</v>
      </c>
      <c r="W22" s="14" t="s">
        <v>140</v>
      </c>
      <c r="X22" s="14" t="s">
        <v>140</v>
      </c>
      <c r="Y22" s="14" t="s">
        <v>140</v>
      </c>
      <c r="Z22" s="14" t="s">
        <v>140</v>
      </c>
      <c r="AA22" s="14" t="s">
        <v>140</v>
      </c>
      <c r="AB22" s="14" t="s">
        <v>140</v>
      </c>
      <c r="AC22" s="14" t="s">
        <v>140</v>
      </c>
      <c r="AD22" s="14" t="s">
        <v>140</v>
      </c>
      <c r="AE22" s="14" t="s">
        <v>140</v>
      </c>
      <c r="AF22" s="15" t="s">
        <v>140</v>
      </c>
      <c r="AG22" s="16">
        <f t="shared" si="5"/>
        <v>0</v>
      </c>
      <c r="AH22" s="13" t="str">
        <f t="shared" si="12"/>
        <v/>
      </c>
      <c r="AI22" s="15" t="str">
        <f t="shared" si="12"/>
        <v/>
      </c>
    </row>
    <row r="23" spans="9:35" ht="52.5" x14ac:dyDescent="0.25">
      <c r="I23" s="22" t="s">
        <v>79</v>
      </c>
      <c r="J23" s="23" t="s">
        <v>80</v>
      </c>
      <c r="K23" s="24" t="s">
        <v>140</v>
      </c>
      <c r="L23" s="25" t="s">
        <v>140</v>
      </c>
      <c r="M23" s="25" t="s">
        <v>140</v>
      </c>
      <c r="N23" s="25" t="s">
        <v>140</v>
      </c>
      <c r="O23" s="25" t="s">
        <v>140</v>
      </c>
      <c r="P23" s="25">
        <v>4</v>
      </c>
      <c r="Q23" s="25" t="s">
        <v>140</v>
      </c>
      <c r="R23" s="25">
        <v>18</v>
      </c>
      <c r="S23" s="25" t="s">
        <v>140</v>
      </c>
      <c r="T23" s="25" t="s">
        <v>140</v>
      </c>
      <c r="U23" s="25" t="s">
        <v>140</v>
      </c>
      <c r="V23" s="25" t="s">
        <v>140</v>
      </c>
      <c r="W23" s="25" t="s">
        <v>140</v>
      </c>
      <c r="X23" s="25" t="s">
        <v>140</v>
      </c>
      <c r="Y23" s="25" t="s">
        <v>140</v>
      </c>
      <c r="Z23" s="25" t="s">
        <v>140</v>
      </c>
      <c r="AA23" s="25" t="s">
        <v>140</v>
      </c>
      <c r="AB23" s="25" t="s">
        <v>140</v>
      </c>
      <c r="AC23" s="25" t="s">
        <v>140</v>
      </c>
      <c r="AD23" s="25" t="s">
        <v>140</v>
      </c>
      <c r="AE23" s="25" t="s">
        <v>140</v>
      </c>
      <c r="AF23" s="26" t="s">
        <v>140</v>
      </c>
      <c r="AG23" s="27">
        <f t="shared" si="5"/>
        <v>0</v>
      </c>
      <c r="AH23" s="24" t="s">
        <v>140</v>
      </c>
      <c r="AI23" s="26" t="s">
        <v>140</v>
      </c>
    </row>
    <row r="24" spans="9:35" ht="21" x14ac:dyDescent="0.25">
      <c r="I24" s="11" t="str">
        <f>_xlfn.CONCAT(I23,".1")</f>
        <v>ОПК-1.1</v>
      </c>
      <c r="J24" s="12" t="s">
        <v>81</v>
      </c>
      <c r="K24" s="13" t="s">
        <v>140</v>
      </c>
      <c r="L24" s="14" t="s">
        <v>140</v>
      </c>
      <c r="M24" s="14" t="s">
        <v>140</v>
      </c>
      <c r="N24" s="14" t="s">
        <v>140</v>
      </c>
      <c r="O24" s="14" t="s">
        <v>140</v>
      </c>
      <c r="P24" s="28">
        <v>4</v>
      </c>
      <c r="Q24" s="14" t="s">
        <v>140</v>
      </c>
      <c r="R24" s="14" t="s">
        <v>140</v>
      </c>
      <c r="S24" s="14" t="s">
        <v>140</v>
      </c>
      <c r="T24" s="14" t="s">
        <v>140</v>
      </c>
      <c r="U24" s="14" t="s">
        <v>140</v>
      </c>
      <c r="V24" s="14" t="s">
        <v>140</v>
      </c>
      <c r="W24" s="14" t="s">
        <v>140</v>
      </c>
      <c r="X24" s="14" t="s">
        <v>140</v>
      </c>
      <c r="Y24" s="14" t="s">
        <v>140</v>
      </c>
      <c r="Z24" s="14" t="s">
        <v>140</v>
      </c>
      <c r="AA24" s="14" t="s">
        <v>140</v>
      </c>
      <c r="AB24" s="14" t="s">
        <v>140</v>
      </c>
      <c r="AC24" s="14" t="s">
        <v>140</v>
      </c>
      <c r="AD24" s="14" t="s">
        <v>140</v>
      </c>
      <c r="AE24" s="14" t="s">
        <v>140</v>
      </c>
      <c r="AF24" s="15" t="s">
        <v>140</v>
      </c>
      <c r="AG24" s="16">
        <f t="shared" si="5"/>
        <v>0</v>
      </c>
      <c r="AH24" s="13" t="str">
        <f t="shared" ref="AH24:AI25" si="13">IFERROR(SEARCH(_xlfn.CONCAT(" ",$I24),AH$4),"")</f>
        <v/>
      </c>
      <c r="AI24" s="15" t="str">
        <f t="shared" si="13"/>
        <v/>
      </c>
    </row>
    <row r="25" spans="9:35" ht="21" x14ac:dyDescent="0.25">
      <c r="I25" s="11" t="str">
        <f>_xlfn.CONCAT(I23,".2")</f>
        <v>ОПК-1.2</v>
      </c>
      <c r="J25" s="12" t="s">
        <v>83</v>
      </c>
      <c r="K25" s="13" t="s">
        <v>140</v>
      </c>
      <c r="L25" s="14" t="s">
        <v>140</v>
      </c>
      <c r="M25" s="14" t="s">
        <v>140</v>
      </c>
      <c r="N25" s="14" t="s">
        <v>140</v>
      </c>
      <c r="O25" s="14" t="s">
        <v>140</v>
      </c>
      <c r="P25" s="14" t="s">
        <v>140</v>
      </c>
      <c r="Q25" s="14" t="s">
        <v>140</v>
      </c>
      <c r="R25" s="28">
        <v>18</v>
      </c>
      <c r="S25" s="14" t="s">
        <v>140</v>
      </c>
      <c r="T25" s="14" t="s">
        <v>140</v>
      </c>
      <c r="U25" s="14" t="s">
        <v>140</v>
      </c>
      <c r="V25" s="14" t="s">
        <v>140</v>
      </c>
      <c r="W25" s="14" t="s">
        <v>140</v>
      </c>
      <c r="X25" s="14" t="s">
        <v>140</v>
      </c>
      <c r="Y25" s="14" t="s">
        <v>140</v>
      </c>
      <c r="Z25" s="14" t="s">
        <v>140</v>
      </c>
      <c r="AA25" s="14" t="s">
        <v>140</v>
      </c>
      <c r="AB25" s="14" t="s">
        <v>140</v>
      </c>
      <c r="AC25" s="14" t="s">
        <v>140</v>
      </c>
      <c r="AD25" s="14" t="s">
        <v>140</v>
      </c>
      <c r="AE25" s="14" t="s">
        <v>140</v>
      </c>
      <c r="AF25" s="15" t="s">
        <v>140</v>
      </c>
      <c r="AG25" s="16">
        <f t="shared" si="5"/>
        <v>0</v>
      </c>
      <c r="AH25" s="13" t="str">
        <f t="shared" si="13"/>
        <v/>
      </c>
      <c r="AI25" s="15" t="str">
        <f t="shared" si="13"/>
        <v/>
      </c>
    </row>
    <row r="26" spans="9:35" ht="31.5" x14ac:dyDescent="0.25">
      <c r="I26" s="22" t="s">
        <v>84</v>
      </c>
      <c r="J26" s="23" t="s">
        <v>85</v>
      </c>
      <c r="K26" s="24" t="s">
        <v>140</v>
      </c>
      <c r="L26" s="25" t="s">
        <v>140</v>
      </c>
      <c r="M26" s="25" t="s">
        <v>140</v>
      </c>
      <c r="N26" s="25" t="s">
        <v>140</v>
      </c>
      <c r="O26" s="25">
        <v>16</v>
      </c>
      <c r="P26" s="25" t="s">
        <v>140</v>
      </c>
      <c r="Q26" s="25" t="s">
        <v>140</v>
      </c>
      <c r="R26" s="25" t="s">
        <v>140</v>
      </c>
      <c r="S26" s="25" t="s">
        <v>140</v>
      </c>
      <c r="T26" s="25" t="s">
        <v>140</v>
      </c>
      <c r="U26" s="25" t="s">
        <v>140</v>
      </c>
      <c r="V26" s="25" t="s">
        <v>140</v>
      </c>
      <c r="W26" s="25" t="s">
        <v>140</v>
      </c>
      <c r="X26" s="25" t="s">
        <v>140</v>
      </c>
      <c r="Y26" s="25" t="s">
        <v>140</v>
      </c>
      <c r="Z26" s="25" t="s">
        <v>140</v>
      </c>
      <c r="AA26" s="25" t="s">
        <v>140</v>
      </c>
      <c r="AB26" s="25" t="s">
        <v>140</v>
      </c>
      <c r="AC26" s="25" t="s">
        <v>140</v>
      </c>
      <c r="AD26" s="25" t="s">
        <v>140</v>
      </c>
      <c r="AE26" s="25" t="s">
        <v>140</v>
      </c>
      <c r="AF26" s="26" t="s">
        <v>140</v>
      </c>
      <c r="AG26" s="27">
        <f t="shared" si="5"/>
        <v>0</v>
      </c>
      <c r="AH26" s="24" t="s">
        <v>140</v>
      </c>
      <c r="AI26" s="26" t="s">
        <v>140</v>
      </c>
    </row>
    <row r="27" spans="9:35" ht="21" x14ac:dyDescent="0.25">
      <c r="I27" s="11" t="str">
        <f>_xlfn.CONCAT(I26,".1")</f>
        <v>ОПК-2.1</v>
      </c>
      <c r="J27" s="12" t="s">
        <v>86</v>
      </c>
      <c r="K27" s="13" t="s">
        <v>140</v>
      </c>
      <c r="L27" s="14" t="s">
        <v>140</v>
      </c>
      <c r="M27" s="14" t="s">
        <v>140</v>
      </c>
      <c r="N27" s="14" t="s">
        <v>140</v>
      </c>
      <c r="O27" s="28">
        <v>8</v>
      </c>
      <c r="P27" s="14" t="s">
        <v>140</v>
      </c>
      <c r="Q27" s="14" t="s">
        <v>140</v>
      </c>
      <c r="R27" s="14" t="s">
        <v>140</v>
      </c>
      <c r="S27" s="14" t="s">
        <v>140</v>
      </c>
      <c r="T27" s="14" t="s">
        <v>140</v>
      </c>
      <c r="U27" s="14" t="s">
        <v>140</v>
      </c>
      <c r="V27" s="14" t="s">
        <v>140</v>
      </c>
      <c r="W27" s="14" t="s">
        <v>140</v>
      </c>
      <c r="X27" s="14" t="s">
        <v>140</v>
      </c>
      <c r="Y27" s="14" t="s">
        <v>140</v>
      </c>
      <c r="Z27" s="14" t="s">
        <v>140</v>
      </c>
      <c r="AA27" s="14" t="s">
        <v>140</v>
      </c>
      <c r="AB27" s="14" t="s">
        <v>140</v>
      </c>
      <c r="AC27" s="14" t="s">
        <v>140</v>
      </c>
      <c r="AD27" s="14" t="s">
        <v>140</v>
      </c>
      <c r="AE27" s="14" t="s">
        <v>140</v>
      </c>
      <c r="AF27" s="15" t="s">
        <v>140</v>
      </c>
      <c r="AG27" s="16">
        <f t="shared" si="5"/>
        <v>0</v>
      </c>
      <c r="AH27" s="13" t="str">
        <f t="shared" ref="AH27:AI28" si="14">IFERROR(SEARCH(_xlfn.CONCAT(" ",$I27),AH$4),"")</f>
        <v/>
      </c>
      <c r="AI27" s="15" t="str">
        <f t="shared" si="14"/>
        <v/>
      </c>
    </row>
    <row r="28" spans="9:35" ht="21" x14ac:dyDescent="0.25">
      <c r="I28" s="11" t="str">
        <f>_xlfn.CONCAT(I26,".2")</f>
        <v>ОПК-2.2</v>
      </c>
      <c r="J28" s="12" t="s">
        <v>87</v>
      </c>
      <c r="K28" s="13" t="s">
        <v>140</v>
      </c>
      <c r="L28" s="14" t="s">
        <v>140</v>
      </c>
      <c r="M28" s="14" t="s">
        <v>140</v>
      </c>
      <c r="N28" s="14" t="s">
        <v>140</v>
      </c>
      <c r="O28" s="28">
        <v>8</v>
      </c>
      <c r="P28" s="14" t="s">
        <v>140</v>
      </c>
      <c r="Q28" s="14" t="s">
        <v>140</v>
      </c>
      <c r="R28" s="14" t="s">
        <v>140</v>
      </c>
      <c r="S28" s="14" t="s">
        <v>140</v>
      </c>
      <c r="T28" s="14" t="s">
        <v>140</v>
      </c>
      <c r="U28" s="14" t="s">
        <v>140</v>
      </c>
      <c r="V28" s="14" t="s">
        <v>140</v>
      </c>
      <c r="W28" s="14" t="s">
        <v>140</v>
      </c>
      <c r="X28" s="14" t="s">
        <v>140</v>
      </c>
      <c r="Y28" s="14" t="s">
        <v>140</v>
      </c>
      <c r="Z28" s="14" t="s">
        <v>140</v>
      </c>
      <c r="AA28" s="14" t="s">
        <v>140</v>
      </c>
      <c r="AB28" s="14" t="s">
        <v>140</v>
      </c>
      <c r="AC28" s="14" t="s">
        <v>140</v>
      </c>
      <c r="AD28" s="14" t="s">
        <v>140</v>
      </c>
      <c r="AE28" s="14" t="s">
        <v>140</v>
      </c>
      <c r="AF28" s="15" t="s">
        <v>140</v>
      </c>
      <c r="AG28" s="16">
        <f t="shared" si="5"/>
        <v>0</v>
      </c>
      <c r="AH28" s="13" t="str">
        <f t="shared" si="14"/>
        <v/>
      </c>
      <c r="AI28" s="15" t="str">
        <f t="shared" si="14"/>
        <v/>
      </c>
    </row>
    <row r="29" spans="9:35" ht="21" x14ac:dyDescent="0.25">
      <c r="I29" s="22" t="s">
        <v>88</v>
      </c>
      <c r="J29" s="23" t="s">
        <v>89</v>
      </c>
      <c r="K29" s="24" t="s">
        <v>140</v>
      </c>
      <c r="L29" s="25" t="s">
        <v>140</v>
      </c>
      <c r="M29" s="25" t="s">
        <v>140</v>
      </c>
      <c r="N29" s="25" t="s">
        <v>140</v>
      </c>
      <c r="O29" s="25">
        <v>4</v>
      </c>
      <c r="P29" s="25" t="s">
        <v>140</v>
      </c>
      <c r="Q29" s="25">
        <v>10</v>
      </c>
      <c r="R29" s="25" t="s">
        <v>140</v>
      </c>
      <c r="S29" s="25" t="s">
        <v>140</v>
      </c>
      <c r="T29" s="25" t="s">
        <v>140</v>
      </c>
      <c r="U29" s="25" t="s">
        <v>140</v>
      </c>
      <c r="V29" s="25" t="s">
        <v>140</v>
      </c>
      <c r="W29" s="25" t="s">
        <v>140</v>
      </c>
      <c r="X29" s="25" t="s">
        <v>140</v>
      </c>
      <c r="Y29" s="25" t="s">
        <v>140</v>
      </c>
      <c r="Z29" s="25" t="s">
        <v>140</v>
      </c>
      <c r="AA29" s="25" t="s">
        <v>140</v>
      </c>
      <c r="AB29" s="25" t="s">
        <v>140</v>
      </c>
      <c r="AC29" s="25">
        <v>2</v>
      </c>
      <c r="AD29" s="25" t="s">
        <v>140</v>
      </c>
      <c r="AE29" s="25" t="s">
        <v>140</v>
      </c>
      <c r="AF29" s="26" t="s">
        <v>140</v>
      </c>
      <c r="AG29" s="27">
        <f t="shared" si="5"/>
        <v>2</v>
      </c>
      <c r="AH29" s="24" t="s">
        <v>140</v>
      </c>
      <c r="AI29" s="26" t="s">
        <v>140</v>
      </c>
    </row>
    <row r="30" spans="9:35" ht="21" x14ac:dyDescent="0.25">
      <c r="I30" s="11" t="str">
        <f>_xlfn.CONCAT(I29,".1")</f>
        <v>ОПК-3.1</v>
      </c>
      <c r="J30" s="12" t="s">
        <v>90</v>
      </c>
      <c r="K30" s="13" t="s">
        <v>140</v>
      </c>
      <c r="L30" s="14" t="s">
        <v>140</v>
      </c>
      <c r="M30" s="14" t="s">
        <v>140</v>
      </c>
      <c r="N30" s="14" t="s">
        <v>140</v>
      </c>
      <c r="O30" s="14" t="s">
        <v>140</v>
      </c>
      <c r="P30" s="14" t="s">
        <v>140</v>
      </c>
      <c r="Q30" s="28">
        <v>10</v>
      </c>
      <c r="R30" s="14" t="s">
        <v>140</v>
      </c>
      <c r="S30" s="14" t="s">
        <v>140</v>
      </c>
      <c r="T30" s="14" t="s">
        <v>140</v>
      </c>
      <c r="U30" s="14" t="s">
        <v>140</v>
      </c>
      <c r="V30" s="14" t="s">
        <v>140</v>
      </c>
      <c r="W30" s="14" t="s">
        <v>140</v>
      </c>
      <c r="X30" s="14" t="s">
        <v>140</v>
      </c>
      <c r="Y30" s="14" t="s">
        <v>140</v>
      </c>
      <c r="Z30" s="14" t="s">
        <v>140</v>
      </c>
      <c r="AA30" s="14" t="s">
        <v>140</v>
      </c>
      <c r="AB30" s="14" t="s">
        <v>140</v>
      </c>
      <c r="AC30" s="28">
        <v>2</v>
      </c>
      <c r="AD30" s="14" t="s">
        <v>140</v>
      </c>
      <c r="AE30" s="14" t="s">
        <v>140</v>
      </c>
      <c r="AF30" s="15" t="s">
        <v>140</v>
      </c>
      <c r="AG30" s="16">
        <f t="shared" si="5"/>
        <v>2</v>
      </c>
      <c r="AH30" s="13" t="str">
        <f t="shared" ref="AH30:AI31" si="15">IFERROR(SEARCH(_xlfn.CONCAT(" ",$I30),AH$4),"")</f>
        <v/>
      </c>
      <c r="AI30" s="15" t="str">
        <f t="shared" si="15"/>
        <v/>
      </c>
    </row>
    <row r="31" spans="9:35" ht="42" x14ac:dyDescent="0.25">
      <c r="I31" s="11" t="str">
        <f>_xlfn.CONCAT(I29,".2")</f>
        <v>ОПК-3.2</v>
      </c>
      <c r="J31" s="12" t="s">
        <v>91</v>
      </c>
      <c r="K31" s="13" t="s">
        <v>140</v>
      </c>
      <c r="L31" s="14" t="s">
        <v>140</v>
      </c>
      <c r="M31" s="14" t="s">
        <v>140</v>
      </c>
      <c r="N31" s="14" t="s">
        <v>140</v>
      </c>
      <c r="O31" s="28">
        <v>4</v>
      </c>
      <c r="P31" s="14" t="s">
        <v>140</v>
      </c>
      <c r="Q31" s="14" t="s">
        <v>140</v>
      </c>
      <c r="R31" s="14" t="s">
        <v>140</v>
      </c>
      <c r="S31" s="14" t="s">
        <v>140</v>
      </c>
      <c r="T31" s="14" t="s">
        <v>140</v>
      </c>
      <c r="U31" s="14" t="s">
        <v>140</v>
      </c>
      <c r="V31" s="14" t="s">
        <v>140</v>
      </c>
      <c r="W31" s="14" t="s">
        <v>140</v>
      </c>
      <c r="X31" s="14" t="s">
        <v>140</v>
      </c>
      <c r="Y31" s="14" t="s">
        <v>140</v>
      </c>
      <c r="Z31" s="14" t="s">
        <v>140</v>
      </c>
      <c r="AA31" s="14" t="s">
        <v>140</v>
      </c>
      <c r="AB31" s="14" t="s">
        <v>140</v>
      </c>
      <c r="AC31" s="14" t="s">
        <v>140</v>
      </c>
      <c r="AD31" s="14" t="s">
        <v>140</v>
      </c>
      <c r="AE31" s="14" t="s">
        <v>140</v>
      </c>
      <c r="AF31" s="15" t="s">
        <v>140</v>
      </c>
      <c r="AG31" s="16">
        <f t="shared" si="5"/>
        <v>0</v>
      </c>
      <c r="AH31" s="13" t="str">
        <f t="shared" si="15"/>
        <v/>
      </c>
      <c r="AI31" s="15" t="str">
        <f t="shared" si="15"/>
        <v/>
      </c>
    </row>
    <row r="32" spans="9:35" ht="52.5" x14ac:dyDescent="0.25">
      <c r="I32" s="22" t="s">
        <v>92</v>
      </c>
      <c r="J32" s="23" t="s">
        <v>93</v>
      </c>
      <c r="K32" s="24" t="s">
        <v>140</v>
      </c>
      <c r="L32" s="25" t="s">
        <v>140</v>
      </c>
      <c r="M32" s="25" t="s">
        <v>140</v>
      </c>
      <c r="N32" s="25" t="s">
        <v>140</v>
      </c>
      <c r="O32" s="25" t="s">
        <v>140</v>
      </c>
      <c r="P32" s="25">
        <v>14</v>
      </c>
      <c r="Q32" s="25" t="s">
        <v>140</v>
      </c>
      <c r="R32" s="25" t="s">
        <v>140</v>
      </c>
      <c r="S32" s="25" t="s">
        <v>140</v>
      </c>
      <c r="T32" s="25" t="s">
        <v>140</v>
      </c>
      <c r="U32" s="25" t="s">
        <v>140</v>
      </c>
      <c r="V32" s="25" t="s">
        <v>140</v>
      </c>
      <c r="W32" s="25" t="s">
        <v>140</v>
      </c>
      <c r="X32" s="25" t="s">
        <v>140</v>
      </c>
      <c r="Y32" s="25" t="s">
        <v>140</v>
      </c>
      <c r="Z32" s="25" t="s">
        <v>140</v>
      </c>
      <c r="AA32" s="25" t="s">
        <v>140</v>
      </c>
      <c r="AB32" s="25" t="s">
        <v>140</v>
      </c>
      <c r="AC32" s="25" t="s">
        <v>140</v>
      </c>
      <c r="AD32" s="25">
        <v>2</v>
      </c>
      <c r="AE32" s="25" t="s">
        <v>140</v>
      </c>
      <c r="AF32" s="26" t="s">
        <v>140</v>
      </c>
      <c r="AG32" s="27">
        <f t="shared" si="5"/>
        <v>2</v>
      </c>
      <c r="AH32" s="24" t="s">
        <v>140</v>
      </c>
      <c r="AI32" s="26" t="s">
        <v>140</v>
      </c>
    </row>
    <row r="33" spans="9:35" ht="21" x14ac:dyDescent="0.25">
      <c r="I33" s="11" t="str">
        <f>_xlfn.CONCAT(I32,".1")</f>
        <v>ОПК-4.1</v>
      </c>
      <c r="J33" s="12" t="s">
        <v>94</v>
      </c>
      <c r="K33" s="13" t="s">
        <v>140</v>
      </c>
      <c r="L33" s="14" t="s">
        <v>140</v>
      </c>
      <c r="M33" s="14" t="s">
        <v>140</v>
      </c>
      <c r="N33" s="14" t="s">
        <v>140</v>
      </c>
      <c r="O33" s="14" t="s">
        <v>140</v>
      </c>
      <c r="P33" s="28">
        <v>7</v>
      </c>
      <c r="Q33" s="14" t="s">
        <v>140</v>
      </c>
      <c r="R33" s="14" t="s">
        <v>140</v>
      </c>
      <c r="S33" s="14" t="s">
        <v>140</v>
      </c>
      <c r="T33" s="14" t="s">
        <v>140</v>
      </c>
      <c r="U33" s="14" t="s">
        <v>140</v>
      </c>
      <c r="V33" s="14" t="s">
        <v>140</v>
      </c>
      <c r="W33" s="14" t="s">
        <v>140</v>
      </c>
      <c r="X33" s="14" t="s">
        <v>140</v>
      </c>
      <c r="Y33" s="14" t="s">
        <v>140</v>
      </c>
      <c r="Z33" s="14" t="s">
        <v>140</v>
      </c>
      <c r="AA33" s="14" t="s">
        <v>140</v>
      </c>
      <c r="AB33" s="14" t="s">
        <v>140</v>
      </c>
      <c r="AC33" s="14" t="s">
        <v>140</v>
      </c>
      <c r="AD33" s="28">
        <v>2</v>
      </c>
      <c r="AE33" s="14" t="s">
        <v>140</v>
      </c>
      <c r="AF33" s="15" t="s">
        <v>140</v>
      </c>
      <c r="AG33" s="16">
        <f t="shared" si="5"/>
        <v>2</v>
      </c>
      <c r="AH33" s="13" t="str">
        <f t="shared" ref="AH33:AI34" si="16">IFERROR(SEARCH(_xlfn.CONCAT(" ",$I33),AH$4),"")</f>
        <v/>
      </c>
      <c r="AI33" s="15" t="str">
        <f t="shared" si="16"/>
        <v/>
      </c>
    </row>
    <row r="34" spans="9:35" ht="21" x14ac:dyDescent="0.25">
      <c r="I34" s="11" t="str">
        <f>_xlfn.CONCAT(I32,".2")</f>
        <v>ОПК-4.2</v>
      </c>
      <c r="J34" s="12" t="s">
        <v>95</v>
      </c>
      <c r="K34" s="13" t="s">
        <v>140</v>
      </c>
      <c r="L34" s="14" t="s">
        <v>140</v>
      </c>
      <c r="M34" s="14" t="s">
        <v>140</v>
      </c>
      <c r="N34" s="14" t="s">
        <v>140</v>
      </c>
      <c r="O34" s="14" t="s">
        <v>140</v>
      </c>
      <c r="P34" s="28">
        <v>7</v>
      </c>
      <c r="Q34" s="14" t="s">
        <v>140</v>
      </c>
      <c r="R34" s="14" t="s">
        <v>140</v>
      </c>
      <c r="S34" s="14" t="s">
        <v>140</v>
      </c>
      <c r="T34" s="14" t="s">
        <v>140</v>
      </c>
      <c r="U34" s="14" t="s">
        <v>140</v>
      </c>
      <c r="V34" s="14" t="s">
        <v>140</v>
      </c>
      <c r="W34" s="14" t="s">
        <v>140</v>
      </c>
      <c r="X34" s="14" t="s">
        <v>140</v>
      </c>
      <c r="Y34" s="14" t="s">
        <v>140</v>
      </c>
      <c r="Z34" s="14" t="s">
        <v>140</v>
      </c>
      <c r="AA34" s="14" t="s">
        <v>140</v>
      </c>
      <c r="AB34" s="14" t="s">
        <v>140</v>
      </c>
      <c r="AC34" s="14" t="s">
        <v>140</v>
      </c>
      <c r="AD34" s="14" t="s">
        <v>140</v>
      </c>
      <c r="AE34" s="14" t="s">
        <v>140</v>
      </c>
      <c r="AF34" s="15" t="s">
        <v>140</v>
      </c>
      <c r="AG34" s="16">
        <f t="shared" si="5"/>
        <v>0</v>
      </c>
      <c r="AH34" s="13" t="str">
        <f t="shared" si="16"/>
        <v/>
      </c>
      <c r="AI34" s="15" t="str">
        <f t="shared" si="16"/>
        <v/>
      </c>
    </row>
    <row r="35" spans="9:35" ht="31.5" x14ac:dyDescent="0.25">
      <c r="I35" s="22" t="s">
        <v>96</v>
      </c>
      <c r="J35" s="23" t="s">
        <v>97</v>
      </c>
      <c r="K35" s="24" t="s">
        <v>140</v>
      </c>
      <c r="L35" s="25" t="s">
        <v>140</v>
      </c>
      <c r="M35" s="25" t="s">
        <v>140</v>
      </c>
      <c r="N35" s="25" t="s">
        <v>140</v>
      </c>
      <c r="O35" s="25" t="s">
        <v>140</v>
      </c>
      <c r="P35" s="25" t="s">
        <v>140</v>
      </c>
      <c r="Q35" s="25" t="s">
        <v>140</v>
      </c>
      <c r="R35" s="25" t="s">
        <v>140</v>
      </c>
      <c r="S35" s="25">
        <v>18</v>
      </c>
      <c r="T35" s="25">
        <v>18</v>
      </c>
      <c r="U35" s="25" t="s">
        <v>140</v>
      </c>
      <c r="V35" s="25" t="s">
        <v>140</v>
      </c>
      <c r="W35" s="25" t="s">
        <v>140</v>
      </c>
      <c r="X35" s="25" t="s">
        <v>140</v>
      </c>
      <c r="Y35" s="25" t="s">
        <v>140</v>
      </c>
      <c r="Z35" s="25" t="s">
        <v>140</v>
      </c>
      <c r="AA35" s="25" t="s">
        <v>140</v>
      </c>
      <c r="AB35" s="25" t="s">
        <v>140</v>
      </c>
      <c r="AC35" s="25" t="s">
        <v>140</v>
      </c>
      <c r="AD35" s="25" t="s">
        <v>140</v>
      </c>
      <c r="AE35" s="25" t="s">
        <v>140</v>
      </c>
      <c r="AF35" s="26" t="s">
        <v>140</v>
      </c>
      <c r="AG35" s="27">
        <f t="shared" si="5"/>
        <v>36</v>
      </c>
      <c r="AH35" s="24" t="s">
        <v>140</v>
      </c>
      <c r="AI35" s="26" t="s">
        <v>140</v>
      </c>
    </row>
    <row r="36" spans="9:35" ht="21" x14ac:dyDescent="0.25">
      <c r="I36" s="11" t="str">
        <f>_xlfn.CONCAT(I35,".1")</f>
        <v>ОПК-5.1</v>
      </c>
      <c r="J36" s="12" t="s">
        <v>98</v>
      </c>
      <c r="K36" s="13" t="s">
        <v>140</v>
      </c>
      <c r="L36" s="14" t="s">
        <v>140</v>
      </c>
      <c r="M36" s="14" t="s">
        <v>140</v>
      </c>
      <c r="N36" s="14" t="s">
        <v>140</v>
      </c>
      <c r="O36" s="14" t="s">
        <v>140</v>
      </c>
      <c r="P36" s="14" t="s">
        <v>140</v>
      </c>
      <c r="Q36" s="14" t="s">
        <v>140</v>
      </c>
      <c r="R36" s="14" t="s">
        <v>140</v>
      </c>
      <c r="S36" s="14" t="s">
        <v>140</v>
      </c>
      <c r="T36" s="28">
        <v>9</v>
      </c>
      <c r="U36" s="14" t="s">
        <v>140</v>
      </c>
      <c r="V36" s="14" t="s">
        <v>140</v>
      </c>
      <c r="W36" s="14" t="s">
        <v>140</v>
      </c>
      <c r="X36" s="14" t="s">
        <v>140</v>
      </c>
      <c r="Y36" s="14" t="s">
        <v>140</v>
      </c>
      <c r="Z36" s="14" t="s">
        <v>140</v>
      </c>
      <c r="AA36" s="14" t="s">
        <v>140</v>
      </c>
      <c r="AB36" s="14" t="s">
        <v>140</v>
      </c>
      <c r="AC36" s="14" t="s">
        <v>140</v>
      </c>
      <c r="AD36" s="14" t="s">
        <v>140</v>
      </c>
      <c r="AE36" s="14" t="s">
        <v>140</v>
      </c>
      <c r="AF36" s="15" t="s">
        <v>140</v>
      </c>
      <c r="AG36" s="16">
        <f t="shared" si="5"/>
        <v>9</v>
      </c>
      <c r="AH36" s="13" t="str">
        <f t="shared" ref="AH36:AI38" si="17">IFERROR(SEARCH(_xlfn.CONCAT(" ",$I36),AH$4),"")</f>
        <v/>
      </c>
      <c r="AI36" s="15" t="str">
        <f t="shared" si="17"/>
        <v/>
      </c>
    </row>
    <row r="37" spans="9:35" ht="21" x14ac:dyDescent="0.25">
      <c r="I37" s="11" t="str">
        <f>_xlfn.CONCAT(I35,".2")</f>
        <v>ОПК-5.2</v>
      </c>
      <c r="J37" s="12" t="s">
        <v>99</v>
      </c>
      <c r="K37" s="13" t="s">
        <v>140</v>
      </c>
      <c r="L37" s="14" t="s">
        <v>140</v>
      </c>
      <c r="M37" s="14" t="s">
        <v>140</v>
      </c>
      <c r="N37" s="14" t="s">
        <v>140</v>
      </c>
      <c r="O37" s="14" t="s">
        <v>140</v>
      </c>
      <c r="P37" s="14" t="s">
        <v>140</v>
      </c>
      <c r="Q37" s="14" t="s">
        <v>140</v>
      </c>
      <c r="R37" s="14" t="s">
        <v>140</v>
      </c>
      <c r="S37" s="14" t="s">
        <v>140</v>
      </c>
      <c r="T37" s="28">
        <v>9</v>
      </c>
      <c r="U37" s="14" t="s">
        <v>140</v>
      </c>
      <c r="V37" s="14" t="s">
        <v>140</v>
      </c>
      <c r="W37" s="14" t="s">
        <v>140</v>
      </c>
      <c r="X37" s="14" t="s">
        <v>140</v>
      </c>
      <c r="Y37" s="14" t="s">
        <v>140</v>
      </c>
      <c r="Z37" s="14" t="s">
        <v>140</v>
      </c>
      <c r="AA37" s="14" t="s">
        <v>140</v>
      </c>
      <c r="AB37" s="14" t="s">
        <v>140</v>
      </c>
      <c r="AC37" s="14" t="s">
        <v>140</v>
      </c>
      <c r="AD37" s="14" t="s">
        <v>140</v>
      </c>
      <c r="AE37" s="14" t="s">
        <v>140</v>
      </c>
      <c r="AF37" s="15" t="s">
        <v>140</v>
      </c>
      <c r="AG37" s="16">
        <f t="shared" ref="AG37:AG54" si="18">SUM(S37:AF37)</f>
        <v>9</v>
      </c>
      <c r="AH37" s="13" t="str">
        <f t="shared" si="17"/>
        <v/>
      </c>
      <c r="AI37" s="15" t="str">
        <f t="shared" si="17"/>
        <v/>
      </c>
    </row>
    <row r="38" spans="9:35" ht="21" x14ac:dyDescent="0.25">
      <c r="I38" s="11" t="str">
        <f>_xlfn.CONCAT(I35,".3")</f>
        <v>ОПК-5.3</v>
      </c>
      <c r="J38" s="12" t="s">
        <v>101</v>
      </c>
      <c r="K38" s="13" t="s">
        <v>140</v>
      </c>
      <c r="L38" s="14" t="s">
        <v>140</v>
      </c>
      <c r="M38" s="14" t="s">
        <v>140</v>
      </c>
      <c r="N38" s="14" t="s">
        <v>140</v>
      </c>
      <c r="O38" s="14" t="s">
        <v>140</v>
      </c>
      <c r="P38" s="14" t="s">
        <v>140</v>
      </c>
      <c r="Q38" s="14" t="s">
        <v>140</v>
      </c>
      <c r="R38" s="14" t="s">
        <v>140</v>
      </c>
      <c r="S38" s="28">
        <v>18</v>
      </c>
      <c r="T38" s="14" t="s">
        <v>140</v>
      </c>
      <c r="U38" s="14" t="s">
        <v>140</v>
      </c>
      <c r="V38" s="14" t="s">
        <v>140</v>
      </c>
      <c r="W38" s="14" t="s">
        <v>140</v>
      </c>
      <c r="X38" s="14" t="s">
        <v>140</v>
      </c>
      <c r="Y38" s="14" t="s">
        <v>140</v>
      </c>
      <c r="Z38" s="14" t="s">
        <v>140</v>
      </c>
      <c r="AA38" s="14" t="s">
        <v>140</v>
      </c>
      <c r="AB38" s="14" t="s">
        <v>140</v>
      </c>
      <c r="AC38" s="14" t="s">
        <v>140</v>
      </c>
      <c r="AD38" s="14" t="s">
        <v>140</v>
      </c>
      <c r="AE38" s="14" t="s">
        <v>140</v>
      </c>
      <c r="AF38" s="15" t="s">
        <v>140</v>
      </c>
      <c r="AG38" s="16">
        <f t="shared" si="18"/>
        <v>18</v>
      </c>
      <c r="AH38" s="13" t="str">
        <f t="shared" si="17"/>
        <v/>
      </c>
      <c r="AI38" s="15" t="str">
        <f t="shared" si="17"/>
        <v/>
      </c>
    </row>
    <row r="39" spans="9:35" ht="31.5" x14ac:dyDescent="0.25">
      <c r="I39" s="22" t="s">
        <v>102</v>
      </c>
      <c r="J39" s="23" t="s">
        <v>103</v>
      </c>
      <c r="K39" s="24" t="s">
        <v>140</v>
      </c>
      <c r="L39" s="25" t="s">
        <v>140</v>
      </c>
      <c r="M39" s="25" t="s">
        <v>140</v>
      </c>
      <c r="N39" s="25">
        <v>18</v>
      </c>
      <c r="O39" s="25">
        <v>2</v>
      </c>
      <c r="P39" s="25" t="s">
        <v>140</v>
      </c>
      <c r="Q39" s="25" t="s">
        <v>140</v>
      </c>
      <c r="R39" s="25" t="s">
        <v>140</v>
      </c>
      <c r="S39" s="25" t="s">
        <v>140</v>
      </c>
      <c r="T39" s="25" t="s">
        <v>140</v>
      </c>
      <c r="U39" s="25" t="s">
        <v>140</v>
      </c>
      <c r="V39" s="25" t="s">
        <v>140</v>
      </c>
      <c r="W39" s="25" t="s">
        <v>140</v>
      </c>
      <c r="X39" s="25" t="s">
        <v>140</v>
      </c>
      <c r="Y39" s="25" t="s">
        <v>140</v>
      </c>
      <c r="Z39" s="25" t="s">
        <v>140</v>
      </c>
      <c r="AA39" s="25" t="s">
        <v>140</v>
      </c>
      <c r="AB39" s="25" t="s">
        <v>140</v>
      </c>
      <c r="AC39" s="25" t="s">
        <v>140</v>
      </c>
      <c r="AD39" s="25" t="s">
        <v>140</v>
      </c>
      <c r="AE39" s="25" t="s">
        <v>140</v>
      </c>
      <c r="AF39" s="26" t="s">
        <v>140</v>
      </c>
      <c r="AG39" s="27">
        <f t="shared" si="18"/>
        <v>0</v>
      </c>
      <c r="AH39" s="24" t="s">
        <v>140</v>
      </c>
      <c r="AI39" s="26" t="s">
        <v>140</v>
      </c>
    </row>
    <row r="40" spans="9:35" ht="21" x14ac:dyDescent="0.25">
      <c r="I40" s="11" t="str">
        <f>_xlfn.CONCAT(I39,".1")</f>
        <v>ОПК-6.1</v>
      </c>
      <c r="J40" s="12" t="s">
        <v>105</v>
      </c>
      <c r="K40" s="13" t="s">
        <v>140</v>
      </c>
      <c r="L40" s="14" t="s">
        <v>140</v>
      </c>
      <c r="M40" s="14" t="s">
        <v>140</v>
      </c>
      <c r="N40" s="28">
        <v>18</v>
      </c>
      <c r="O40" s="14" t="s">
        <v>140</v>
      </c>
      <c r="P40" s="14" t="s">
        <v>140</v>
      </c>
      <c r="Q40" s="14" t="s">
        <v>140</v>
      </c>
      <c r="R40" s="14" t="s">
        <v>140</v>
      </c>
      <c r="S40" s="14" t="s">
        <v>140</v>
      </c>
      <c r="T40" s="14" t="s">
        <v>140</v>
      </c>
      <c r="U40" s="14" t="s">
        <v>140</v>
      </c>
      <c r="V40" s="14" t="s">
        <v>140</v>
      </c>
      <c r="W40" s="14" t="s">
        <v>140</v>
      </c>
      <c r="X40" s="14" t="s">
        <v>140</v>
      </c>
      <c r="Y40" s="14" t="s">
        <v>140</v>
      </c>
      <c r="Z40" s="14" t="s">
        <v>140</v>
      </c>
      <c r="AA40" s="14" t="s">
        <v>140</v>
      </c>
      <c r="AB40" s="14" t="s">
        <v>140</v>
      </c>
      <c r="AC40" s="14" t="s">
        <v>140</v>
      </c>
      <c r="AD40" s="14" t="s">
        <v>140</v>
      </c>
      <c r="AE40" s="14" t="s">
        <v>140</v>
      </c>
      <c r="AF40" s="15" t="s">
        <v>140</v>
      </c>
      <c r="AG40" s="16">
        <f t="shared" si="18"/>
        <v>0</v>
      </c>
      <c r="AH40" s="13" t="str">
        <f t="shared" ref="AH40:AI41" si="19">IFERROR(SEARCH(_xlfn.CONCAT(" ",$I40),AH$4),"")</f>
        <v/>
      </c>
      <c r="AI40" s="15" t="str">
        <f t="shared" si="19"/>
        <v/>
      </c>
    </row>
    <row r="41" spans="9:35" ht="21" x14ac:dyDescent="0.25">
      <c r="I41" s="11" t="str">
        <f>_xlfn.CONCAT(I39,".2")</f>
        <v>ОПК-6.2</v>
      </c>
      <c r="J41" s="12" t="s">
        <v>106</v>
      </c>
      <c r="K41" s="13" t="s">
        <v>140</v>
      </c>
      <c r="L41" s="14" t="s">
        <v>140</v>
      </c>
      <c r="M41" s="14" t="s">
        <v>140</v>
      </c>
      <c r="N41" s="14" t="s">
        <v>140</v>
      </c>
      <c r="O41" s="28">
        <v>2</v>
      </c>
      <c r="P41" s="14" t="s">
        <v>140</v>
      </c>
      <c r="Q41" s="14" t="s">
        <v>140</v>
      </c>
      <c r="R41" s="14" t="s">
        <v>140</v>
      </c>
      <c r="S41" s="14" t="s">
        <v>140</v>
      </c>
      <c r="T41" s="14" t="s">
        <v>140</v>
      </c>
      <c r="U41" s="14" t="s">
        <v>140</v>
      </c>
      <c r="V41" s="14" t="s">
        <v>140</v>
      </c>
      <c r="W41" s="14" t="s">
        <v>140</v>
      </c>
      <c r="X41" s="14" t="s">
        <v>140</v>
      </c>
      <c r="Y41" s="14" t="s">
        <v>140</v>
      </c>
      <c r="Z41" s="14" t="s">
        <v>140</v>
      </c>
      <c r="AA41" s="14" t="s">
        <v>140</v>
      </c>
      <c r="AB41" s="14" t="s">
        <v>140</v>
      </c>
      <c r="AC41" s="14" t="s">
        <v>140</v>
      </c>
      <c r="AD41" s="14" t="s">
        <v>140</v>
      </c>
      <c r="AE41" s="14" t="s">
        <v>140</v>
      </c>
      <c r="AF41" s="15" t="s">
        <v>140</v>
      </c>
      <c r="AG41" s="16">
        <f t="shared" si="18"/>
        <v>0</v>
      </c>
      <c r="AH41" s="13" t="str">
        <f t="shared" si="19"/>
        <v/>
      </c>
      <c r="AI41" s="15" t="str">
        <f t="shared" si="19"/>
        <v/>
      </c>
    </row>
    <row r="42" spans="9:35" ht="31.5" x14ac:dyDescent="0.25">
      <c r="I42" s="22" t="s">
        <v>107</v>
      </c>
      <c r="J42" s="23" t="s">
        <v>108</v>
      </c>
      <c r="K42" s="24" t="s">
        <v>140</v>
      </c>
      <c r="L42" s="25" t="s">
        <v>140</v>
      </c>
      <c r="M42" s="25" t="s">
        <v>140</v>
      </c>
      <c r="N42" s="25" t="s">
        <v>140</v>
      </c>
      <c r="O42" s="25" t="s">
        <v>140</v>
      </c>
      <c r="P42" s="25"/>
      <c r="Q42" s="25" t="s">
        <v>140</v>
      </c>
      <c r="R42" s="25"/>
      <c r="S42" s="25" t="s">
        <v>140</v>
      </c>
      <c r="T42" s="25" t="s">
        <v>140</v>
      </c>
      <c r="U42" s="25" t="s">
        <v>140</v>
      </c>
      <c r="V42" s="25">
        <v>18</v>
      </c>
      <c r="W42" s="25">
        <v>18</v>
      </c>
      <c r="X42" s="25">
        <v>18</v>
      </c>
      <c r="Y42" s="25">
        <v>18</v>
      </c>
      <c r="Z42" s="25">
        <v>18</v>
      </c>
      <c r="AA42" s="25" t="s">
        <v>140</v>
      </c>
      <c r="AB42" s="25" t="s">
        <v>140</v>
      </c>
      <c r="AC42" s="25">
        <v>2</v>
      </c>
      <c r="AD42" s="25" t="s">
        <v>140</v>
      </c>
      <c r="AE42" s="25">
        <v>4</v>
      </c>
      <c r="AF42" s="26" t="s">
        <v>140</v>
      </c>
      <c r="AG42" s="27">
        <f t="shared" si="18"/>
        <v>96</v>
      </c>
      <c r="AH42" s="24">
        <v>18</v>
      </c>
      <c r="AI42" s="26" t="s">
        <v>140</v>
      </c>
    </row>
    <row r="43" spans="9:35" ht="21" x14ac:dyDescent="0.25">
      <c r="I43" s="11" t="str">
        <f>_xlfn.CONCAT(I42,".1")</f>
        <v>ПК-1.1</v>
      </c>
      <c r="J43" s="12" t="s">
        <v>110</v>
      </c>
      <c r="K43" s="13" t="s">
        <v>140</v>
      </c>
      <c r="L43" s="14" t="s">
        <v>140</v>
      </c>
      <c r="M43" s="14" t="s">
        <v>140</v>
      </c>
      <c r="N43" s="14" t="s">
        <v>140</v>
      </c>
      <c r="O43" s="14" t="s">
        <v>140</v>
      </c>
      <c r="P43" s="14" t="s">
        <v>140</v>
      </c>
      <c r="Q43" s="14" t="s">
        <v>140</v>
      </c>
      <c r="R43" s="14" t="s">
        <v>140</v>
      </c>
      <c r="S43" s="14" t="s">
        <v>140</v>
      </c>
      <c r="T43" s="14" t="s">
        <v>140</v>
      </c>
      <c r="U43" s="14" t="s">
        <v>140</v>
      </c>
      <c r="V43" s="28">
        <v>18</v>
      </c>
      <c r="W43" s="14" t="s">
        <v>140</v>
      </c>
      <c r="X43" s="14" t="s">
        <v>140</v>
      </c>
      <c r="Y43" s="14" t="s">
        <v>140</v>
      </c>
      <c r="Z43" s="14" t="s">
        <v>140</v>
      </c>
      <c r="AA43" s="14" t="s">
        <v>140</v>
      </c>
      <c r="AB43" s="14" t="s">
        <v>140</v>
      </c>
      <c r="AC43" s="28">
        <v>2</v>
      </c>
      <c r="AD43" s="14" t="s">
        <v>140</v>
      </c>
      <c r="AE43" s="14" t="s">
        <v>140</v>
      </c>
      <c r="AF43" s="15" t="s">
        <v>140</v>
      </c>
      <c r="AG43" s="16">
        <f t="shared" si="18"/>
        <v>20</v>
      </c>
      <c r="AH43" s="28">
        <v>18</v>
      </c>
      <c r="AI43" s="15" t="str">
        <f t="shared" ref="AH43:AI45" si="20">IFERROR(SEARCH(_xlfn.CONCAT(" ",$I43),AI$4),"")</f>
        <v/>
      </c>
    </row>
    <row r="44" spans="9:35" ht="31.5" x14ac:dyDescent="0.25">
      <c r="I44" s="11" t="str">
        <f>_xlfn.CONCAT(I42,".2")</f>
        <v>ПК-1.2</v>
      </c>
      <c r="J44" s="12" t="s">
        <v>112</v>
      </c>
      <c r="K44" s="13" t="s">
        <v>140</v>
      </c>
      <c r="L44" s="14" t="s">
        <v>140</v>
      </c>
      <c r="M44" s="14" t="s">
        <v>140</v>
      </c>
      <c r="N44" s="14" t="s">
        <v>140</v>
      </c>
      <c r="O44" s="14" t="s">
        <v>140</v>
      </c>
      <c r="P44" s="14" t="s">
        <v>140</v>
      </c>
      <c r="Q44" s="14" t="s">
        <v>140</v>
      </c>
      <c r="R44" s="14" t="s">
        <v>140</v>
      </c>
      <c r="S44" s="14" t="s">
        <v>140</v>
      </c>
      <c r="T44" s="14" t="s">
        <v>140</v>
      </c>
      <c r="U44" s="14" t="s">
        <v>140</v>
      </c>
      <c r="V44" s="14" t="s">
        <v>140</v>
      </c>
      <c r="W44" s="14" t="s">
        <v>140</v>
      </c>
      <c r="X44" s="14" t="s">
        <v>140</v>
      </c>
      <c r="Y44" s="28">
        <v>18</v>
      </c>
      <c r="Z44" s="28">
        <v>18</v>
      </c>
      <c r="AA44" s="14" t="s">
        <v>140</v>
      </c>
      <c r="AB44" s="14" t="s">
        <v>140</v>
      </c>
      <c r="AC44" s="14" t="s">
        <v>140</v>
      </c>
      <c r="AD44" s="14" t="s">
        <v>140</v>
      </c>
      <c r="AE44" s="28">
        <v>2</v>
      </c>
      <c r="AF44" s="15" t="s">
        <v>140</v>
      </c>
      <c r="AG44" s="16">
        <f t="shared" si="18"/>
        <v>38</v>
      </c>
      <c r="AH44" s="13" t="str">
        <f t="shared" si="20"/>
        <v/>
      </c>
      <c r="AI44" s="15" t="str">
        <f t="shared" si="20"/>
        <v/>
      </c>
    </row>
    <row r="45" spans="9:35" ht="21" x14ac:dyDescent="0.25">
      <c r="I45" s="11" t="str">
        <f>_xlfn.CONCAT(I42,".3")</f>
        <v>ПК-1.3</v>
      </c>
      <c r="J45" s="12" t="s">
        <v>114</v>
      </c>
      <c r="K45" s="13" t="s">
        <v>140</v>
      </c>
      <c r="L45" s="14" t="s">
        <v>140</v>
      </c>
      <c r="M45" s="14" t="s">
        <v>140</v>
      </c>
      <c r="N45" s="14" t="s">
        <v>140</v>
      </c>
      <c r="O45" s="14" t="s">
        <v>140</v>
      </c>
      <c r="P45" s="14" t="s">
        <v>140</v>
      </c>
      <c r="Q45" s="14" t="s">
        <v>140</v>
      </c>
      <c r="R45" s="14" t="s">
        <v>140</v>
      </c>
      <c r="S45" s="14" t="s">
        <v>140</v>
      </c>
      <c r="T45" s="14" t="s">
        <v>140</v>
      </c>
      <c r="U45" s="14" t="s">
        <v>140</v>
      </c>
      <c r="V45" s="14" t="s">
        <v>140</v>
      </c>
      <c r="W45" s="28">
        <v>18</v>
      </c>
      <c r="X45" s="28">
        <v>18</v>
      </c>
      <c r="Y45" s="14" t="s">
        <v>140</v>
      </c>
      <c r="Z45" s="14" t="s">
        <v>140</v>
      </c>
      <c r="AA45" s="14" t="s">
        <v>140</v>
      </c>
      <c r="AB45" s="14" t="s">
        <v>140</v>
      </c>
      <c r="AC45" s="14" t="s">
        <v>140</v>
      </c>
      <c r="AD45" s="14" t="s">
        <v>140</v>
      </c>
      <c r="AE45" s="28">
        <v>2</v>
      </c>
      <c r="AF45" s="15" t="s">
        <v>140</v>
      </c>
      <c r="AG45" s="16">
        <f t="shared" si="18"/>
        <v>38</v>
      </c>
      <c r="AH45" s="13" t="str">
        <f t="shared" si="20"/>
        <v/>
      </c>
      <c r="AI45" s="15" t="str">
        <f t="shared" si="20"/>
        <v/>
      </c>
    </row>
    <row r="46" spans="9:35" ht="21" x14ac:dyDescent="0.25">
      <c r="I46" s="22" t="s">
        <v>115</v>
      </c>
      <c r="J46" s="23" t="s">
        <v>116</v>
      </c>
      <c r="K46" s="24" t="s">
        <v>140</v>
      </c>
      <c r="L46" s="25" t="s">
        <v>140</v>
      </c>
      <c r="M46" s="25" t="s">
        <v>140</v>
      </c>
      <c r="N46" s="25" t="s">
        <v>140</v>
      </c>
      <c r="O46" s="25"/>
      <c r="P46" s="25" t="s">
        <v>140</v>
      </c>
      <c r="Q46" s="25">
        <v>12</v>
      </c>
      <c r="R46" s="25" t="s">
        <v>140</v>
      </c>
      <c r="S46" s="25" t="s">
        <v>140</v>
      </c>
      <c r="T46" s="25" t="s">
        <v>140</v>
      </c>
      <c r="U46" s="25" t="s">
        <v>140</v>
      </c>
      <c r="V46" s="25" t="s">
        <v>140</v>
      </c>
      <c r="W46" s="25" t="s">
        <v>140</v>
      </c>
      <c r="X46" s="25" t="s">
        <v>140</v>
      </c>
      <c r="Y46" s="25" t="s">
        <v>140</v>
      </c>
      <c r="Z46" s="25" t="s">
        <v>140</v>
      </c>
      <c r="AA46" s="25" t="s">
        <v>140</v>
      </c>
      <c r="AB46" s="25" t="s">
        <v>140</v>
      </c>
      <c r="AC46" s="25" t="s">
        <v>140</v>
      </c>
      <c r="AD46" s="25">
        <v>2</v>
      </c>
      <c r="AE46" s="25" t="s">
        <v>140</v>
      </c>
      <c r="AF46" s="26">
        <v>2</v>
      </c>
      <c r="AG46" s="27">
        <f t="shared" si="18"/>
        <v>4</v>
      </c>
      <c r="AH46" s="24" t="s">
        <v>140</v>
      </c>
      <c r="AI46" s="26" t="s">
        <v>140</v>
      </c>
    </row>
    <row r="47" spans="9:35" ht="31.5" x14ac:dyDescent="0.25">
      <c r="I47" s="11" t="str">
        <f>_xlfn.CONCAT(I46,".1")</f>
        <v>ПК-2.1</v>
      </c>
      <c r="J47" s="12" t="s">
        <v>117</v>
      </c>
      <c r="K47" s="13" t="s">
        <v>140</v>
      </c>
      <c r="L47" s="14" t="s">
        <v>140</v>
      </c>
      <c r="M47" s="14" t="s">
        <v>140</v>
      </c>
      <c r="N47" s="14" t="s">
        <v>140</v>
      </c>
      <c r="O47" s="14" t="s">
        <v>140</v>
      </c>
      <c r="P47" s="14" t="s">
        <v>140</v>
      </c>
      <c r="Q47" s="28">
        <v>6</v>
      </c>
      <c r="R47" s="14" t="s">
        <v>140</v>
      </c>
      <c r="S47" s="14" t="s">
        <v>140</v>
      </c>
      <c r="T47" s="14" t="s">
        <v>140</v>
      </c>
      <c r="U47" s="14" t="s">
        <v>140</v>
      </c>
      <c r="V47" s="14" t="s">
        <v>140</v>
      </c>
      <c r="W47" s="14" t="s">
        <v>140</v>
      </c>
      <c r="X47" s="14" t="s">
        <v>140</v>
      </c>
      <c r="Y47" s="14" t="s">
        <v>140</v>
      </c>
      <c r="Z47" s="14" t="s">
        <v>140</v>
      </c>
      <c r="AA47" s="14" t="s">
        <v>140</v>
      </c>
      <c r="AB47" s="14" t="s">
        <v>140</v>
      </c>
      <c r="AC47" s="14" t="s">
        <v>140</v>
      </c>
      <c r="AD47" s="28">
        <v>2</v>
      </c>
      <c r="AE47" s="14" t="s">
        <v>140</v>
      </c>
      <c r="AF47" s="15" t="s">
        <v>140</v>
      </c>
      <c r="AG47" s="16">
        <f t="shared" si="18"/>
        <v>2</v>
      </c>
      <c r="AH47" s="13" t="str">
        <f t="shared" ref="AH47:AI54" si="21">IFERROR(SEARCH(_xlfn.CONCAT(" ",$I47),AH$4),"")</f>
        <v/>
      </c>
      <c r="AI47" s="15" t="str">
        <f t="shared" si="21"/>
        <v/>
      </c>
    </row>
    <row r="48" spans="9:35" x14ac:dyDescent="0.25">
      <c r="I48" s="11" t="str">
        <f>_xlfn.CONCAT(I46,".2")</f>
        <v>ПК-2.2</v>
      </c>
      <c r="J48" s="12" t="s">
        <v>118</v>
      </c>
      <c r="K48" s="13" t="s">
        <v>140</v>
      </c>
      <c r="L48" s="14" t="s">
        <v>140</v>
      </c>
      <c r="M48" s="14" t="s">
        <v>140</v>
      </c>
      <c r="N48" s="14" t="s">
        <v>140</v>
      </c>
      <c r="O48" s="14" t="s">
        <v>140</v>
      </c>
      <c r="P48" s="14" t="s">
        <v>140</v>
      </c>
      <c r="Q48" s="28">
        <v>6</v>
      </c>
      <c r="R48" s="14" t="s">
        <v>140</v>
      </c>
      <c r="S48" s="14" t="s">
        <v>140</v>
      </c>
      <c r="T48" s="14" t="s">
        <v>140</v>
      </c>
      <c r="U48" s="14" t="s">
        <v>140</v>
      </c>
      <c r="V48" s="14" t="s">
        <v>140</v>
      </c>
      <c r="W48" s="14" t="s">
        <v>140</v>
      </c>
      <c r="X48" s="14" t="s">
        <v>140</v>
      </c>
      <c r="Y48" s="14" t="s">
        <v>140</v>
      </c>
      <c r="Z48" s="14" t="s">
        <v>140</v>
      </c>
      <c r="AA48" s="14" t="s">
        <v>140</v>
      </c>
      <c r="AB48" s="14" t="s">
        <v>140</v>
      </c>
      <c r="AC48" s="14" t="s">
        <v>140</v>
      </c>
      <c r="AD48" s="14" t="s">
        <v>140</v>
      </c>
      <c r="AE48" s="14" t="s">
        <v>140</v>
      </c>
      <c r="AF48" s="28">
        <v>2</v>
      </c>
      <c r="AG48" s="16">
        <f t="shared" si="18"/>
        <v>2</v>
      </c>
      <c r="AH48" s="13" t="str">
        <f t="shared" si="21"/>
        <v/>
      </c>
      <c r="AI48" s="15" t="str">
        <f t="shared" si="21"/>
        <v/>
      </c>
    </row>
    <row r="49" spans="9:35" ht="21" x14ac:dyDescent="0.25">
      <c r="I49" s="22" t="s">
        <v>119</v>
      </c>
      <c r="J49" s="23" t="s">
        <v>120</v>
      </c>
      <c r="K49" s="24" t="s">
        <v>140</v>
      </c>
      <c r="L49" s="25" t="s">
        <v>140</v>
      </c>
      <c r="M49" s="25" t="s">
        <v>140</v>
      </c>
      <c r="N49" s="25" t="s">
        <v>140</v>
      </c>
      <c r="O49" s="25"/>
      <c r="P49" s="25" t="s">
        <v>140</v>
      </c>
      <c r="Q49" s="25"/>
      <c r="R49" s="25" t="s">
        <v>140</v>
      </c>
      <c r="S49" s="25" t="s">
        <v>140</v>
      </c>
      <c r="T49" s="25" t="s">
        <v>140</v>
      </c>
      <c r="U49" s="25">
        <v>18</v>
      </c>
      <c r="V49" s="25" t="s">
        <v>140</v>
      </c>
      <c r="W49" s="25" t="s">
        <v>140</v>
      </c>
      <c r="X49" s="25" t="s">
        <v>140</v>
      </c>
      <c r="Y49" s="25" t="s">
        <v>140</v>
      </c>
      <c r="Z49" s="25" t="s">
        <v>140</v>
      </c>
      <c r="AA49" s="25" t="s">
        <v>140</v>
      </c>
      <c r="AB49" s="25" t="s">
        <v>140</v>
      </c>
      <c r="AC49" s="25"/>
      <c r="AD49" s="25" t="s">
        <v>140</v>
      </c>
      <c r="AE49" s="25" t="s">
        <v>140</v>
      </c>
      <c r="AF49" s="26">
        <v>4</v>
      </c>
      <c r="AG49" s="27">
        <f t="shared" si="18"/>
        <v>22</v>
      </c>
      <c r="AH49" s="24" t="s">
        <v>140</v>
      </c>
      <c r="AI49" s="26" t="s">
        <v>140</v>
      </c>
    </row>
    <row r="50" spans="9:35" ht="31.5" x14ac:dyDescent="0.25">
      <c r="I50" s="11" t="str">
        <f>_xlfn.CONCAT(I49,".1")</f>
        <v>ПК-3.1</v>
      </c>
      <c r="J50" s="12" t="s">
        <v>121</v>
      </c>
      <c r="K50" s="13" t="s">
        <v>140</v>
      </c>
      <c r="L50" s="14" t="s">
        <v>140</v>
      </c>
      <c r="M50" s="14" t="s">
        <v>140</v>
      </c>
      <c r="N50" s="14" t="s">
        <v>140</v>
      </c>
      <c r="O50" s="14" t="s">
        <v>140</v>
      </c>
      <c r="P50" s="14" t="s">
        <v>140</v>
      </c>
      <c r="Q50" s="14" t="s">
        <v>140</v>
      </c>
      <c r="R50" s="14" t="s">
        <v>140</v>
      </c>
      <c r="S50" s="14" t="s">
        <v>140</v>
      </c>
      <c r="T50" s="14" t="s">
        <v>140</v>
      </c>
      <c r="U50" s="28">
        <v>9</v>
      </c>
      <c r="V50" s="14" t="s">
        <v>140</v>
      </c>
      <c r="W50" s="14" t="s">
        <v>140</v>
      </c>
      <c r="X50" s="14" t="s">
        <v>140</v>
      </c>
      <c r="Y50" s="14" t="s">
        <v>140</v>
      </c>
      <c r="Z50" s="14" t="s">
        <v>140</v>
      </c>
      <c r="AA50" s="14" t="s">
        <v>140</v>
      </c>
      <c r="AB50" s="14" t="s">
        <v>140</v>
      </c>
      <c r="AC50" s="14" t="s">
        <v>140</v>
      </c>
      <c r="AD50" s="14" t="s">
        <v>140</v>
      </c>
      <c r="AE50" s="14" t="s">
        <v>140</v>
      </c>
      <c r="AF50" s="28">
        <v>2</v>
      </c>
      <c r="AG50" s="16">
        <f t="shared" si="18"/>
        <v>11</v>
      </c>
      <c r="AH50" s="13" t="str">
        <f t="shared" si="21"/>
        <v/>
      </c>
      <c r="AI50" s="15" t="str">
        <f t="shared" si="21"/>
        <v/>
      </c>
    </row>
    <row r="51" spans="9:35" ht="21" x14ac:dyDescent="0.25">
      <c r="I51" s="11" t="str">
        <f>_xlfn.CONCAT(I49,".2")</f>
        <v>ПК-3.2</v>
      </c>
      <c r="J51" s="12" t="s">
        <v>122</v>
      </c>
      <c r="K51" s="13" t="s">
        <v>140</v>
      </c>
      <c r="L51" s="14" t="s">
        <v>140</v>
      </c>
      <c r="M51" s="14" t="s">
        <v>140</v>
      </c>
      <c r="N51" s="14" t="s">
        <v>140</v>
      </c>
      <c r="O51" s="14" t="s">
        <v>140</v>
      </c>
      <c r="P51" s="14" t="s">
        <v>140</v>
      </c>
      <c r="Q51" s="14" t="s">
        <v>140</v>
      </c>
      <c r="R51" s="14" t="s">
        <v>140</v>
      </c>
      <c r="S51" s="14" t="s">
        <v>140</v>
      </c>
      <c r="T51" s="14" t="s">
        <v>140</v>
      </c>
      <c r="U51" s="28">
        <v>9</v>
      </c>
      <c r="V51" s="14" t="s">
        <v>140</v>
      </c>
      <c r="W51" s="14" t="s">
        <v>140</v>
      </c>
      <c r="X51" s="14" t="s">
        <v>140</v>
      </c>
      <c r="Y51" s="14" t="s">
        <v>140</v>
      </c>
      <c r="Z51" s="14" t="s">
        <v>140</v>
      </c>
      <c r="AA51" s="14" t="s">
        <v>140</v>
      </c>
      <c r="AB51" s="14" t="s">
        <v>140</v>
      </c>
      <c r="AC51" s="14" t="s">
        <v>140</v>
      </c>
      <c r="AD51" s="14" t="s">
        <v>140</v>
      </c>
      <c r="AE51" s="14" t="s">
        <v>140</v>
      </c>
      <c r="AF51" s="28">
        <v>2</v>
      </c>
      <c r="AG51" s="16">
        <f t="shared" si="18"/>
        <v>11</v>
      </c>
      <c r="AH51" s="13" t="str">
        <f t="shared" si="21"/>
        <v/>
      </c>
      <c r="AI51" s="15" t="str">
        <f t="shared" si="21"/>
        <v/>
      </c>
    </row>
    <row r="52" spans="9:35" ht="21" x14ac:dyDescent="0.25">
      <c r="I52" s="22" t="s">
        <v>123</v>
      </c>
      <c r="J52" s="23" t="s">
        <v>124</v>
      </c>
      <c r="K52" s="24" t="s">
        <v>140</v>
      </c>
      <c r="L52" s="25" t="s">
        <v>140</v>
      </c>
      <c r="M52" s="25" t="s">
        <v>140</v>
      </c>
      <c r="N52" s="25" t="s">
        <v>140</v>
      </c>
      <c r="O52" s="25" t="s">
        <v>140</v>
      </c>
      <c r="P52" s="25"/>
      <c r="Q52" s="25" t="s">
        <v>140</v>
      </c>
      <c r="R52" s="25" t="s">
        <v>140</v>
      </c>
      <c r="S52" s="25" t="s">
        <v>140</v>
      </c>
      <c r="T52" s="25" t="s">
        <v>140</v>
      </c>
      <c r="U52" s="25" t="s">
        <v>140</v>
      </c>
      <c r="V52" s="25" t="s">
        <v>140</v>
      </c>
      <c r="W52" s="25" t="s">
        <v>140</v>
      </c>
      <c r="X52" s="25" t="s">
        <v>140</v>
      </c>
      <c r="Y52" s="25" t="s">
        <v>140</v>
      </c>
      <c r="Z52" s="25" t="s">
        <v>140</v>
      </c>
      <c r="AA52" s="25">
        <v>18</v>
      </c>
      <c r="AB52" s="25">
        <v>18</v>
      </c>
      <c r="AC52" s="25" t="s">
        <v>140</v>
      </c>
      <c r="AD52" s="25"/>
      <c r="AE52" s="25">
        <v>4</v>
      </c>
      <c r="AF52" s="26" t="s">
        <v>140</v>
      </c>
      <c r="AG52" s="27">
        <f t="shared" si="18"/>
        <v>40</v>
      </c>
      <c r="AH52" s="24" t="s">
        <v>140</v>
      </c>
      <c r="AI52" s="26" t="s">
        <v>140</v>
      </c>
    </row>
    <row r="53" spans="9:35" ht="21" x14ac:dyDescent="0.25">
      <c r="I53" s="11" t="str">
        <f>_xlfn.CONCAT(I52,".1")</f>
        <v>ПК-4.1</v>
      </c>
      <c r="J53" s="12" t="s">
        <v>125</v>
      </c>
      <c r="K53" s="13" t="s">
        <v>140</v>
      </c>
      <c r="L53" s="14" t="s">
        <v>140</v>
      </c>
      <c r="M53" s="14" t="s">
        <v>140</v>
      </c>
      <c r="N53" s="14" t="s">
        <v>140</v>
      </c>
      <c r="O53" s="14" t="s">
        <v>140</v>
      </c>
      <c r="P53" s="14" t="s">
        <v>140</v>
      </c>
      <c r="Q53" s="14" t="s">
        <v>140</v>
      </c>
      <c r="R53" s="14" t="s">
        <v>140</v>
      </c>
      <c r="S53" s="14" t="s">
        <v>140</v>
      </c>
      <c r="T53" s="14" t="s">
        <v>140</v>
      </c>
      <c r="U53" s="14" t="s">
        <v>140</v>
      </c>
      <c r="V53" s="14" t="s">
        <v>140</v>
      </c>
      <c r="W53" s="14" t="s">
        <v>140</v>
      </c>
      <c r="X53" s="14" t="s">
        <v>140</v>
      </c>
      <c r="Y53" s="14" t="s">
        <v>140</v>
      </c>
      <c r="Z53" s="14" t="s">
        <v>140</v>
      </c>
      <c r="AA53" s="28">
        <v>9</v>
      </c>
      <c r="AB53" s="28">
        <v>9</v>
      </c>
      <c r="AC53" s="14" t="s">
        <v>140</v>
      </c>
      <c r="AD53" s="14" t="s">
        <v>140</v>
      </c>
      <c r="AE53" s="28">
        <v>2</v>
      </c>
      <c r="AF53" s="15" t="s">
        <v>140</v>
      </c>
      <c r="AG53" s="16">
        <f t="shared" si="18"/>
        <v>20</v>
      </c>
      <c r="AH53" s="13" t="str">
        <f t="shared" si="21"/>
        <v/>
      </c>
      <c r="AI53" s="15" t="str">
        <f t="shared" si="21"/>
        <v/>
      </c>
    </row>
    <row r="54" spans="9:35" ht="21" x14ac:dyDescent="0.25">
      <c r="I54" s="11" t="str">
        <f>_xlfn.CONCAT(I52,".2")</f>
        <v>ПК-4.2</v>
      </c>
      <c r="J54" s="12" t="s">
        <v>126</v>
      </c>
      <c r="K54" s="13" t="s">
        <v>140</v>
      </c>
      <c r="L54" s="14" t="s">
        <v>140</v>
      </c>
      <c r="M54" s="14" t="s">
        <v>140</v>
      </c>
      <c r="N54" s="14" t="s">
        <v>140</v>
      </c>
      <c r="O54" s="14" t="s">
        <v>140</v>
      </c>
      <c r="P54" s="14" t="s">
        <v>140</v>
      </c>
      <c r="Q54" s="14" t="s">
        <v>140</v>
      </c>
      <c r="R54" s="14" t="s">
        <v>140</v>
      </c>
      <c r="S54" s="14" t="s">
        <v>140</v>
      </c>
      <c r="T54" s="14" t="s">
        <v>140</v>
      </c>
      <c r="U54" s="14" t="s">
        <v>140</v>
      </c>
      <c r="V54" s="14" t="s">
        <v>140</v>
      </c>
      <c r="W54" s="14" t="s">
        <v>140</v>
      </c>
      <c r="X54" s="14" t="s">
        <v>140</v>
      </c>
      <c r="Y54" s="14" t="s">
        <v>140</v>
      </c>
      <c r="Z54" s="14" t="s">
        <v>140</v>
      </c>
      <c r="AA54" s="28">
        <v>9</v>
      </c>
      <c r="AB54" s="28">
        <v>9</v>
      </c>
      <c r="AC54" s="14" t="s">
        <v>140</v>
      </c>
      <c r="AD54" s="14" t="s">
        <v>140</v>
      </c>
      <c r="AE54" s="28">
        <v>2</v>
      </c>
      <c r="AF54" s="15" t="s">
        <v>140</v>
      </c>
      <c r="AG54" s="16">
        <f t="shared" si="18"/>
        <v>20</v>
      </c>
      <c r="AH54" s="13" t="str">
        <f t="shared" si="21"/>
        <v/>
      </c>
      <c r="AI54" s="15" t="str">
        <f t="shared" si="21"/>
        <v/>
      </c>
    </row>
    <row r="55" spans="9:35" ht="31.5" x14ac:dyDescent="0.25">
      <c r="I55" s="22" t="s">
        <v>144</v>
      </c>
      <c r="J55" s="23"/>
      <c r="K55" s="24">
        <f>SUM(K5,K8,K11,K14,K17,K20,K23,K26,K29,K32,K35,K39,K42,K46,K49,K52)</f>
        <v>32</v>
      </c>
      <c r="L55" s="25">
        <f t="shared" ref="L55:R55" si="22">SUM(L5,L8,L11,L14,L17,L20,L23,L26,L29,L32,L35,L39,L42,L46,L49,L52)</f>
        <v>32</v>
      </c>
      <c r="M55" s="25">
        <f t="shared" si="22"/>
        <v>32</v>
      </c>
      <c r="N55" s="25">
        <f t="shared" si="22"/>
        <v>18</v>
      </c>
      <c r="O55" s="25">
        <f t="shared" si="22"/>
        <v>22</v>
      </c>
      <c r="P55" s="25">
        <f t="shared" si="22"/>
        <v>18</v>
      </c>
      <c r="Q55" s="25">
        <f t="shared" si="22"/>
        <v>22</v>
      </c>
      <c r="R55" s="25">
        <f t="shared" si="22"/>
        <v>18</v>
      </c>
      <c r="S55" s="25">
        <f t="shared" ref="S55:AI55" si="23">SUM(S5,S8,S11,S14,S17,S20,S23,S26,S29,S32,S35,S39,S42,S46,S49,S52)</f>
        <v>18</v>
      </c>
      <c r="T55" s="25">
        <f t="shared" si="23"/>
        <v>18</v>
      </c>
      <c r="U55" s="25">
        <f t="shared" si="23"/>
        <v>18</v>
      </c>
      <c r="V55" s="25">
        <f t="shared" si="23"/>
        <v>18</v>
      </c>
      <c r="W55" s="25">
        <f t="shared" si="23"/>
        <v>18</v>
      </c>
      <c r="X55" s="25">
        <f t="shared" si="23"/>
        <v>18</v>
      </c>
      <c r="Y55" s="25">
        <f t="shared" si="23"/>
        <v>18</v>
      </c>
      <c r="Z55" s="25">
        <f t="shared" si="23"/>
        <v>18</v>
      </c>
      <c r="AA55" s="25">
        <f t="shared" si="23"/>
        <v>18</v>
      </c>
      <c r="AB55" s="25">
        <f t="shared" si="23"/>
        <v>18</v>
      </c>
      <c r="AC55" s="25">
        <f t="shared" si="23"/>
        <v>4</v>
      </c>
      <c r="AD55" s="25">
        <f t="shared" si="23"/>
        <v>4</v>
      </c>
      <c r="AE55" s="25">
        <f t="shared" si="23"/>
        <v>8</v>
      </c>
      <c r="AF55" s="26">
        <f t="shared" si="23"/>
        <v>6</v>
      </c>
      <c r="AG55" s="27">
        <f t="shared" si="23"/>
        <v>202</v>
      </c>
      <c r="AH55" s="24">
        <f t="shared" si="23"/>
        <v>18</v>
      </c>
      <c r="AI55" s="26">
        <f t="shared" si="23"/>
        <v>18</v>
      </c>
    </row>
  </sheetData>
  <mergeCells count="3">
    <mergeCell ref="I2:I4"/>
    <mergeCell ref="J2:J4"/>
    <mergeCell ref="AG2:AG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pinner 1">
              <controlPr defaultSize="0" autoPict="0">
                <anchor moveWithCells="1" sizeWithCells="1">
                  <from>
                    <xdr:col>7</xdr:col>
                    <xdr:colOff>114300</xdr:colOff>
                    <xdr:row>0</xdr:row>
                    <xdr:rowOff>85725</xdr:rowOff>
                  </from>
                  <to>
                    <xdr:col>7</xdr:col>
                    <xdr:colOff>457200</xdr:colOff>
                    <xdr:row>1</xdr:row>
                    <xdr:rowOff>419100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Матрица с индикаторами</vt:lpstr>
      <vt:lpstr>Лист1</vt:lpstr>
      <vt:lpstr>Матрица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</dc:creator>
  <cp:lastModifiedBy>Дмитрий Васильев</cp:lastModifiedBy>
  <dcterms:created xsi:type="dcterms:W3CDTF">2024-09-20T06:54:34Z</dcterms:created>
  <dcterms:modified xsi:type="dcterms:W3CDTF">2026-07-22T15:44:04Z</dcterms:modified>
</cp:coreProperties>
</file>