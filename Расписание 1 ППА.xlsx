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Портфолио\"/>
    </mc:Choice>
  </mc:AlternateContent>
  <xr:revisionPtr revIDLastSave="0" documentId="13_ncr:1_{A19308A7-E3A0-4A47-89DC-8E843531444D}" xr6:coauthVersionLast="47" xr6:coauthVersionMax="47" xr10:uidLastSave="{00000000-0000-0000-0000-000000000000}"/>
  <workbookProtection workbookAlgorithmName="SHA-512" workbookHashValue="BjCC8rFYx+WHIa0U4TZuUGECokdYNJcK4pWNUzJJNg0=" workbookSaltValue="E6DeFvX6kX1ff86YRzTfEA==" workbookSpinCount="100000" lockStructure="1"/>
  <bookViews>
    <workbookView xWindow="-120" yWindow="-120" windowWidth="38640" windowHeight="21240" xr2:uid="{00000000-000D-0000-FFFF-FFFF00000000}"/>
  </bookViews>
  <sheets>
    <sheet name="Для печати" sheetId="1" r:id="rId1"/>
    <sheet name="Лист1" sheetId="2" state="hidden" r:id="rId2"/>
  </sheets>
  <definedNames>
    <definedName name="_xlnm._FilterDatabase" localSheetId="0" hidden="1">'Для печати'!$A$3:$K$342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2" i="1" l="1"/>
  <c r="L342" i="1"/>
  <c r="M342" i="1" s="1"/>
  <c r="I342" i="1"/>
  <c r="N341" i="1"/>
  <c r="L341" i="1"/>
  <c r="M341" i="1" s="1"/>
  <c r="I341" i="1"/>
  <c r="N340" i="1"/>
  <c r="L340" i="1"/>
  <c r="M340" i="1" s="1"/>
  <c r="I340" i="1"/>
  <c r="N339" i="1"/>
  <c r="L339" i="1"/>
  <c r="M339" i="1" s="1"/>
  <c r="I339" i="1"/>
  <c r="N338" i="1"/>
  <c r="L338" i="1"/>
  <c r="M338" i="1" s="1"/>
  <c r="I338" i="1"/>
  <c r="N337" i="1"/>
  <c r="L337" i="1"/>
  <c r="M337" i="1" s="1"/>
  <c r="I337" i="1"/>
  <c r="N336" i="1"/>
  <c r="L336" i="1"/>
  <c r="M336" i="1" s="1"/>
  <c r="I336" i="1"/>
  <c r="N335" i="1"/>
  <c r="L335" i="1"/>
  <c r="M335" i="1" s="1"/>
  <c r="I335" i="1"/>
  <c r="N334" i="1"/>
  <c r="L334" i="1"/>
  <c r="M334" i="1" s="1"/>
  <c r="I334" i="1"/>
  <c r="N333" i="1"/>
  <c r="L333" i="1"/>
  <c r="I333" i="1"/>
  <c r="N332" i="1"/>
  <c r="L332" i="1"/>
  <c r="M332" i="1" s="1"/>
  <c r="I332" i="1"/>
  <c r="N331" i="1"/>
  <c r="L331" i="1"/>
  <c r="M331" i="1" s="1"/>
  <c r="I331" i="1"/>
  <c r="N330" i="1"/>
  <c r="L330" i="1"/>
  <c r="M330" i="1" s="1"/>
  <c r="I330" i="1"/>
  <c r="N329" i="1"/>
  <c r="L329" i="1"/>
  <c r="M329" i="1" s="1"/>
  <c r="I329" i="1"/>
  <c r="N328" i="1"/>
  <c r="L328" i="1"/>
  <c r="M328" i="1" s="1"/>
  <c r="I328" i="1"/>
  <c r="N327" i="1"/>
  <c r="L327" i="1"/>
  <c r="M327" i="1" s="1"/>
  <c r="I327" i="1"/>
  <c r="N326" i="1"/>
  <c r="L326" i="1"/>
  <c r="M326" i="1" s="1"/>
  <c r="I326" i="1"/>
  <c r="N325" i="1"/>
  <c r="L325" i="1"/>
  <c r="M325" i="1" s="1"/>
  <c r="I325" i="1"/>
  <c r="N324" i="1"/>
  <c r="L324" i="1"/>
  <c r="M324" i="1" s="1"/>
  <c r="I324" i="1"/>
  <c r="N323" i="1"/>
  <c r="L323" i="1"/>
  <c r="M323" i="1" s="1"/>
  <c r="I323" i="1"/>
  <c r="N322" i="1"/>
  <c r="L322" i="1"/>
  <c r="M322" i="1" s="1"/>
  <c r="I322" i="1"/>
  <c r="N321" i="1"/>
  <c r="L321" i="1"/>
  <c r="I321" i="1"/>
  <c r="N320" i="1"/>
  <c r="M320" i="1"/>
  <c r="L320" i="1"/>
  <c r="I320" i="1"/>
  <c r="N319" i="1"/>
  <c r="M319" i="1"/>
  <c r="L319" i="1"/>
  <c r="I319" i="1"/>
  <c r="N318" i="1"/>
  <c r="M318" i="1"/>
  <c r="L318" i="1"/>
  <c r="I318" i="1"/>
  <c r="N317" i="1"/>
  <c r="M317" i="1"/>
  <c r="L317" i="1"/>
  <c r="I317" i="1"/>
  <c r="N316" i="1"/>
  <c r="M316" i="1"/>
  <c r="L316" i="1"/>
  <c r="I316" i="1"/>
  <c r="N315" i="1"/>
  <c r="L315" i="1"/>
  <c r="M315" i="1" s="1"/>
  <c r="I315" i="1"/>
  <c r="N314" i="1"/>
  <c r="L314" i="1"/>
  <c r="M314" i="1" s="1"/>
  <c r="I314" i="1"/>
  <c r="N313" i="1"/>
  <c r="L313" i="1"/>
  <c r="M313" i="1" s="1"/>
  <c r="I313" i="1"/>
  <c r="N312" i="1"/>
  <c r="L312" i="1"/>
  <c r="M312" i="1" s="1"/>
  <c r="I312" i="1"/>
  <c r="N311" i="1"/>
  <c r="L311" i="1"/>
  <c r="M311" i="1" s="1"/>
  <c r="I311" i="1"/>
  <c r="N310" i="1"/>
  <c r="M310" i="1"/>
  <c r="L310" i="1"/>
  <c r="I310" i="1"/>
  <c r="N309" i="1"/>
  <c r="L309" i="1"/>
  <c r="I309" i="1"/>
  <c r="N308" i="1"/>
  <c r="M308" i="1"/>
  <c r="L308" i="1"/>
  <c r="I308" i="1"/>
  <c r="N307" i="1"/>
  <c r="M307" i="1"/>
  <c r="L307" i="1"/>
  <c r="I307" i="1"/>
  <c r="N306" i="1"/>
  <c r="L306" i="1"/>
  <c r="M306" i="1" s="1"/>
  <c r="I306" i="1"/>
  <c r="N305" i="1"/>
  <c r="M305" i="1"/>
  <c r="L305" i="1"/>
  <c r="I305" i="1"/>
  <c r="N304" i="1"/>
  <c r="M304" i="1"/>
  <c r="L304" i="1"/>
  <c r="I304" i="1"/>
  <c r="N303" i="1"/>
  <c r="L303" i="1"/>
  <c r="M303" i="1" s="1"/>
  <c r="I303" i="1"/>
  <c r="N302" i="1"/>
  <c r="L302" i="1"/>
  <c r="M302" i="1" s="1"/>
  <c r="I302" i="1"/>
  <c r="N301" i="1"/>
  <c r="L301" i="1"/>
  <c r="M301" i="1" s="1"/>
  <c r="I301" i="1"/>
  <c r="N300" i="1"/>
  <c r="L300" i="1"/>
  <c r="M300" i="1" s="1"/>
  <c r="I300" i="1"/>
  <c r="N299" i="1"/>
  <c r="L299" i="1"/>
  <c r="M299" i="1" s="1"/>
  <c r="I299" i="1"/>
  <c r="N298" i="1"/>
  <c r="M298" i="1"/>
  <c r="L298" i="1"/>
  <c r="I298" i="1"/>
  <c r="N297" i="1"/>
  <c r="L297" i="1"/>
  <c r="I297" i="1"/>
  <c r="N296" i="1"/>
  <c r="L296" i="1"/>
  <c r="M296" i="1" s="1"/>
  <c r="I296" i="1"/>
  <c r="N295" i="1"/>
  <c r="M295" i="1"/>
  <c r="L295" i="1"/>
  <c r="I295" i="1"/>
  <c r="N294" i="1"/>
  <c r="L294" i="1"/>
  <c r="M294" i="1" s="1"/>
  <c r="I294" i="1"/>
  <c r="N293" i="1"/>
  <c r="L293" i="1"/>
  <c r="M293" i="1" s="1"/>
  <c r="I293" i="1"/>
  <c r="N292" i="1"/>
  <c r="M292" i="1"/>
  <c r="L292" i="1"/>
  <c r="I292" i="1"/>
  <c r="N291" i="1"/>
  <c r="L291" i="1"/>
  <c r="M291" i="1" s="1"/>
  <c r="I291" i="1"/>
  <c r="N290" i="1"/>
  <c r="L290" i="1"/>
  <c r="M290" i="1" s="1"/>
  <c r="I290" i="1"/>
  <c r="N289" i="1"/>
  <c r="L289" i="1"/>
  <c r="M289" i="1" s="1"/>
  <c r="I289" i="1"/>
  <c r="N288" i="1"/>
  <c r="L288" i="1"/>
  <c r="M288" i="1" s="1"/>
  <c r="I288" i="1"/>
  <c r="N287" i="1"/>
  <c r="L287" i="1"/>
  <c r="M287" i="1" s="1"/>
  <c r="I287" i="1"/>
  <c r="N286" i="1"/>
  <c r="L286" i="1"/>
  <c r="M286" i="1" s="1"/>
  <c r="I286" i="1"/>
  <c r="N285" i="1"/>
  <c r="L285" i="1"/>
  <c r="I285" i="1"/>
  <c r="N284" i="1"/>
  <c r="L284" i="1"/>
  <c r="M284" i="1" s="1"/>
  <c r="I284" i="1"/>
  <c r="N283" i="1"/>
  <c r="L283" i="1"/>
  <c r="M283" i="1" s="1"/>
  <c r="I283" i="1"/>
  <c r="N282" i="1"/>
  <c r="L282" i="1"/>
  <c r="M282" i="1" s="1"/>
  <c r="I282" i="1"/>
  <c r="N281" i="1"/>
  <c r="L281" i="1"/>
  <c r="M281" i="1" s="1"/>
  <c r="I281" i="1"/>
  <c r="N280" i="1"/>
  <c r="L280" i="1"/>
  <c r="M280" i="1" s="1"/>
  <c r="I280" i="1"/>
  <c r="N279" i="1"/>
  <c r="L279" i="1"/>
  <c r="M279" i="1" s="1"/>
  <c r="I279" i="1"/>
  <c r="N278" i="1"/>
  <c r="L278" i="1"/>
  <c r="M278" i="1" s="1"/>
  <c r="I278" i="1"/>
  <c r="N277" i="1"/>
  <c r="L277" i="1"/>
  <c r="M277" i="1" s="1"/>
  <c r="I277" i="1"/>
  <c r="N276" i="1"/>
  <c r="L276" i="1"/>
  <c r="M276" i="1" s="1"/>
  <c r="I276" i="1"/>
  <c r="N275" i="1"/>
  <c r="L275" i="1"/>
  <c r="M275" i="1" s="1"/>
  <c r="I275" i="1"/>
  <c r="N274" i="1"/>
  <c r="L274" i="1"/>
  <c r="M274" i="1" s="1"/>
  <c r="I274" i="1"/>
  <c r="N273" i="1"/>
  <c r="L273" i="1"/>
  <c r="I273" i="1"/>
  <c r="N272" i="1"/>
  <c r="M272" i="1"/>
  <c r="L272" i="1"/>
  <c r="I272" i="1"/>
  <c r="N271" i="1"/>
  <c r="M271" i="1"/>
  <c r="L271" i="1"/>
  <c r="I271" i="1"/>
  <c r="N270" i="1"/>
  <c r="M270" i="1"/>
  <c r="L270" i="1"/>
  <c r="I270" i="1"/>
  <c r="N269" i="1"/>
  <c r="M269" i="1"/>
  <c r="L269" i="1"/>
  <c r="I269" i="1"/>
  <c r="N268" i="1"/>
  <c r="M268" i="1"/>
  <c r="L268" i="1"/>
  <c r="I268" i="1"/>
  <c r="N267" i="1"/>
  <c r="L267" i="1"/>
  <c r="M267" i="1" s="1"/>
  <c r="I267" i="1"/>
  <c r="N266" i="1"/>
  <c r="L266" i="1"/>
  <c r="M266" i="1" s="1"/>
  <c r="I266" i="1"/>
  <c r="N265" i="1"/>
  <c r="L265" i="1"/>
  <c r="M265" i="1" s="1"/>
  <c r="I265" i="1"/>
  <c r="N264" i="1"/>
  <c r="L264" i="1"/>
  <c r="M264" i="1" s="1"/>
  <c r="I264" i="1"/>
  <c r="N263" i="1"/>
  <c r="M263" i="1"/>
  <c r="L263" i="1"/>
  <c r="I263" i="1"/>
  <c r="N262" i="1"/>
  <c r="M262" i="1"/>
  <c r="L262" i="1"/>
  <c r="I262" i="1"/>
  <c r="N261" i="1"/>
  <c r="L261" i="1"/>
  <c r="I261" i="1"/>
  <c r="N260" i="1"/>
  <c r="M260" i="1"/>
  <c r="L260" i="1"/>
  <c r="I260" i="1"/>
  <c r="N259" i="1"/>
  <c r="L259" i="1"/>
  <c r="M259" i="1" s="1"/>
  <c r="I259" i="1"/>
  <c r="N258" i="1"/>
  <c r="M258" i="1"/>
  <c r="L258" i="1"/>
  <c r="I258" i="1"/>
  <c r="N257" i="1"/>
  <c r="M257" i="1"/>
  <c r="L257" i="1"/>
  <c r="I257" i="1"/>
  <c r="N256" i="1"/>
  <c r="L256" i="1"/>
  <c r="M256" i="1" s="1"/>
  <c r="I256" i="1"/>
  <c r="N255" i="1"/>
  <c r="L255" i="1"/>
  <c r="M255" i="1" s="1"/>
  <c r="I255" i="1"/>
  <c r="N254" i="1"/>
  <c r="L254" i="1"/>
  <c r="M254" i="1" s="1"/>
  <c r="I254" i="1"/>
  <c r="N253" i="1"/>
  <c r="L253" i="1"/>
  <c r="M253" i="1" s="1"/>
  <c r="I253" i="1"/>
  <c r="N252" i="1"/>
  <c r="L252" i="1"/>
  <c r="M252" i="1" s="1"/>
  <c r="I252" i="1"/>
  <c r="N251" i="1"/>
  <c r="L251" i="1"/>
  <c r="M251" i="1" s="1"/>
  <c r="I251" i="1"/>
  <c r="N250" i="1"/>
  <c r="M250" i="1"/>
  <c r="L250" i="1"/>
  <c r="I250" i="1"/>
  <c r="N249" i="1"/>
  <c r="L249" i="1"/>
  <c r="I249" i="1"/>
  <c r="N248" i="1"/>
  <c r="M248" i="1"/>
  <c r="L248" i="1"/>
  <c r="I248" i="1"/>
  <c r="N247" i="1"/>
  <c r="M247" i="1"/>
  <c r="L247" i="1"/>
  <c r="I247" i="1"/>
  <c r="N246" i="1"/>
  <c r="L246" i="1"/>
  <c r="M246" i="1" s="1"/>
  <c r="I246" i="1"/>
  <c r="N245" i="1"/>
  <c r="M245" i="1"/>
  <c r="L245" i="1"/>
  <c r="I245" i="1"/>
  <c r="N244" i="1"/>
  <c r="M244" i="1"/>
  <c r="L244" i="1"/>
  <c r="I244" i="1"/>
  <c r="N243" i="1"/>
  <c r="L243" i="1"/>
  <c r="M243" i="1" s="1"/>
  <c r="I243" i="1"/>
  <c r="N242" i="1"/>
  <c r="M242" i="1"/>
  <c r="L242" i="1"/>
  <c r="I242" i="1"/>
  <c r="N241" i="1"/>
  <c r="L241" i="1"/>
  <c r="M241" i="1" s="1"/>
  <c r="I241" i="1"/>
  <c r="N240" i="1"/>
  <c r="L240" i="1"/>
  <c r="M240" i="1" s="1"/>
  <c r="I240" i="1"/>
  <c r="N239" i="1"/>
  <c r="M239" i="1"/>
  <c r="L239" i="1"/>
  <c r="I239" i="1"/>
  <c r="N238" i="1"/>
  <c r="L238" i="1"/>
  <c r="M238" i="1" s="1"/>
  <c r="I238" i="1"/>
  <c r="N237" i="1"/>
  <c r="L237" i="1"/>
  <c r="I237" i="1"/>
  <c r="N236" i="1"/>
  <c r="L236" i="1"/>
  <c r="M236" i="1" s="1"/>
  <c r="I236" i="1"/>
  <c r="N235" i="1"/>
  <c r="M235" i="1"/>
  <c r="L235" i="1"/>
  <c r="I235" i="1"/>
  <c r="N234" i="1"/>
  <c r="M234" i="1"/>
  <c r="L234" i="1"/>
  <c r="I234" i="1"/>
  <c r="N233" i="1"/>
  <c r="L233" i="1"/>
  <c r="M233" i="1" s="1"/>
  <c r="I233" i="1"/>
  <c r="N232" i="1"/>
  <c r="M232" i="1"/>
  <c r="L232" i="1"/>
  <c r="I232" i="1"/>
  <c r="N231" i="1"/>
  <c r="L231" i="1"/>
  <c r="M231" i="1" s="1"/>
  <c r="I231" i="1"/>
  <c r="N230" i="1"/>
  <c r="M230" i="1"/>
  <c r="L230" i="1"/>
  <c r="I230" i="1"/>
  <c r="N229" i="1"/>
  <c r="L229" i="1"/>
  <c r="M229" i="1" s="1"/>
  <c r="I229" i="1"/>
  <c r="N228" i="1"/>
  <c r="L228" i="1"/>
  <c r="M228" i="1" s="1"/>
  <c r="I228" i="1"/>
  <c r="N227" i="1"/>
  <c r="M227" i="1"/>
  <c r="L227" i="1"/>
  <c r="I227" i="1"/>
  <c r="N226" i="1"/>
  <c r="M226" i="1"/>
  <c r="L226" i="1"/>
  <c r="I226" i="1"/>
  <c r="N225" i="1"/>
  <c r="L225" i="1"/>
  <c r="I225" i="1"/>
  <c r="N224" i="1"/>
  <c r="M224" i="1"/>
  <c r="L224" i="1"/>
  <c r="I224" i="1"/>
  <c r="N223" i="1"/>
  <c r="L223" i="1"/>
  <c r="M223" i="1" s="1"/>
  <c r="I223" i="1"/>
  <c r="N222" i="1"/>
  <c r="M222" i="1"/>
  <c r="L222" i="1"/>
  <c r="I222" i="1"/>
  <c r="N221" i="1"/>
  <c r="M221" i="1"/>
  <c r="L221" i="1"/>
  <c r="I221" i="1"/>
  <c r="N220" i="1"/>
  <c r="L220" i="1"/>
  <c r="M220" i="1" s="1"/>
  <c r="I220" i="1"/>
  <c r="N219" i="1"/>
  <c r="L219" i="1"/>
  <c r="M219" i="1" s="1"/>
  <c r="I219" i="1"/>
  <c r="N218" i="1"/>
  <c r="M218" i="1"/>
  <c r="L218" i="1"/>
  <c r="I218" i="1"/>
  <c r="N217" i="1"/>
  <c r="L217" i="1"/>
  <c r="M217" i="1" s="1"/>
  <c r="I217" i="1"/>
  <c r="N216" i="1"/>
  <c r="L216" i="1"/>
  <c r="M216" i="1" s="1"/>
  <c r="I216" i="1"/>
  <c r="N215" i="1"/>
  <c r="L215" i="1"/>
  <c r="M215" i="1" s="1"/>
  <c r="I215" i="1"/>
  <c r="N214" i="1"/>
  <c r="M214" i="1"/>
  <c r="L214" i="1"/>
  <c r="I214" i="1"/>
  <c r="N213" i="1"/>
  <c r="L213" i="1"/>
  <c r="I213" i="1"/>
  <c r="N212" i="1"/>
  <c r="M212" i="1"/>
  <c r="L212" i="1"/>
  <c r="I212" i="1"/>
  <c r="N211" i="1"/>
  <c r="M211" i="1"/>
  <c r="L211" i="1"/>
  <c r="I211" i="1"/>
  <c r="N210" i="1"/>
  <c r="L210" i="1"/>
  <c r="M210" i="1" s="1"/>
  <c r="I210" i="1"/>
  <c r="N209" i="1"/>
  <c r="M209" i="1"/>
  <c r="L209" i="1"/>
  <c r="I209" i="1"/>
  <c r="N208" i="1"/>
  <c r="M208" i="1"/>
  <c r="L208" i="1"/>
  <c r="I208" i="1"/>
  <c r="N207" i="1"/>
  <c r="L207" i="1"/>
  <c r="M207" i="1" s="1"/>
  <c r="I207" i="1"/>
  <c r="N206" i="1"/>
  <c r="M206" i="1"/>
  <c r="L206" i="1"/>
  <c r="I206" i="1"/>
  <c r="N205" i="1"/>
  <c r="L205" i="1"/>
  <c r="M205" i="1" s="1"/>
  <c r="I205" i="1"/>
  <c r="N204" i="1"/>
  <c r="L204" i="1"/>
  <c r="M204" i="1" s="1"/>
  <c r="I204" i="1"/>
  <c r="N203" i="1"/>
  <c r="M203" i="1"/>
  <c r="L203" i="1"/>
  <c r="I203" i="1"/>
  <c r="N202" i="1"/>
  <c r="L202" i="1"/>
  <c r="M202" i="1" s="1"/>
  <c r="I202" i="1"/>
  <c r="N201" i="1"/>
  <c r="L201" i="1"/>
  <c r="I201" i="1"/>
  <c r="N200" i="1"/>
  <c r="L200" i="1"/>
  <c r="M200" i="1" s="1"/>
  <c r="I200" i="1"/>
  <c r="N199" i="1"/>
  <c r="M199" i="1"/>
  <c r="L199" i="1"/>
  <c r="I199" i="1"/>
  <c r="N198" i="1"/>
  <c r="M198" i="1"/>
  <c r="L198" i="1"/>
  <c r="I198" i="1"/>
  <c r="N197" i="1"/>
  <c r="L197" i="1"/>
  <c r="M197" i="1" s="1"/>
  <c r="I197" i="1"/>
  <c r="N196" i="1"/>
  <c r="M196" i="1"/>
  <c r="L196" i="1"/>
  <c r="I196" i="1"/>
  <c r="N195" i="1"/>
  <c r="L195" i="1"/>
  <c r="M195" i="1" s="1"/>
  <c r="I195" i="1"/>
  <c r="N194" i="1"/>
  <c r="M194" i="1"/>
  <c r="L194" i="1"/>
  <c r="I194" i="1"/>
  <c r="N193" i="1"/>
  <c r="L193" i="1"/>
  <c r="M193" i="1" s="1"/>
  <c r="I193" i="1"/>
  <c r="N192" i="1"/>
  <c r="L192" i="1"/>
  <c r="M192" i="1" s="1"/>
  <c r="I192" i="1"/>
  <c r="N191" i="1"/>
  <c r="M191" i="1"/>
  <c r="L191" i="1"/>
  <c r="I191" i="1"/>
  <c r="N190" i="1"/>
  <c r="L190" i="1"/>
  <c r="M190" i="1" s="1"/>
  <c r="I190" i="1"/>
  <c r="N189" i="1"/>
  <c r="L189" i="1"/>
  <c r="I189" i="1"/>
  <c r="N188" i="1"/>
  <c r="M188" i="1"/>
  <c r="L188" i="1"/>
  <c r="I188" i="1"/>
  <c r="N187" i="1"/>
  <c r="L187" i="1"/>
  <c r="M187" i="1" s="1"/>
  <c r="I187" i="1"/>
  <c r="N186" i="1"/>
  <c r="M186" i="1"/>
  <c r="L186" i="1"/>
  <c r="I186" i="1"/>
  <c r="N185" i="1"/>
  <c r="M185" i="1"/>
  <c r="L185" i="1"/>
  <c r="I185" i="1"/>
  <c r="N184" i="1"/>
  <c r="L184" i="1"/>
  <c r="M184" i="1" s="1"/>
  <c r="I184" i="1"/>
  <c r="N183" i="1"/>
  <c r="L183" i="1"/>
  <c r="M183" i="1" s="1"/>
  <c r="I183" i="1"/>
  <c r="N182" i="1"/>
  <c r="M182" i="1"/>
  <c r="L182" i="1"/>
  <c r="I182" i="1"/>
  <c r="N181" i="1"/>
  <c r="L181" i="1"/>
  <c r="M181" i="1" s="1"/>
  <c r="I181" i="1"/>
  <c r="N180" i="1"/>
  <c r="L180" i="1"/>
  <c r="M180" i="1" s="1"/>
  <c r="I180" i="1"/>
  <c r="N179" i="1"/>
  <c r="L179" i="1"/>
  <c r="M179" i="1" s="1"/>
  <c r="I179" i="1"/>
  <c r="N178" i="1"/>
  <c r="M178" i="1"/>
  <c r="L178" i="1"/>
  <c r="I178" i="1"/>
  <c r="N177" i="1"/>
  <c r="L177" i="1"/>
  <c r="I177" i="1"/>
  <c r="N176" i="1"/>
  <c r="M176" i="1"/>
  <c r="L176" i="1"/>
  <c r="I176" i="1"/>
  <c r="N175" i="1"/>
  <c r="M175" i="1"/>
  <c r="L175" i="1"/>
  <c r="I175" i="1"/>
  <c r="N174" i="1"/>
  <c r="M174" i="1"/>
  <c r="L174" i="1"/>
  <c r="I174" i="1"/>
  <c r="N173" i="1"/>
  <c r="M173" i="1"/>
  <c r="L173" i="1"/>
  <c r="I173" i="1"/>
  <c r="N172" i="1"/>
  <c r="M172" i="1"/>
  <c r="L172" i="1"/>
  <c r="I172" i="1"/>
  <c r="N171" i="1"/>
  <c r="L171" i="1"/>
  <c r="M171" i="1" s="1"/>
  <c r="I171" i="1"/>
  <c r="N170" i="1"/>
  <c r="M170" i="1"/>
  <c r="L170" i="1"/>
  <c r="I170" i="1"/>
  <c r="N169" i="1"/>
  <c r="L169" i="1"/>
  <c r="M169" i="1" s="1"/>
  <c r="I169" i="1"/>
  <c r="N168" i="1"/>
  <c r="L168" i="1"/>
  <c r="M168" i="1" s="1"/>
  <c r="I168" i="1"/>
  <c r="N167" i="1"/>
  <c r="L167" i="1"/>
  <c r="M167" i="1" s="1"/>
  <c r="I167" i="1"/>
  <c r="N166" i="1"/>
  <c r="L166" i="1"/>
  <c r="M166" i="1" s="1"/>
  <c r="I166" i="1"/>
  <c r="N165" i="1"/>
  <c r="L165" i="1"/>
  <c r="I165" i="1"/>
  <c r="N164" i="1"/>
  <c r="M164" i="1"/>
  <c r="L164" i="1"/>
  <c r="I164" i="1"/>
  <c r="N163" i="1"/>
  <c r="M163" i="1"/>
  <c r="L163" i="1"/>
  <c r="I163" i="1"/>
  <c r="N162" i="1"/>
  <c r="M162" i="1"/>
  <c r="L162" i="1"/>
  <c r="I162" i="1"/>
  <c r="N161" i="1"/>
  <c r="M161" i="1"/>
  <c r="L161" i="1"/>
  <c r="I161" i="1"/>
  <c r="N160" i="1"/>
  <c r="M160" i="1"/>
  <c r="L160" i="1"/>
  <c r="I160" i="1"/>
  <c r="N159" i="1"/>
  <c r="L159" i="1"/>
  <c r="M159" i="1" s="1"/>
  <c r="I159" i="1"/>
  <c r="N158" i="1"/>
  <c r="M158" i="1"/>
  <c r="L158" i="1"/>
  <c r="I158" i="1"/>
  <c r="N157" i="1"/>
  <c r="L157" i="1"/>
  <c r="M157" i="1" s="1"/>
  <c r="I157" i="1"/>
  <c r="N156" i="1"/>
  <c r="L156" i="1"/>
  <c r="M156" i="1" s="1"/>
  <c r="I156" i="1"/>
  <c r="N155" i="1"/>
  <c r="L155" i="1"/>
  <c r="M155" i="1" s="1"/>
  <c r="I155" i="1"/>
  <c r="N154" i="1"/>
  <c r="L154" i="1"/>
  <c r="M154" i="1" s="1"/>
  <c r="I154" i="1"/>
  <c r="N153" i="1"/>
  <c r="L153" i="1"/>
  <c r="I153" i="1"/>
  <c r="N152" i="1"/>
  <c r="M152" i="1"/>
  <c r="L152" i="1"/>
  <c r="I152" i="1"/>
  <c r="N151" i="1"/>
  <c r="M151" i="1"/>
  <c r="L151" i="1"/>
  <c r="I151" i="1"/>
  <c r="N150" i="1"/>
  <c r="M150" i="1"/>
  <c r="L150" i="1"/>
  <c r="I150" i="1"/>
  <c r="N149" i="1"/>
  <c r="M149" i="1"/>
  <c r="L149" i="1"/>
  <c r="I149" i="1"/>
  <c r="N148" i="1"/>
  <c r="M148" i="1"/>
  <c r="L148" i="1"/>
  <c r="I148" i="1"/>
  <c r="N147" i="1"/>
  <c r="L147" i="1"/>
  <c r="M147" i="1" s="1"/>
  <c r="I147" i="1"/>
  <c r="N146" i="1"/>
  <c r="M146" i="1"/>
  <c r="L146" i="1"/>
  <c r="I146" i="1"/>
  <c r="N145" i="1"/>
  <c r="L145" i="1"/>
  <c r="M145" i="1" s="1"/>
  <c r="I145" i="1"/>
  <c r="N144" i="1"/>
  <c r="L144" i="1"/>
  <c r="M144" i="1" s="1"/>
  <c r="I144" i="1"/>
  <c r="N143" i="1"/>
  <c r="L143" i="1"/>
  <c r="M143" i="1" s="1"/>
  <c r="I143" i="1"/>
  <c r="N142" i="1"/>
  <c r="L142" i="1"/>
  <c r="M142" i="1" s="1"/>
  <c r="I142" i="1"/>
  <c r="N141" i="1"/>
  <c r="L141" i="1"/>
  <c r="I141" i="1"/>
  <c r="N140" i="1"/>
  <c r="M140" i="1"/>
  <c r="L140" i="1"/>
  <c r="I140" i="1"/>
  <c r="N139" i="1"/>
  <c r="M139" i="1"/>
  <c r="L139" i="1"/>
  <c r="I139" i="1"/>
  <c r="N138" i="1"/>
  <c r="M138" i="1"/>
  <c r="L138" i="1"/>
  <c r="I138" i="1"/>
  <c r="N137" i="1"/>
  <c r="M137" i="1"/>
  <c r="L137" i="1"/>
  <c r="I137" i="1"/>
  <c r="N136" i="1"/>
  <c r="M136" i="1"/>
  <c r="L136" i="1"/>
  <c r="I136" i="1"/>
  <c r="N135" i="1"/>
  <c r="L135" i="1"/>
  <c r="M135" i="1" s="1"/>
  <c r="I135" i="1"/>
  <c r="N134" i="1"/>
  <c r="M134" i="1"/>
  <c r="L134" i="1"/>
  <c r="I134" i="1"/>
  <c r="N133" i="1"/>
  <c r="L133" i="1"/>
  <c r="M133" i="1" s="1"/>
  <c r="I133" i="1"/>
  <c r="N132" i="1"/>
  <c r="L132" i="1"/>
  <c r="M132" i="1" s="1"/>
  <c r="I132" i="1"/>
  <c r="N131" i="1"/>
  <c r="L131" i="1"/>
  <c r="M131" i="1" s="1"/>
  <c r="I131" i="1"/>
  <c r="N130" i="1"/>
  <c r="L130" i="1"/>
  <c r="M130" i="1" s="1"/>
  <c r="I130" i="1"/>
  <c r="N129" i="1"/>
  <c r="L129" i="1"/>
  <c r="I129" i="1"/>
  <c r="N128" i="1"/>
  <c r="M128" i="1"/>
  <c r="L128" i="1"/>
  <c r="I128" i="1"/>
  <c r="N127" i="1"/>
  <c r="M127" i="1"/>
  <c r="L127" i="1"/>
  <c r="I127" i="1"/>
  <c r="N126" i="1"/>
  <c r="M126" i="1"/>
  <c r="L126" i="1"/>
  <c r="I126" i="1"/>
  <c r="N125" i="1"/>
  <c r="M125" i="1"/>
  <c r="L125" i="1"/>
  <c r="I125" i="1"/>
  <c r="N124" i="1"/>
  <c r="M124" i="1"/>
  <c r="L124" i="1"/>
  <c r="I124" i="1"/>
  <c r="N123" i="1"/>
  <c r="L123" i="1"/>
  <c r="M123" i="1" s="1"/>
  <c r="I123" i="1"/>
  <c r="N122" i="1"/>
  <c r="M122" i="1"/>
  <c r="L122" i="1"/>
  <c r="I122" i="1"/>
  <c r="N121" i="1"/>
  <c r="L121" i="1"/>
  <c r="M121" i="1" s="1"/>
  <c r="I121" i="1"/>
  <c r="N120" i="1"/>
  <c r="L120" i="1"/>
  <c r="M120" i="1" s="1"/>
  <c r="I120" i="1"/>
  <c r="N119" i="1"/>
  <c r="M119" i="1"/>
  <c r="L119" i="1"/>
  <c r="I119" i="1"/>
  <c r="N118" i="1"/>
  <c r="L118" i="1"/>
  <c r="M118" i="1" s="1"/>
  <c r="I118" i="1"/>
  <c r="N117" i="1"/>
  <c r="L117" i="1"/>
  <c r="I117" i="1"/>
  <c r="N116" i="1"/>
  <c r="L116" i="1"/>
  <c r="M116" i="1" s="1"/>
  <c r="I116" i="1"/>
  <c r="N115" i="1"/>
  <c r="M115" i="1"/>
  <c r="L115" i="1"/>
  <c r="I115" i="1"/>
  <c r="N114" i="1"/>
  <c r="M114" i="1"/>
  <c r="L114" i="1"/>
  <c r="I114" i="1"/>
  <c r="N113" i="1"/>
  <c r="L113" i="1"/>
  <c r="M113" i="1" s="1"/>
  <c r="I113" i="1"/>
  <c r="N112" i="1"/>
  <c r="M112" i="1"/>
  <c r="L112" i="1"/>
  <c r="I112" i="1"/>
  <c r="N111" i="1"/>
  <c r="L111" i="1"/>
  <c r="M111" i="1" s="1"/>
  <c r="I111" i="1"/>
  <c r="N110" i="1"/>
  <c r="M110" i="1"/>
  <c r="L110" i="1"/>
  <c r="I110" i="1"/>
  <c r="N109" i="1"/>
  <c r="L109" i="1"/>
  <c r="M109" i="1" s="1"/>
  <c r="I109" i="1"/>
  <c r="N108" i="1"/>
  <c r="L108" i="1"/>
  <c r="M108" i="1" s="1"/>
  <c r="I108" i="1"/>
  <c r="N107" i="1"/>
  <c r="L107" i="1"/>
  <c r="M107" i="1" s="1"/>
  <c r="I107" i="1"/>
  <c r="N106" i="1"/>
  <c r="M106" i="1"/>
  <c r="L106" i="1"/>
  <c r="I106" i="1"/>
  <c r="N105" i="1"/>
  <c r="L105" i="1"/>
  <c r="I105" i="1"/>
  <c r="N104" i="1"/>
  <c r="M104" i="1"/>
  <c r="L104" i="1"/>
  <c r="I104" i="1"/>
  <c r="N103" i="1"/>
  <c r="L103" i="1"/>
  <c r="M103" i="1" s="1"/>
  <c r="I103" i="1"/>
  <c r="N102" i="1"/>
  <c r="M102" i="1"/>
  <c r="L102" i="1"/>
  <c r="I102" i="1"/>
  <c r="N101" i="1"/>
  <c r="M101" i="1"/>
  <c r="L101" i="1"/>
  <c r="I101" i="1"/>
  <c r="N100" i="1"/>
  <c r="L100" i="1"/>
  <c r="M100" i="1" s="1"/>
  <c r="I100" i="1"/>
  <c r="N99" i="1"/>
  <c r="L99" i="1"/>
  <c r="M99" i="1" s="1"/>
  <c r="I99" i="1"/>
  <c r="N98" i="1"/>
  <c r="M98" i="1"/>
  <c r="L98" i="1"/>
  <c r="I98" i="1"/>
  <c r="N97" i="1"/>
  <c r="L97" i="1"/>
  <c r="M97" i="1" s="1"/>
  <c r="I97" i="1"/>
  <c r="N96" i="1"/>
  <c r="L96" i="1"/>
  <c r="M96" i="1" s="1"/>
  <c r="I96" i="1"/>
  <c r="N95" i="1"/>
  <c r="L95" i="1"/>
  <c r="M95" i="1" s="1"/>
  <c r="I95" i="1"/>
  <c r="N94" i="1"/>
  <c r="L94" i="1"/>
  <c r="M94" i="1" s="1"/>
  <c r="I94" i="1"/>
  <c r="N93" i="1"/>
  <c r="L93" i="1"/>
  <c r="I93" i="1"/>
  <c r="N92" i="1"/>
  <c r="M92" i="1"/>
  <c r="L92" i="1"/>
  <c r="I92" i="1"/>
  <c r="N91" i="1"/>
  <c r="M91" i="1"/>
  <c r="L91" i="1"/>
  <c r="I91" i="1"/>
  <c r="N90" i="1"/>
  <c r="L90" i="1"/>
  <c r="M90" i="1" s="1"/>
  <c r="I90" i="1"/>
  <c r="N89" i="1"/>
  <c r="M89" i="1"/>
  <c r="L89" i="1"/>
  <c r="I89" i="1"/>
  <c r="N88" i="1"/>
  <c r="M88" i="1"/>
  <c r="L88" i="1"/>
  <c r="I88" i="1"/>
  <c r="N87" i="1"/>
  <c r="L87" i="1"/>
  <c r="M87" i="1" s="1"/>
  <c r="I87" i="1"/>
  <c r="N86" i="1"/>
  <c r="M86" i="1"/>
  <c r="L86" i="1"/>
  <c r="I86" i="1"/>
  <c r="N85" i="1"/>
  <c r="L85" i="1"/>
  <c r="M85" i="1" s="1"/>
  <c r="I85" i="1"/>
  <c r="N84" i="1"/>
  <c r="L84" i="1"/>
  <c r="M84" i="1" s="1"/>
  <c r="I84" i="1"/>
  <c r="N83" i="1"/>
  <c r="M83" i="1"/>
  <c r="L83" i="1"/>
  <c r="I83" i="1"/>
  <c r="N82" i="1"/>
  <c r="L82" i="1"/>
  <c r="M82" i="1" s="1"/>
  <c r="I82" i="1"/>
  <c r="N81" i="1"/>
  <c r="L81" i="1"/>
  <c r="I81" i="1"/>
  <c r="N80" i="1"/>
  <c r="L80" i="1"/>
  <c r="M80" i="1" s="1"/>
  <c r="I80" i="1"/>
  <c r="N79" i="1"/>
  <c r="M79" i="1"/>
  <c r="L79" i="1"/>
  <c r="I79" i="1"/>
  <c r="N78" i="1"/>
  <c r="M78" i="1"/>
  <c r="L78" i="1"/>
  <c r="I78" i="1"/>
  <c r="N77" i="1"/>
  <c r="L77" i="1"/>
  <c r="M77" i="1" s="1"/>
  <c r="I77" i="1"/>
  <c r="N76" i="1"/>
  <c r="M76" i="1"/>
  <c r="L76" i="1"/>
  <c r="I76" i="1"/>
  <c r="N75" i="1"/>
  <c r="L75" i="1"/>
  <c r="M75" i="1" s="1"/>
  <c r="I75" i="1"/>
  <c r="N74" i="1"/>
  <c r="M74" i="1"/>
  <c r="L74" i="1"/>
  <c r="I74" i="1"/>
  <c r="N73" i="1"/>
  <c r="L73" i="1"/>
  <c r="M73" i="1" s="1"/>
  <c r="I73" i="1"/>
  <c r="N72" i="1"/>
  <c r="L72" i="1"/>
  <c r="M72" i="1" s="1"/>
  <c r="I72" i="1"/>
  <c r="N71" i="1"/>
  <c r="L71" i="1"/>
  <c r="M71" i="1" s="1"/>
  <c r="I71" i="1"/>
  <c r="N70" i="1"/>
  <c r="M70" i="1"/>
  <c r="L70" i="1"/>
  <c r="I70" i="1"/>
  <c r="N69" i="1"/>
  <c r="L69" i="1"/>
  <c r="I69" i="1"/>
  <c r="N68" i="1"/>
  <c r="M68" i="1"/>
  <c r="L68" i="1"/>
  <c r="I68" i="1"/>
  <c r="N67" i="1"/>
  <c r="L67" i="1"/>
  <c r="M67" i="1" s="1"/>
  <c r="I67" i="1"/>
  <c r="N66" i="1"/>
  <c r="M66" i="1"/>
  <c r="L66" i="1"/>
  <c r="I66" i="1"/>
  <c r="N65" i="1"/>
  <c r="M65" i="1"/>
  <c r="L65" i="1"/>
  <c r="I65" i="1"/>
  <c r="N64" i="1"/>
  <c r="L64" i="1"/>
  <c r="M64" i="1" s="1"/>
  <c r="I64" i="1"/>
  <c r="N63" i="1"/>
  <c r="L63" i="1"/>
  <c r="M63" i="1" s="1"/>
  <c r="I63" i="1"/>
  <c r="N62" i="1"/>
  <c r="M62" i="1"/>
  <c r="L62" i="1"/>
  <c r="I62" i="1"/>
  <c r="N61" i="1"/>
  <c r="L61" i="1"/>
  <c r="M61" i="1" s="1"/>
  <c r="I61" i="1"/>
  <c r="N60" i="1"/>
  <c r="L60" i="1"/>
  <c r="M60" i="1" s="1"/>
  <c r="I60" i="1"/>
  <c r="N59" i="1"/>
  <c r="L59" i="1"/>
  <c r="M59" i="1" s="1"/>
  <c r="I59" i="1"/>
  <c r="N58" i="1"/>
  <c r="L58" i="1"/>
  <c r="M58" i="1" s="1"/>
  <c r="I58" i="1"/>
  <c r="N57" i="1"/>
  <c r="L57" i="1"/>
  <c r="I57" i="1"/>
  <c r="N56" i="1"/>
  <c r="M56" i="1"/>
  <c r="L56" i="1"/>
  <c r="I56" i="1"/>
  <c r="N55" i="1"/>
  <c r="M55" i="1"/>
  <c r="L55" i="1"/>
  <c r="I55" i="1"/>
  <c r="N54" i="1"/>
  <c r="L54" i="1"/>
  <c r="M54" i="1" s="1"/>
  <c r="I54" i="1"/>
  <c r="N53" i="1"/>
  <c r="M53" i="1"/>
  <c r="L53" i="1"/>
  <c r="I53" i="1"/>
  <c r="N52" i="1"/>
  <c r="M52" i="1"/>
  <c r="L52" i="1"/>
  <c r="I52" i="1"/>
  <c r="N51" i="1"/>
  <c r="L51" i="1"/>
  <c r="M51" i="1" s="1"/>
  <c r="I51" i="1"/>
  <c r="N50" i="1"/>
  <c r="M50" i="1"/>
  <c r="L50" i="1"/>
  <c r="I50" i="1"/>
  <c r="N49" i="1"/>
  <c r="L49" i="1"/>
  <c r="M49" i="1" s="1"/>
  <c r="I49" i="1"/>
  <c r="N48" i="1"/>
  <c r="L48" i="1"/>
  <c r="M48" i="1" s="1"/>
  <c r="I48" i="1"/>
  <c r="N47" i="1"/>
  <c r="M47" i="1"/>
  <c r="L47" i="1"/>
  <c r="I47" i="1"/>
  <c r="N46" i="1"/>
  <c r="L46" i="1"/>
  <c r="M46" i="1" s="1"/>
  <c r="I46" i="1"/>
  <c r="N45" i="1"/>
  <c r="L45" i="1"/>
  <c r="I45" i="1"/>
  <c r="N44" i="1"/>
  <c r="L44" i="1"/>
  <c r="M44" i="1" s="1"/>
  <c r="I44" i="1"/>
  <c r="N43" i="1"/>
  <c r="M43" i="1"/>
  <c r="L43" i="1"/>
  <c r="I43" i="1"/>
  <c r="N42" i="1"/>
  <c r="M42" i="1"/>
  <c r="L42" i="1"/>
  <c r="I42" i="1"/>
  <c r="N41" i="1"/>
  <c r="L41" i="1"/>
  <c r="M41" i="1" s="1"/>
  <c r="I41" i="1"/>
  <c r="N40" i="1"/>
  <c r="M40" i="1"/>
  <c r="L40" i="1"/>
  <c r="I40" i="1"/>
  <c r="N39" i="1"/>
  <c r="L39" i="1"/>
  <c r="M39" i="1" s="1"/>
  <c r="I39" i="1"/>
  <c r="N38" i="1"/>
  <c r="M38" i="1"/>
  <c r="L38" i="1"/>
  <c r="I38" i="1"/>
  <c r="N37" i="1"/>
  <c r="L37" i="1"/>
  <c r="M37" i="1" s="1"/>
  <c r="I37" i="1"/>
  <c r="N36" i="1"/>
  <c r="L36" i="1"/>
  <c r="M36" i="1" s="1"/>
  <c r="I36" i="1"/>
  <c r="N35" i="1"/>
  <c r="L35" i="1"/>
  <c r="M35" i="1" s="1"/>
  <c r="I35" i="1"/>
  <c r="N34" i="1"/>
  <c r="L34" i="1"/>
  <c r="I34" i="1"/>
  <c r="N33" i="1"/>
  <c r="L33" i="1"/>
  <c r="I33" i="1"/>
  <c r="N32" i="1"/>
  <c r="M32" i="1"/>
  <c r="L32" i="1"/>
  <c r="I32" i="1"/>
  <c r="N31" i="1"/>
  <c r="M31" i="1"/>
  <c r="L31" i="1"/>
  <c r="I31" i="1"/>
  <c r="N30" i="1"/>
  <c r="M30" i="1"/>
  <c r="L30" i="1"/>
  <c r="I30" i="1"/>
  <c r="N29" i="1"/>
  <c r="M29" i="1"/>
  <c r="L29" i="1"/>
  <c r="I29" i="1"/>
  <c r="N28" i="1"/>
  <c r="M28" i="1"/>
  <c r="L28" i="1"/>
  <c r="I28" i="1"/>
  <c r="N27" i="1"/>
  <c r="L27" i="1"/>
  <c r="M27" i="1" s="1"/>
  <c r="I27" i="1"/>
  <c r="N26" i="1"/>
  <c r="L26" i="1"/>
  <c r="M26" i="1" s="1"/>
  <c r="I26" i="1"/>
  <c r="N25" i="1"/>
  <c r="L25" i="1"/>
  <c r="M25" i="1" s="1"/>
  <c r="I25" i="1"/>
  <c r="N24" i="1"/>
  <c r="L24" i="1"/>
  <c r="M24" i="1" s="1"/>
  <c r="I24" i="1"/>
  <c r="N23" i="1"/>
  <c r="M23" i="1"/>
  <c r="L23" i="1"/>
  <c r="I23" i="1"/>
  <c r="N22" i="1"/>
  <c r="L22" i="1"/>
  <c r="M22" i="1" s="1"/>
  <c r="I22" i="1"/>
  <c r="N21" i="1"/>
  <c r="L21" i="1"/>
  <c r="I21" i="1"/>
  <c r="N20" i="1"/>
  <c r="L20" i="1"/>
  <c r="M20" i="1" s="1"/>
  <c r="I20" i="1"/>
  <c r="N19" i="1"/>
  <c r="L19" i="1"/>
  <c r="M19" i="1" s="1"/>
  <c r="I19" i="1"/>
  <c r="N18" i="1"/>
  <c r="L18" i="1"/>
  <c r="M18" i="1" s="1"/>
  <c r="I18" i="1"/>
  <c r="N17" i="1"/>
  <c r="L17" i="1"/>
  <c r="M17" i="1" s="1"/>
  <c r="I17" i="1"/>
  <c r="N16" i="1"/>
  <c r="L16" i="1"/>
  <c r="M16" i="1" s="1"/>
  <c r="I16" i="1"/>
  <c r="N15" i="1"/>
  <c r="L15" i="1"/>
  <c r="M15" i="1" s="1"/>
  <c r="I15" i="1"/>
  <c r="N14" i="1"/>
  <c r="M14" i="1"/>
  <c r="L14" i="1"/>
  <c r="I14" i="1"/>
  <c r="N13" i="1"/>
  <c r="L13" i="1"/>
  <c r="M13" i="1" s="1"/>
  <c r="I13" i="1"/>
  <c r="N12" i="1"/>
  <c r="L12" i="1"/>
  <c r="M12" i="1" s="1"/>
  <c r="I12" i="1"/>
  <c r="N11" i="1"/>
  <c r="M11" i="1"/>
  <c r="L11" i="1"/>
  <c r="I11" i="1"/>
  <c r="N10" i="1"/>
  <c r="L10" i="1"/>
  <c r="I10" i="1"/>
  <c r="N9" i="1"/>
  <c r="L9" i="1"/>
  <c r="I9" i="1"/>
  <c r="N8" i="1"/>
  <c r="L8" i="1"/>
  <c r="M8" i="1" s="1"/>
  <c r="I8" i="1"/>
  <c r="N7" i="1"/>
  <c r="M7" i="1"/>
  <c r="L7" i="1"/>
  <c r="I7" i="1"/>
  <c r="N6" i="1"/>
  <c r="L6" i="1"/>
  <c r="M6" i="1" s="1"/>
  <c r="I6" i="1"/>
  <c r="N5" i="1"/>
  <c r="L5" i="1"/>
  <c r="M5" i="1" s="1"/>
  <c r="I5" i="1"/>
  <c r="N4" i="1"/>
  <c r="M4" i="1"/>
  <c r="L4" i="1"/>
  <c r="I4" i="1"/>
  <c r="M9" i="1" l="1"/>
  <c r="M21" i="1"/>
  <c r="M33" i="1"/>
  <c r="M45" i="1"/>
  <c r="J45" i="1" s="1"/>
  <c r="M57" i="1"/>
  <c r="M69" i="1"/>
  <c r="M81" i="1"/>
  <c r="M93" i="1"/>
  <c r="M105" i="1"/>
  <c r="M117" i="1"/>
  <c r="M129" i="1"/>
  <c r="M141" i="1"/>
  <c r="M153" i="1"/>
  <c r="M165" i="1"/>
  <c r="J165" i="1" s="1"/>
  <c r="M177" i="1"/>
  <c r="M189" i="1"/>
  <c r="M201" i="1"/>
  <c r="M213" i="1"/>
  <c r="M225" i="1"/>
  <c r="M237" i="1"/>
  <c r="M249" i="1"/>
  <c r="M261" i="1"/>
  <c r="M273" i="1"/>
  <c r="M285" i="1"/>
  <c r="M297" i="1"/>
  <c r="M309" i="1"/>
  <c r="M321" i="1"/>
  <c r="M333" i="1"/>
  <c r="J264" i="1"/>
  <c r="M10" i="1"/>
  <c r="J300" i="1" s="1"/>
  <c r="M34" i="1"/>
  <c r="J135" i="1" s="1"/>
  <c r="J111" i="1"/>
  <c r="J241" i="1"/>
  <c r="J277" i="1"/>
  <c r="J90" i="1"/>
  <c r="J258" i="1"/>
  <c r="J80" i="1"/>
  <c r="J33" i="1" l="1"/>
  <c r="J137" i="1"/>
  <c r="J97" i="1"/>
  <c r="J141" i="1"/>
  <c r="J179" i="1"/>
  <c r="J236" i="1"/>
  <c r="J237" i="1"/>
  <c r="J255" i="1"/>
  <c r="J93" i="1"/>
  <c r="J310" i="1"/>
  <c r="J266" i="1"/>
  <c r="J170" i="1"/>
  <c r="J178" i="1"/>
  <c r="J65" i="1"/>
  <c r="J243" i="1"/>
  <c r="J230" i="1"/>
  <c r="J235" i="1"/>
  <c r="J52" i="1"/>
  <c r="J55" i="1"/>
  <c r="J166" i="1"/>
  <c r="J142" i="1"/>
  <c r="J54" i="1"/>
  <c r="J9" i="1"/>
  <c r="J211" i="1"/>
  <c r="J67" i="1"/>
  <c r="J293" i="1"/>
  <c r="J223" i="1"/>
  <c r="J333" i="1"/>
  <c r="J220" i="1"/>
  <c r="J316" i="1"/>
  <c r="J102" i="1"/>
  <c r="J234" i="1"/>
  <c r="J224" i="1"/>
  <c r="J217" i="1"/>
  <c r="J73" i="1"/>
  <c r="J188" i="1"/>
  <c r="J231" i="1"/>
  <c r="J87" i="1"/>
  <c r="J206" i="1"/>
  <c r="J240" i="1"/>
  <c r="J96" i="1"/>
  <c r="J182" i="1"/>
  <c r="J98" i="1"/>
  <c r="J225" i="1"/>
  <c r="J15" i="1"/>
  <c r="J143" i="1"/>
  <c r="J119" i="1"/>
  <c r="J41" i="1"/>
  <c r="J275" i="1"/>
  <c r="J208" i="1"/>
  <c r="J64" i="1"/>
  <c r="J273" i="1"/>
  <c r="J213" i="1"/>
  <c r="J286" i="1"/>
  <c r="J187" i="1"/>
  <c r="J262" i="1"/>
  <c r="J66" i="1"/>
  <c r="J164" i="1"/>
  <c r="J228" i="1"/>
  <c r="J74" i="1"/>
  <c r="J199" i="1"/>
  <c r="J18" i="1"/>
  <c r="J321" i="1"/>
  <c r="J130" i="1"/>
  <c r="J47" i="1"/>
  <c r="J21" i="1"/>
  <c r="J317" i="1"/>
  <c r="J201" i="1"/>
  <c r="J57" i="1"/>
  <c r="J83" i="1"/>
  <c r="J184" i="1"/>
  <c r="J269" i="1"/>
  <c r="J177" i="1"/>
  <c r="J239" i="1"/>
  <c r="J114" i="1"/>
  <c r="J210" i="1"/>
  <c r="J311" i="1"/>
  <c r="J107" i="1"/>
  <c r="J59" i="1"/>
  <c r="J287" i="1"/>
  <c r="J297" i="1"/>
  <c r="J175" i="1"/>
  <c r="J34" i="1"/>
  <c r="J323" i="1"/>
  <c r="J151" i="1"/>
  <c r="J233" i="1"/>
  <c r="J148" i="1"/>
  <c r="J226" i="1"/>
  <c r="J246" i="1"/>
  <c r="J140" i="1"/>
  <c r="J16" i="1"/>
  <c r="J31" i="1"/>
  <c r="J322" i="1"/>
  <c r="J172" i="1"/>
  <c r="J17" i="1"/>
  <c r="J280" i="1"/>
  <c r="J115" i="1"/>
  <c r="J203" i="1"/>
  <c r="J81" i="1"/>
  <c r="J4" i="1"/>
  <c r="J249" i="1"/>
  <c r="J212" i="1"/>
  <c r="J252" i="1"/>
  <c r="J307" i="1"/>
  <c r="J272" i="1"/>
  <c r="J205" i="1"/>
  <c r="J62" i="1"/>
  <c r="J295" i="1"/>
  <c r="J337" i="1"/>
  <c r="J63" i="1"/>
  <c r="J216" i="1"/>
  <c r="J196" i="1"/>
  <c r="J325" i="1"/>
  <c r="J195" i="1"/>
  <c r="J8" i="1"/>
  <c r="J60" i="1"/>
  <c r="J294" i="1"/>
  <c r="J42" i="1"/>
  <c r="J56" i="1"/>
  <c r="J186" i="1"/>
  <c r="J313" i="1"/>
  <c r="J169" i="1"/>
  <c r="J25" i="1"/>
  <c r="J327" i="1"/>
  <c r="J183" i="1"/>
  <c r="J39" i="1"/>
  <c r="J336" i="1"/>
  <c r="J192" i="1"/>
  <c r="J48" i="1"/>
  <c r="J14" i="1"/>
  <c r="J326" i="1"/>
  <c r="J27" i="1"/>
  <c r="J163" i="1"/>
  <c r="J335" i="1"/>
  <c r="J271" i="1"/>
  <c r="J71" i="1"/>
  <c r="J274" i="1"/>
  <c r="J11" i="1"/>
  <c r="J341" i="1"/>
  <c r="J176" i="1"/>
  <c r="J197" i="1"/>
  <c r="J105" i="1"/>
  <c r="J6" i="1"/>
  <c r="J112" i="1"/>
  <c r="J190" i="1"/>
  <c r="J120" i="1"/>
  <c r="J91" i="1"/>
  <c r="J285" i="1"/>
  <c r="J85" i="1"/>
  <c r="J242" i="1"/>
  <c r="J158" i="1"/>
  <c r="J222" i="1"/>
  <c r="J61" i="1"/>
  <c r="J75" i="1"/>
  <c r="J134" i="1"/>
  <c r="J260" i="1"/>
  <c r="J193" i="1"/>
  <c r="J152" i="1"/>
  <c r="J38" i="1"/>
  <c r="J110" i="1"/>
  <c r="J50" i="1"/>
  <c r="J78" i="1"/>
  <c r="J181" i="1"/>
  <c r="J339" i="1"/>
  <c r="J51" i="1"/>
  <c r="J86" i="1"/>
  <c r="J338" i="1"/>
  <c r="J189" i="1"/>
  <c r="J328" i="1"/>
  <c r="J20" i="1"/>
  <c r="J301" i="1"/>
  <c r="J157" i="1"/>
  <c r="J13" i="1"/>
  <c r="J315" i="1"/>
  <c r="J171" i="1"/>
  <c r="J22" i="1"/>
  <c r="J324" i="1"/>
  <c r="J180" i="1"/>
  <c r="J36" i="1"/>
  <c r="J44" i="1"/>
  <c r="J314" i="1"/>
  <c r="J318" i="1"/>
  <c r="J160" i="1"/>
  <c r="J298" i="1"/>
  <c r="J268" i="1"/>
  <c r="J58" i="1"/>
  <c r="J257" i="1"/>
  <c r="J263" i="1"/>
  <c r="J334" i="1"/>
  <c r="J139" i="1"/>
  <c r="J155" i="1"/>
  <c r="J161" i="1"/>
  <c r="J76" i="1"/>
  <c r="J340" i="1"/>
  <c r="J79" i="1"/>
  <c r="J167" i="1"/>
  <c r="J5" i="1"/>
  <c r="J77" i="1"/>
  <c r="J256" i="1"/>
  <c r="J229" i="1"/>
  <c r="J99" i="1"/>
  <c r="J108" i="1"/>
  <c r="J116" i="1"/>
  <c r="J68" i="1"/>
  <c r="J219" i="1"/>
  <c r="J84" i="1"/>
  <c r="J92" i="1"/>
  <c r="J49" i="1"/>
  <c r="J207" i="1"/>
  <c r="J72" i="1"/>
  <c r="J245" i="1"/>
  <c r="J198" i="1"/>
  <c r="J37" i="1"/>
  <c r="J204" i="1"/>
  <c r="J283" i="1"/>
  <c r="J26" i="1"/>
  <c r="J94" i="1"/>
  <c r="J296" i="1"/>
  <c r="J174" i="1"/>
  <c r="J284" i="1"/>
  <c r="J342" i="1"/>
  <c r="J162" i="1"/>
  <c r="J289" i="1"/>
  <c r="J145" i="1"/>
  <c r="J332" i="1"/>
  <c r="J303" i="1"/>
  <c r="J159" i="1"/>
  <c r="J146" i="1"/>
  <c r="J312" i="1"/>
  <c r="J168" i="1"/>
  <c r="J24" i="1"/>
  <c r="J278" i="1"/>
  <c r="J292" i="1"/>
  <c r="J153" i="1"/>
  <c r="J281" i="1"/>
  <c r="J251" i="1"/>
  <c r="J35" i="1"/>
  <c r="J221" i="1"/>
  <c r="J227" i="1"/>
  <c r="J330" i="1"/>
  <c r="J136" i="1"/>
  <c r="J30" i="1"/>
  <c r="J125" i="1"/>
  <c r="J43" i="1"/>
  <c r="J329" i="1"/>
  <c r="J69" i="1"/>
  <c r="J154" i="1"/>
  <c r="J200" i="1"/>
  <c r="J306" i="1"/>
  <c r="J150" i="1"/>
  <c r="J133" i="1"/>
  <c r="J122" i="1"/>
  <c r="J127" i="1"/>
  <c r="J238" i="1"/>
  <c r="J28" i="1"/>
  <c r="J185" i="1"/>
  <c r="J191" i="1"/>
  <c r="J304" i="1"/>
  <c r="J129" i="1"/>
  <c r="J7" i="1"/>
  <c r="J89" i="1"/>
  <c r="J23" i="1"/>
  <c r="J309" i="1"/>
  <c r="J40" i="1"/>
  <c r="J131" i="1"/>
  <c r="J288" i="1"/>
  <c r="J144" i="1"/>
  <c r="J302" i="1"/>
  <c r="J218" i="1"/>
  <c r="J173" i="1"/>
  <c r="J117" i="1"/>
  <c r="J232" i="1"/>
  <c r="J215" i="1"/>
  <c r="J250" i="1"/>
  <c r="J149" i="1"/>
  <c r="J106" i="1"/>
  <c r="J247" i="1"/>
  <c r="J103" i="1"/>
  <c r="J29" i="1"/>
  <c r="J53" i="1"/>
  <c r="J118" i="1"/>
  <c r="J299" i="1"/>
  <c r="J82" i="1"/>
  <c r="J95" i="1"/>
  <c r="J320" i="1"/>
  <c r="J291" i="1"/>
  <c r="J147" i="1"/>
  <c r="J156" i="1"/>
  <c r="J12" i="1"/>
  <c r="J331" i="1"/>
  <c r="J254" i="1"/>
  <c r="J209" i="1"/>
  <c r="J261" i="1"/>
  <c r="J128" i="1"/>
  <c r="J282" i="1"/>
  <c r="J138" i="1"/>
  <c r="J265" i="1"/>
  <c r="J121" i="1"/>
  <c r="J308" i="1"/>
  <c r="J279" i="1"/>
  <c r="J104" i="1"/>
  <c r="J270" i="1"/>
  <c r="J126" i="1"/>
  <c r="J253" i="1"/>
  <c r="J109" i="1"/>
  <c r="J248" i="1"/>
  <c r="J267" i="1"/>
  <c r="J123" i="1"/>
  <c r="J32" i="1"/>
  <c r="J276" i="1"/>
  <c r="J132" i="1"/>
  <c r="J290" i="1"/>
  <c r="J319" i="1"/>
  <c r="J194" i="1"/>
  <c r="J101" i="1"/>
  <c r="J88" i="1"/>
  <c r="J124" i="1"/>
  <c r="J202" i="1"/>
  <c r="J214" i="1"/>
  <c r="J113" i="1"/>
  <c r="J70" i="1"/>
  <c r="J244" i="1"/>
  <c r="J100" i="1"/>
  <c r="J19" i="1"/>
  <c r="J10" i="1"/>
  <c r="J46" i="1"/>
  <c r="J259" i="1"/>
  <c r="J305" i="1"/>
</calcChain>
</file>

<file path=xl/sharedStrings.xml><?xml version="1.0" encoding="utf-8"?>
<sst xmlns="http://schemas.openxmlformats.org/spreadsheetml/2006/main" count="1088" uniqueCount="220">
  <si>
    <t>Уважаемые ППС, при заполнении таблицы обратите внимание на столбцы "Проверка наложения" и "Проверка порядка курсовых и ПА": если ячейка из первого горит красным, значит у этой группы в этот день и время уже стоит ППА; если из второго, значит прием курсового стоит позднее, чем ПА. В столбцах "Дата" и "Время" необходимо выбрать подходящие значения (при нажатии на ячейку появится стрелка, открывающая выпадающий список), при этом учитывайте, что ППА для группы могут быть назначены исключительно в свободное от учебных занятий время. Столбец "Примечание" может быть использован по вашему усмотрению.</t>
  </si>
  <si>
    <t>Преподаватель</t>
  </si>
  <si>
    <t>Дисциплина</t>
  </si>
  <si>
    <t>Форма контроля</t>
  </si>
  <si>
    <t>Группа</t>
  </si>
  <si>
    <t>Кол-во  несдавших</t>
  </si>
  <si>
    <t>Дата</t>
  </si>
  <si>
    <t>Аудитория</t>
  </si>
  <si>
    <t>Время</t>
  </si>
  <si>
    <t>Проверка наложения</t>
  </si>
  <si>
    <t>Проверка порядка курсовых и ПА</t>
  </si>
  <si>
    <t>Примечание</t>
  </si>
  <si>
    <t>Курсовой?</t>
  </si>
  <si>
    <t>Столбец поиска</t>
  </si>
  <si>
    <t>Столбец сравнения</t>
  </si>
  <si>
    <t>Цифровые технологии самообразования (2 з.е., 72 ч., 1/1, Д № 7398)</t>
  </si>
  <si>
    <t>Зачет</t>
  </si>
  <si>
    <t>ЭЖД-52</t>
  </si>
  <si>
    <t>Яндекс.Телемост</t>
  </si>
  <si>
    <t>ЭЖД-53</t>
  </si>
  <si>
    <t>ЭЖД-51</t>
  </si>
  <si>
    <t>Физическая культура и спорт (1/2 з.е., 36/72 ч., 1/2, Д № 7393)</t>
  </si>
  <si>
    <t>Элективные курсы по физической культуре и спорту (36/328 ч., 1/6, Д № 7444)</t>
  </si>
  <si>
    <t>Железнодорожные станции и узлы (2/7 з.е., 72/252 ч., 2/3, Д № 8598)</t>
  </si>
  <si>
    <t>Зачет дифференцированный</t>
  </si>
  <si>
    <t>ЭЖД-44у</t>
  </si>
  <si>
    <t>Иностранный язык (3/9 з.е., 108/324 ч., 3/3, Д № 7764)</t>
  </si>
  <si>
    <t>Экзамен</t>
  </si>
  <si>
    <t>ЭМб-41</t>
  </si>
  <si>
    <t>Математика (3/15 з.е., 108/540 ч., 3/4, Д № 8088)</t>
  </si>
  <si>
    <t>ЭЖД-41</t>
  </si>
  <si>
    <t>ЭЖД-42</t>
  </si>
  <si>
    <t>ЭЖД-43</t>
  </si>
  <si>
    <t>Метрология, стандартизация и сертификация (3 з.е., 108 ч., 1/1, Д № 4651)</t>
  </si>
  <si>
    <t>ЭЖД-31</t>
  </si>
  <si>
    <t>ЭЖД-33</t>
  </si>
  <si>
    <t>Иностранный язык (3/9 з.е., 108/324 ч., 3/3, Д № 8620)</t>
  </si>
  <si>
    <t>ЭМУб-41оз</t>
  </si>
  <si>
    <t>ДОТ</t>
  </si>
  <si>
    <t>Элективные курсы по физической культуре и спорту (72/328 ч., 3/6, Д № 7444)</t>
  </si>
  <si>
    <t>Элективные курсы по физической культуре и спорту (72/328 ч., 3/6, Д № 7528)</t>
  </si>
  <si>
    <t>Элективные курсы по физической культуре и спорту (54/328 ч., 5/6, Д № 4572)</t>
  </si>
  <si>
    <t>Эб-31</t>
  </si>
  <si>
    <t>Мб-31</t>
  </si>
  <si>
    <t>УПб-31</t>
  </si>
  <si>
    <t>Проектно-процессное управление (4 з.е., 144 ч., 1/1, Д № 7883)</t>
  </si>
  <si>
    <t>ТТПм-51</t>
  </si>
  <si>
    <t>дот</t>
  </si>
  <si>
    <t>Транспортная логистика (4 з.е., 144 ч., 1/1, Д № 5824)</t>
  </si>
  <si>
    <t>Мб-21</t>
  </si>
  <si>
    <t>Экономическая теория (4/9 з.е., 144/324 ч., 1/2, Д № 8887)</t>
  </si>
  <si>
    <t>Эб-51</t>
  </si>
  <si>
    <t>Менеджмент (3/7 з.е., 108/252 ч., 1/2, Д № 8911)</t>
  </si>
  <si>
    <t>Мб-51</t>
  </si>
  <si>
    <t>Мб-52</t>
  </si>
  <si>
    <t>Менеджмент (3/7 з.е., 108/252 ч., 1/2, Д № 8888)</t>
  </si>
  <si>
    <t>Управление эксплуатационной работой (2/13 з.е., 72/468 ч., 3/5, Д № 8600)</t>
  </si>
  <si>
    <t>Курсовая работа</t>
  </si>
  <si>
    <t>ЭЖД-45у</t>
  </si>
  <si>
    <t>ЭЖД-46у</t>
  </si>
  <si>
    <t>Безопасность жизнедеятельности (4 з.е., 144 ч., 1/1, Д № 7392)</t>
  </si>
  <si>
    <t>Железнодорожные станции и узлы (4/13 з.е., 144/468 ч., 1/3, Д № 4795)</t>
  </si>
  <si>
    <t>ЭЖД-32</t>
  </si>
  <si>
    <t>Курсовой проект</t>
  </si>
  <si>
    <t>Железнодорожные станции и узлы (5/13 з.е., 180/468 ч., 3/3, Д № 4795)</t>
  </si>
  <si>
    <t>ЭЖД-21</t>
  </si>
  <si>
    <t>Железнодорожные станции и узлы (4/13 з.е., 144/468 ч., 1/3, Д № 8110)</t>
  </si>
  <si>
    <t>Ли Кайхань</t>
  </si>
  <si>
    <t>Хладотранспорт и основы теплотехники (3 з.е., 108 ч., 1/1, Д № 8106)</t>
  </si>
  <si>
    <t>Управление грузовой и коммерческой работой (2/7 з.е., 72/252 ч., 1/3, Д № 8599)</t>
  </si>
  <si>
    <t>Организация работы экспедиторских фирм (3 з.е., 108 ч., 1/1, Д № 4665)</t>
  </si>
  <si>
    <t>ЭЖД-22</t>
  </si>
  <si>
    <t>ЭЖД-23</t>
  </si>
  <si>
    <t>Эффективность технических и технологических мероприятий в перевозочном процессе (2/5 з.е., 72/180 ч., 1/2, Д № 4793)</t>
  </si>
  <si>
    <t>Управление эксплуатационной работой (2/13 з.е., 72/468 ч., 1/5, Д № 8600)</t>
  </si>
  <si>
    <t>ЭЖД-55у</t>
  </si>
  <si>
    <t>ЭЖД-56у</t>
  </si>
  <si>
    <t>ЭЖД-54у</t>
  </si>
  <si>
    <t>Управление эксплуатационной работой (4/23 з.е., 144/828 ч., 1/5, Д № 8112)</t>
  </si>
  <si>
    <t>Экономика и ценообразование на транспорте (5 з.е., 180 ч., 1/1, Д № 5816)</t>
  </si>
  <si>
    <t>Экономика и ценообразование на транспорте (5 з.е., 180 ч., 1/1, Д № 5908)</t>
  </si>
  <si>
    <t>Мб-31оз</t>
  </si>
  <si>
    <t>Физика (4/8 з.е., 144/288 ч., 1/2, Д № 8087)</t>
  </si>
  <si>
    <t>Химия (2 з.е., 72 ч., 1/1, Д № 7463)</t>
  </si>
  <si>
    <t>Физика (6 з.е., 216 ч., 1/1, Д № 8587)</t>
  </si>
  <si>
    <t xml:space="preserve"> ЭЖД-57у</t>
  </si>
  <si>
    <t>Основы российской государственности (2 з.е., 72 ч., 1/1, Д № 7511)</t>
  </si>
  <si>
    <t>УПб-51</t>
  </si>
  <si>
    <t>Основы российской государственности (2 з.е., 72 ч., 1/1, Д № 7394)</t>
  </si>
  <si>
    <t>Основы российской государственности (2 з.е., 72 ч., 1/1, Д № 8515)</t>
  </si>
  <si>
    <t>Математика (5/11 з.е., 180/396 ч., 1/2, Д № 8589)</t>
  </si>
  <si>
    <t>Экономика предприятий (организаций) (5 з.е., 180 ч., 1/1, Д № 9022)</t>
  </si>
  <si>
    <t>УПб-41</t>
  </si>
  <si>
    <t>Эконометрика (5/8 з.е., 180/288 ч., 2/2, Д № 5745)</t>
  </si>
  <si>
    <t>Эб-21оз</t>
  </si>
  <si>
    <t>Экономика предприятий (организаций) (5 з.е., 180 ч., 1/1, Д № 8966)</t>
  </si>
  <si>
    <t>Элективные курсы по физической культуре и спорту (36/328 ч., 1/6, Д № 7528)</t>
  </si>
  <si>
    <t>Физическая культура и спорт (1/2 з.е., 36/72 ч., 1/2, Д № 7508)</t>
  </si>
  <si>
    <t>Лабораторный практикум "Организация движения поездов" (2/5 з.е., 72/180 ч., 1/2, Д № 4798)</t>
  </si>
  <si>
    <t>Безопасность жизнедеятельности (4 з.е., 144 ч., 1/1, Д № 7507)</t>
  </si>
  <si>
    <t>Грузоведение (5 з.е., 180 ч., 1/1, Д № 8596)</t>
  </si>
  <si>
    <t>Грузоведение (5 з.е., 180 ч., 1/1, Д № 8107)</t>
  </si>
  <si>
    <t>Внешнеэкономическая деятельность (4 з.е., 144 ч., 1/1, Д № 5828)</t>
  </si>
  <si>
    <t>Внешнеэкономическая деятельность (4 з.е., 144 ч., 1/1, Д № 5920)</t>
  </si>
  <si>
    <t>Технологии искусственного интеллекта (2 з.е., 72 ч., 1/1, Д № 7427)</t>
  </si>
  <si>
    <t>Технологии искусственного интеллекта (2 з.е., 72 ч., 1/1, Д № 4791)</t>
  </si>
  <si>
    <t>Системы искусственного интеллекта (3 з.е., 108 ч., 1/1, Д № 5746)</t>
  </si>
  <si>
    <t>Иностранный язык (3/9 з.е., 108/324 ч., 1/3, Д № 9323)</t>
  </si>
  <si>
    <t>Иностранный язык (3/9 з.е., 108/324 ч., 1/3, Д № 7731)</t>
  </si>
  <si>
    <t>Нетяговый подвижной состав (3 з.е., 108 ч., 1/1, Д № 8091)</t>
  </si>
  <si>
    <t>Элективные курсы по физической культуре и спорту (72/144 ч., 1/2, Д № 8644)</t>
  </si>
  <si>
    <t>яндекс телемост</t>
  </si>
  <si>
    <t>Физическая культура и спорт (1/2 з.е., 36/72 ч., 1/2, Д № 8514)</t>
  </si>
  <si>
    <t>Проектный практикум (2/8 з.е., 72/288 ч., 1/4, Д № 8912)</t>
  </si>
  <si>
    <t>Маркетинг (4 з.е., 144 ч., 1/1, Д № 9024)</t>
  </si>
  <si>
    <t>Проектный практикум (2/8 з.е., 72/288 ч., 2/4, Д № 9021)</t>
  </si>
  <si>
    <t>Проектный практикум (2/8 з.е., 72/288 ч., 2/4, Д № 8965)</t>
  </si>
  <si>
    <t>Маркетинг (4 з.е., 144 ч., 1/1, Д № 5899)</t>
  </si>
  <si>
    <t>Международная логистика (3 з.е., 108 ч., 1/1, Д № 5823)</t>
  </si>
  <si>
    <t>Городская логистика (4 з.е., 144 ч., 1/1, Д № 5911)</t>
  </si>
  <si>
    <t>Мб-21оз</t>
  </si>
  <si>
    <t>Математическое моделирование систем и процессов (2/6 з.е., 72/216 ч., 1/2, Д № 4789)</t>
  </si>
  <si>
    <t>Математическое моделирование транспортных процессов (4/8 з.е., 144/288 ч., 1/2, Д № 5283)</t>
  </si>
  <si>
    <t>ТТПб-21</t>
  </si>
  <si>
    <t>Математическое моделирование систем и процессов (2/6 з.е., 72/216 ч., 1/2, Д № 8591)</t>
  </si>
  <si>
    <t>Управление эксплуатационной работой (4/22 з.е., 144/792 ч., 3/5, Д № 6876)</t>
  </si>
  <si>
    <t>Мотивация и стимулирование трудовой деятельности (5 з.е., 180 ч., 1/1, Д № 6023)</t>
  </si>
  <si>
    <t>Управление персоналом (3 з.е., 108 ч., 1/1, Д № 7414)</t>
  </si>
  <si>
    <t>Иностранный язык (3/8 з.е., 108/288 ч., 3/3, Д № 7456)</t>
  </si>
  <si>
    <t>Иностранный язык (2/8 з.е., 72/288 ч., 1/3, Д № 7456)</t>
  </si>
  <si>
    <t>Основы геодезии (3 з.е., 108 ч., 1/1, Д № 8090)</t>
  </si>
  <si>
    <t>Статистика (3/7 з.е., 108/252 ч., 1/2, Д № 9026)</t>
  </si>
  <si>
    <t>Статистика (3/7 з.е., 108/252 ч., 1/2, Д № 8970)</t>
  </si>
  <si>
    <t>История России (2/4 з.е., 72/144 ч., 1/2, Д № 7505)</t>
  </si>
  <si>
    <t>Производственная логистика (6/10 з.е., 216/360 ч., 2/2, Д № 5910)</t>
  </si>
  <si>
    <t>Логистика терминально-складских комплексов (4 з.е., 144 ч., 1/1, Д № 5914)</t>
  </si>
  <si>
    <t>Бизнес-планирование и страхование (4/9 з.е., 144/324 ч., 1/2, Д № 5811)</t>
  </si>
  <si>
    <t>Пути сообщения (5 з.е., 180 ч., 1/1, Д № 8105)</t>
  </si>
  <si>
    <t>Элективные курсы по физической культуре и спорту (54/328 ч., 5/6, Д № 4754)</t>
  </si>
  <si>
    <t>Транспортная безопасность (1 з.е., 36 ч., 1/1, Д № 8529)</t>
  </si>
  <si>
    <t>Технологии взаимодействия видов транспорта (3 з.е., 108 ч., 1/1, Д № 5906)</t>
  </si>
  <si>
    <t>Математика (4/9 з.е., 144/324 ч., 1/2, Д № 7732)</t>
  </si>
  <si>
    <t>Математика (4/9 з.е., 144/324 ч., 1/2, Д № 7766)</t>
  </si>
  <si>
    <t>Математика (5/15 з.е., 180/540 ч., 1/4, Д № 8088)</t>
  </si>
  <si>
    <t>Стратегические решения в функциональных областях организации (5 з.е., 180 ч., 1/1, Д № 7885)</t>
  </si>
  <si>
    <t>Стратегический менеджмент (3 з.е., 108 ч., 1/1, Д № 5810)</t>
  </si>
  <si>
    <t>Экономика и социология труда (6 з.е., 216 ч., 1/1, Д № 6013)</t>
  </si>
  <si>
    <t>Экономика и социология труда (6 з.е., 216 ч., 1/1, Д № 6162)</t>
  </si>
  <si>
    <t>УПб-21оз</t>
  </si>
  <si>
    <t>Русский язык и деловые коммуникации (2 з.е., 72 ч., 1/1, Д № 8627)</t>
  </si>
  <si>
    <t>Яндекс. Телемост</t>
  </si>
  <si>
    <t>Русский язык и деловые коммуникации (2 з.е., 72 ч., 1/1, Д № 8085)</t>
  </si>
  <si>
    <t>Инженерная экология (3 з.е., 108 ч., 1/1, Д № 9313)</t>
  </si>
  <si>
    <t>Основы геодезии (3 з.е., 108 ч., 1/1, Д № 8590)</t>
  </si>
  <si>
    <t>Экономика и управление проектами (4 з.е., 144 ч., 1/1, Д № 8577)</t>
  </si>
  <si>
    <t>Деловые коммуникации (билингвальный курс) (4 з.е., 144 ч., 1/1, Д № 7881)</t>
  </si>
  <si>
    <t>Организация доступной среды (2 з.е., 72 ч., 1/1, Д № 9025)</t>
  </si>
  <si>
    <t>Маркетинговый анализ (5 з.е., 180 ч., 1/1, Д № 5756)</t>
  </si>
  <si>
    <t>Начертательная геометрия и компьютерная графика (3/6 з.е., 108/216 ч., 1/2, Д № 8043)</t>
  </si>
  <si>
    <t>Начертательная геометрия и компьютерная графика (2 з.е., 72 ч., 1/1, Д № 8588)</t>
  </si>
  <si>
    <t>Управление эксплуатационной работой (4/23 з.е., 144/828 ч., 1/5, Д № 4650)</t>
  </si>
  <si>
    <t>Технические средства обеспечения безопасности на железнодорожном транспорте (3 з.е., 108 ч., 1/1, Д № 4655)</t>
  </si>
  <si>
    <t>Транспортно-грузовые системы (5 з.е., 180 ч., 1/1, Д № 4663)</t>
  </si>
  <si>
    <t>Терминальные системы транспорта (2 з.е., 72 ч., 1/1, Д № 4662)</t>
  </si>
  <si>
    <t>Терминальные системы транспорта (2 з.е., 72 ч., 1/1, Д № 8108)</t>
  </si>
  <si>
    <t>Транспортно-грузовые системы (5 з.е., 180 ч., 1/1, Д № 8597)</t>
  </si>
  <si>
    <t>Управление грузовой и коммерческой работой (5/12 з.е., 180/432 ч., 3/3, Д № 4796)</t>
  </si>
  <si>
    <t>Транспортно-грузовые системы (5 з.е., 180 ч., 1/1, Д № 8109)</t>
  </si>
  <si>
    <t>Научно-техническое обеспечение технологических процессов на транспорте (5/9 з.е., 180/324 ч., 1/2, Д № 7886)</t>
  </si>
  <si>
    <t>Яндекс Телемост</t>
  </si>
  <si>
    <t>Теоретическая механика (4 з.е., 144 ч., 1/1, Д № 8089)</t>
  </si>
  <si>
    <t>Психологические основы интеллектуально-личностного развития (4 з.е., 144 ч., 1/1, Д № 7882)</t>
  </si>
  <si>
    <t>Управление эксплуатационной работой (4/18 з.е., 144/648 ч., 3/4, Д № 6830)</t>
  </si>
  <si>
    <t>Организация доступной среды на транспорте (2 з.е., 72 ч., 1/1, Д № 8092)</t>
  </si>
  <si>
    <t>Сервис на транспорте (3 з.е., 108 ч., 1/1, Д № 4797)</t>
  </si>
  <si>
    <t>Цифровые технологии самообразования (2 з.е., 72 ч., 1/1, Д № 7601)</t>
  </si>
  <si>
    <t>Информатика (3 з.е., 108 ч., 1/1, Д № 7765)</t>
  </si>
  <si>
    <t>Информационные системы в экономике и управлении (4 з.е., 144 ч., 1/1, Д № 8893)</t>
  </si>
  <si>
    <t>Информационные системы в экономике и управлении (4 з.е., 144 ч., 1/1, Д № 8940)</t>
  </si>
  <si>
    <t>Информатика (3 з.е., 108 ч., 1/1, Д № 7599)</t>
  </si>
  <si>
    <t>Информатика (3 з.е., 108 ч., 1/1, Д № 7457)</t>
  </si>
  <si>
    <t>Философия (2 з.е., 72 ч., 1/1, Д № 8511)</t>
  </si>
  <si>
    <t>История России (2/4 з.е., 72/144 ч., 1/2, Д № 6788)</t>
  </si>
  <si>
    <t>Правовое обеспечение профессиональной деятельности (4 з.е., 144 ч., 1/1, Д № 4646)</t>
  </si>
  <si>
    <t>Правовое обеспечение профессиональной деятельности (2 з.е., 72 ч., 1/1, Д № 8528)</t>
  </si>
  <si>
    <t>Управление персоналом (3/7 з.е., 108/252 ч., 1/2, Д № 9027)</t>
  </si>
  <si>
    <t>Управление персоналом (3/7 з.е., 108/252 ч., 1/2, Д № 8971)</t>
  </si>
  <si>
    <t>Управление персоналом (5 з.е., 180 ч., 1/1, Д № 5595)</t>
  </si>
  <si>
    <t>Технологии рекрутмента (5 з.е., 180 ч., 1/1, Д № 6036)</t>
  </si>
  <si>
    <t>Управление персоналом (5 з.е., 180 ч., 1/1, Д № 5744)</t>
  </si>
  <si>
    <t>Регламентация и нормирование труда (4/8 з.е., 144/288 ч., 1/2, Д № 6038)</t>
  </si>
  <si>
    <t>Кадровый консалтинг и аудит труда (4/8 з.е., 144/288 ч., 1/2, Д № 6025)</t>
  </si>
  <si>
    <t>Маркетинг персонала и рынок труда (3/8 з.е., 108/288 ч., 1/2, Д № 6024)</t>
  </si>
  <si>
    <t>Управление деловой карьерой и подготовкой кадрового резерва (5 з.е., 180 ч., 1/1, Д № 6171)</t>
  </si>
  <si>
    <t>УПб-31оз</t>
  </si>
  <si>
    <t>Управление персоналом организации (6 з.е., 216 ч., 1/1, Д № 6028)</t>
  </si>
  <si>
    <t>УПб-21</t>
  </si>
  <si>
    <t>Современные методы оценки и аттестации персонала (6 з.е., 216 ч., 1/1, Д № 6176)</t>
  </si>
  <si>
    <t>Учебная практика (ознакомительная практика) (3 з.е., 2 нед., 108 ч., 1/1, УП № 1098)</t>
  </si>
  <si>
    <t>Безопасность жизнедеятельности (4 з.е., 144 ч., 1/1, Д № 8621)</t>
  </si>
  <si>
    <t>Правовое обеспечение транспортных процессов (3 з.е., 108 ч., 1/1, Д № 7884)</t>
  </si>
  <si>
    <t>Основы логистики и управления цепями поставок (4/9 з.е., 144/324 ч., 1/2, Д № 5817)</t>
  </si>
  <si>
    <t>Основы логистики и управления цепями поставок (4/9 з.е., 144/324 ч., 1/2, Д № 5909)</t>
  </si>
  <si>
    <t>Логистика терминально-складских комплексов (4 з.е., 144 ч., 1/1, Д № 5822)</t>
  </si>
  <si>
    <t>Логистика снабжения и управления запасами предприятий железнодорожного транспорта (4/9 з.е., 144/324 ч., 2/2, Д № 5820)</t>
  </si>
  <si>
    <t>Логистика снабжения и управления запасами предприятий железнодорожного транспорта (4/9 з.е., 144/324 ч., 2/2, Д № 5912)</t>
  </si>
  <si>
    <t>Общий курс железных дорог (3 з.е., 108 ч., 1/1, Д № 8045)</t>
  </si>
  <si>
    <t>Финансы (4 з.е., 144 ч., 1/1, Д № 9023)</t>
  </si>
  <si>
    <t>Экономический анализ хозяйственной деятельности организации (6/10 з.е., 216/360 ч., 2/2, Д № 5604)</t>
  </si>
  <si>
    <t>Финансовый анализ (4 з.е., 144 ч., 1/1, Д № 5763)</t>
  </si>
  <si>
    <t>Организационная культура и организационное поведение (4/8 з.е., 144/288 ч., 1/2, Д № 6018)</t>
  </si>
  <si>
    <t>305 (админ.корпус)</t>
  </si>
  <si>
    <t>Анализ финансово-хозяйственной деятельности предприятий железнодорожного транспорта (5 з.е., 180 ч., 1/1, Д № 5755)</t>
  </si>
  <si>
    <t>Предпринимательство и инновационное развитие бизнеса (4/7 з.е., 144/252 ч., 1/2, Д № 7129)</t>
  </si>
  <si>
    <t>История России (2/4 з.е., 72/144 ч., 1/2, Д № 7390)</t>
  </si>
  <si>
    <t>История транспорта России (2 з.е., 72 ч., 1/1, Д № 8086)</t>
  </si>
  <si>
    <t>Информационные системы и технологии в логистике (3 з.е., 108 ч., 1/1, Д № 7132)</t>
  </si>
  <si>
    <t>Управление грузовой и коммерческой работой (4/12 з.е., 144/432 ч., 1/3, Д № 4796)</t>
  </si>
  <si>
    <t>3у, 5 ЭЖД</t>
  </si>
  <si>
    <t>2 ТТПм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</si>
</sst>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F400]h:mm:ss"/>
  </numFmts>
  <fonts count="4" x14ac:knownFonts="1">
    <font>
      <sz val="10"/>
      <color theme="1"/>
      <name val="Arial"/>
    </font>
    <font>
      <sz val="12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 applyNumberFormat="0" applyFont="0" applyFill="0" applyBorder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4" fontId="0" fillId="0" borderId="4" xfId="0" applyNumberFormat="1" applyBorder="1" applyAlignment="1">
      <alignment horizontal="center" vertical="center" wrapText="1"/>
    </xf>
    <xf numFmtId="20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2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164" formatCode="[$-F400]h:mm:ss\ AM/PM"/>
      <fill>
        <patternFill patternType="solid">
          <fgColor indexed="65"/>
          <bgColor indexed="6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19" formatCode="dd/mm/yyyy"/>
      <fill>
        <patternFill patternType="solid">
          <fgColor indexed="65"/>
          <bgColor indexed="6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0" formatCode="General"/>
      <fill>
        <patternFill patternType="solid">
          <fgColor indexed="65"/>
          <bgColor indexed="65"/>
        </patternFill>
      </fill>
      <alignment horizontal="center" vertical="top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0" formatCode="General"/>
      <fill>
        <patternFill patternType="solid">
          <fgColor indexed="65"/>
          <bgColor indexed="65"/>
        </patternFill>
      </fill>
      <alignment vertical="top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0" formatCode="General"/>
      <fill>
        <patternFill patternType="solid">
          <fgColor indexed="65"/>
          <bgColor indexed="65"/>
        </patternFill>
      </fill>
      <alignment vertical="top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none"/>
      </font>
      <numFmt numFmtId="0" formatCode="General"/>
      <fill>
        <patternFill patternType="solid">
          <fgColor indexed="65"/>
          <bgColor indexed="65"/>
        </patternFill>
      </fill>
      <alignment vertical="top" textRotation="0" wrapText="1" relativeIndent="0" shrinkToFit="0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3:N342">
  <autoFilter ref="A3:N342" xr:uid="{00000000-0009-0000-0100-000001000000}"/>
  <tableColumns count="14">
    <tableColumn id="1" xr3:uid="{00000000-0010-0000-0000-000001000000}" name="Преподаватель" dataDxfId="21"/>
    <tableColumn id="2" xr3:uid="{00000000-0010-0000-0000-000002000000}" name="Дисциплина" dataDxfId="20"/>
    <tableColumn id="3" xr3:uid="{00000000-0010-0000-0000-000003000000}" name="Форма контроля" dataDxfId="19"/>
    <tableColumn id="4" xr3:uid="{00000000-0010-0000-0000-000004000000}" name="Группа" dataDxfId="18"/>
    <tableColumn id="5" xr3:uid="{00000000-0010-0000-0000-000005000000}" name="Кол-во  несдавших" dataDxfId="17"/>
    <tableColumn id="6" xr3:uid="{00000000-0010-0000-0000-000006000000}" name="Дата" dataDxfId="16"/>
    <tableColumn id="7" xr3:uid="{00000000-0010-0000-0000-000007000000}" name="Аудитория" dataDxfId="15"/>
    <tableColumn id="8" xr3:uid="{00000000-0010-0000-0000-000008000000}" name="Время" dataDxfId="14"/>
    <tableColumn id="9" xr3:uid="{00000000-0010-0000-0000-000009000000}" name="Проверка наложения" dataDxfId="13"/>
    <tableColumn id="10" xr3:uid="{00000000-0010-0000-0000-00000A000000}" name="Проверка порядка курсовых и ПА" dataDxfId="12"/>
    <tableColumn id="11" xr3:uid="{00000000-0010-0000-0000-00000B000000}" name="Примечание" dataDxfId="11"/>
    <tableColumn id="12" xr3:uid="{00000000-0010-0000-0000-00000C000000}" name="Курсовой?" dataDxfId="10"/>
    <tableColumn id="13" xr3:uid="{00000000-0010-0000-0000-00000D000000}" name="Столбец поиска" dataDxfId="9"/>
    <tableColumn id="14" xr3:uid="{00000000-0010-0000-0000-00000E000000}" name="Столбец сравнения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A4" sqref="A4"/>
    </sheetView>
  </sheetViews>
  <sheetFormatPr defaultRowHeight="12.75" x14ac:dyDescent="0.2"/>
  <cols>
    <col min="1" max="1" width="17.140625" customWidth="1"/>
    <col min="2" max="2" width="37" bestFit="1" customWidth="1"/>
    <col min="3" max="3" width="18.28515625" customWidth="1"/>
    <col min="4" max="4" width="11" bestFit="1" customWidth="1"/>
    <col min="5" max="5" width="20.42578125" customWidth="1"/>
    <col min="6" max="6" width="16" style="1" bestFit="1" customWidth="1"/>
    <col min="7" max="7" width="15" bestFit="1" customWidth="1"/>
    <col min="8" max="8" width="18" style="2" bestFit="1" customWidth="1"/>
    <col min="9" max="9" width="28" customWidth="1"/>
    <col min="10" max="10" width="34.140625" customWidth="1"/>
    <col min="11" max="11" width="18" bestFit="1" customWidth="1"/>
    <col min="12" max="12" width="12.7109375" hidden="1" customWidth="1"/>
    <col min="13" max="13" width="17.7109375" hidden="1" customWidth="1"/>
    <col min="14" max="14" width="21" hidden="1" customWidth="1"/>
  </cols>
  <sheetData>
    <row r="1" spans="1:14" ht="69" customHeight="1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spans="1:14" x14ac:dyDescent="0.2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6" t="s">
        <v>8</v>
      </c>
      <c r="I3" s="4" t="s">
        <v>9</v>
      </c>
      <c r="J3" s="10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ht="25.5" x14ac:dyDescent="0.2">
      <c r="A4" s="7"/>
      <c r="B4" s="8" t="s">
        <v>15</v>
      </c>
      <c r="C4" s="8" t="s">
        <v>16</v>
      </c>
      <c r="D4" s="9" t="s">
        <v>17</v>
      </c>
      <c r="E4" s="10">
        <v>2</v>
      </c>
      <c r="F4" s="11">
        <v>46064</v>
      </c>
      <c r="G4" s="10" t="s">
        <v>18</v>
      </c>
      <c r="H4" s="12">
        <v>0.71875</v>
      </c>
      <c r="I4" s="10" t="str">
        <f>_xlfn.CONCAT(Таблица1[[#This Row],[Группа]],"_",TEXT(Таблица1[[#This Row],[Дата]],"ГГ.ММ.ДД"),"_",TEXT(Таблица1[[#This Row],[Время]],"чч:мм"))</f>
        <v>ЭЖД-52_26.02.11_17:15</v>
      </c>
      <c r="J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" s="14"/>
      <c r="L4" s="13" t="str">
        <f>IFERROR(IF(SEARCH("курс",Таблица1[[#This Row],[Форма контроля]])&gt;=1,),"Ошибка")</f>
        <v>Ошибка</v>
      </c>
      <c r="M4" s="1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Цифровые технологии самообразования (2 з.е., 72 ч., 1/1, Д № 7398)ЭЖД-52ошибка</v>
      </c>
      <c r="N4" s="1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Цифровые технологии самообразования (2 з.е., 72 ч., 1/1, Д № 7398)_ЭЖД-52_26.02.11_17:15</v>
      </c>
    </row>
    <row r="5" spans="1:14" ht="25.5" x14ac:dyDescent="0.2">
      <c r="A5" s="7"/>
      <c r="B5" s="8" t="s">
        <v>15</v>
      </c>
      <c r="C5" s="8" t="s">
        <v>16</v>
      </c>
      <c r="D5" s="9" t="s">
        <v>19</v>
      </c>
      <c r="E5" s="10">
        <v>1</v>
      </c>
      <c r="F5" s="11">
        <v>46062</v>
      </c>
      <c r="G5" s="10" t="s">
        <v>18</v>
      </c>
      <c r="H5" s="12">
        <v>0.64930555555555558</v>
      </c>
      <c r="I5" s="10" t="str">
        <f>_xlfn.CONCAT(Таблица1[[#This Row],[Группа]],"_",TEXT(Таблица1[[#This Row],[Дата]],"ГГ.ММ.ДД"),"_",TEXT(Таблица1[[#This Row],[Время]],"чч:мм"))</f>
        <v>ЭЖД-53_26.02.09_15:35</v>
      </c>
      <c r="J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" s="10"/>
      <c r="L5" t="str">
        <f>IFERROR(IF(SEARCH("курс",Таблица1[[#This Row],[Форма контроля]])&gt;=1,),"Ошибка")</f>
        <v>Ошибка</v>
      </c>
      <c r="M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Цифровые технологии самообразования (2 з.е., 72 ч., 1/1, Д № 7398)ЭЖД-53ошибка</v>
      </c>
      <c r="N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Цифровые технологии самообразования (2 з.е., 72 ч., 1/1, Д № 7398)_ЭЖД-53_26.02.09_15:35</v>
      </c>
    </row>
    <row r="6" spans="1:14" ht="25.5" x14ac:dyDescent="0.2">
      <c r="A6" s="7"/>
      <c r="B6" s="8" t="s">
        <v>15</v>
      </c>
      <c r="C6" s="8" t="s">
        <v>16</v>
      </c>
      <c r="D6" s="9" t="s">
        <v>20</v>
      </c>
      <c r="E6" s="10">
        <v>6</v>
      </c>
      <c r="F6" s="11">
        <v>46064</v>
      </c>
      <c r="G6" s="10" t="s">
        <v>18</v>
      </c>
      <c r="H6" s="12">
        <v>0.64930555555555558</v>
      </c>
      <c r="I6" s="10" t="str">
        <f>_xlfn.CONCAT(Таблица1[[#This Row],[Группа]],"_",TEXT(Таблица1[[#This Row],[Дата]],"ГГ.ММ.ДД"),"_",TEXT(Таблица1[[#This Row],[Время]],"чч:мм"))</f>
        <v>ЭЖД-51_26.02.11_15:35</v>
      </c>
      <c r="J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" s="10"/>
      <c r="L6" t="str">
        <f>IFERROR(IF(SEARCH("курс",Таблица1[[#This Row],[Форма контроля]])&gt;=1,),"Ошибка")</f>
        <v>Ошибка</v>
      </c>
      <c r="M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Цифровые технологии самообразования (2 з.е., 72 ч., 1/1, Д № 7398)ЭЖД-51ошибка</v>
      </c>
      <c r="N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Цифровые технологии самообразования (2 з.е., 72 ч., 1/1, Д № 7398)_ЭЖД-51_26.02.11_15:35</v>
      </c>
    </row>
    <row r="7" spans="1:14" ht="25.5" x14ac:dyDescent="0.2">
      <c r="A7" s="7"/>
      <c r="B7" s="8" t="s">
        <v>21</v>
      </c>
      <c r="C7" s="8" t="s">
        <v>16</v>
      </c>
      <c r="D7" s="9" t="s">
        <v>19</v>
      </c>
      <c r="E7" s="10">
        <v>6</v>
      </c>
      <c r="F7" s="11">
        <v>46064</v>
      </c>
      <c r="G7" s="10">
        <v>5210</v>
      </c>
      <c r="H7" s="12">
        <v>0.42708333333333331</v>
      </c>
      <c r="I7" s="10" t="str">
        <f>_xlfn.CONCAT(Таблица1[[#This Row],[Группа]],"_",TEXT(Таблица1[[#This Row],[Дата]],"ГГ.ММ.ДД"),"_",TEXT(Таблица1[[#This Row],[Время]],"чч:мм"))</f>
        <v>ЭЖД-53_26.02.11_10:15</v>
      </c>
      <c r="J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" s="10"/>
      <c r="L7" t="str">
        <f>IFERROR(IF(SEARCH("курс",Таблица1[[#This Row],[Форма контроля]])&gt;=1,),"Ошибка")</f>
        <v>Ошибка</v>
      </c>
      <c r="M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Физическая культура и спорт (1/2 з.е., 36/72 ч., 1/2, Д № 7393)ЭЖД-53ошибка</v>
      </c>
      <c r="N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Физическая культура и спорт (1/2 з.е., 36/72 ч., 1/2, Д № 7393)_ЭЖД-53_26.02.11_10:15</v>
      </c>
    </row>
    <row r="8" spans="1:14" ht="38.25" x14ac:dyDescent="0.2">
      <c r="A8" s="7"/>
      <c r="B8" s="8" t="s">
        <v>22</v>
      </c>
      <c r="C8" s="8" t="s">
        <v>16</v>
      </c>
      <c r="D8" s="9" t="s">
        <v>19</v>
      </c>
      <c r="E8" s="10">
        <v>7</v>
      </c>
      <c r="F8" s="11">
        <v>46064</v>
      </c>
      <c r="G8" s="10">
        <v>5210</v>
      </c>
      <c r="H8" s="12">
        <v>0.50694444444444442</v>
      </c>
      <c r="I8" s="10" t="str">
        <f>_xlfn.CONCAT(Таблица1[[#This Row],[Группа]],"_",TEXT(Таблица1[[#This Row],[Дата]],"ГГ.ММ.ДД"),"_",TEXT(Таблица1[[#This Row],[Время]],"чч:мм"))</f>
        <v>ЭЖД-53_26.02.11_12:10</v>
      </c>
      <c r="J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" s="10"/>
      <c r="L8" t="str">
        <f>IFERROR(IF(SEARCH("курс",Таблица1[[#This Row],[Форма контроля]])&gt;=1,),"Ошибка")</f>
        <v>Ошибка</v>
      </c>
      <c r="M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(36/328 ч., 1/6, Д № 7444)ЭЖД-53ошибка</v>
      </c>
      <c r="N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(36/328 ч., 1/6, Д № 7444)_ЭЖД-53_26.02.11_12:10</v>
      </c>
    </row>
    <row r="9" spans="1:14" ht="38.25" x14ac:dyDescent="0.2">
      <c r="A9" s="7"/>
      <c r="B9" s="8" t="s">
        <v>23</v>
      </c>
      <c r="C9" s="8" t="s">
        <v>24</v>
      </c>
      <c r="D9" s="9" t="s">
        <v>25</v>
      </c>
      <c r="E9" s="10">
        <v>5</v>
      </c>
      <c r="F9" s="11">
        <v>46071</v>
      </c>
      <c r="G9" s="10">
        <v>9324</v>
      </c>
      <c r="H9" s="12">
        <v>0.57986111111111105</v>
      </c>
      <c r="I9" s="10" t="str">
        <f>_xlfn.CONCAT(Таблица1[[#This Row],[Группа]],"_",TEXT(Таблица1[[#This Row],[Дата]],"ГГ.ММ.ДД"),"_",TEXT(Таблица1[[#This Row],[Время]],"чч:мм"))</f>
        <v>ЭЖД-44у_26.02.18_13:55</v>
      </c>
      <c r="J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" s="10"/>
      <c r="L9" t="str">
        <f>IFERROR(IF(SEARCH("курс",Таблица1[[#This Row],[Форма контроля]])&gt;=1,),"Ошибка")</f>
        <v>Ошибка</v>
      </c>
      <c r="M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(2/7 з.е., 72/252 ч., 2/3, Д № 8598)ЭЖД-44уошибка</v>
      </c>
      <c r="N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(2/7 з.е., 72/252 ч., 2/3, Д № 8598)_ЭЖД-44у_26.02.18_13:55</v>
      </c>
    </row>
    <row r="10" spans="1:14" ht="25.5" x14ac:dyDescent="0.2">
      <c r="A10" s="7"/>
      <c r="B10" s="8" t="s">
        <v>26</v>
      </c>
      <c r="C10" s="8" t="s">
        <v>27</v>
      </c>
      <c r="D10" s="9" t="s">
        <v>28</v>
      </c>
      <c r="E10" s="10">
        <v>1</v>
      </c>
      <c r="F10" s="11">
        <v>46064</v>
      </c>
      <c r="G10" s="10">
        <v>9305</v>
      </c>
      <c r="H10" s="12">
        <v>0.50694444444444442</v>
      </c>
      <c r="I10" s="10" t="str">
        <f>_xlfn.CONCAT(Таблица1[[#This Row],[Группа]],"_",TEXT(Таблица1[[#This Row],[Дата]],"ГГ.ММ.ДД"),"_",TEXT(Таблица1[[#This Row],[Время]],"чч:мм"))</f>
        <v>ЭМб-41_26.02.11_12:10</v>
      </c>
      <c r="J1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" s="10"/>
      <c r="L10" t="str">
        <f>IFERROR(IF(SEARCH("курс",Таблица1[[#This Row],[Форма контроля]])&gt;=1,),"Ошибка")</f>
        <v>Ошибка</v>
      </c>
      <c r="M1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(3/9 з.е., 108/324 ч., 3/3, Д № 7764)ЭМб-41ошибка</v>
      </c>
      <c r="N1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(3/9 з.е., 108/324 ч., 3/3, Д № 7764)_ЭМб-41_26.02.11_12:10</v>
      </c>
    </row>
    <row r="11" spans="1:14" ht="25.5" x14ac:dyDescent="0.2">
      <c r="A11" s="7"/>
      <c r="B11" s="8" t="s">
        <v>29</v>
      </c>
      <c r="C11" s="8" t="s">
        <v>16</v>
      </c>
      <c r="D11" s="9" t="s">
        <v>30</v>
      </c>
      <c r="E11" s="10">
        <v>9</v>
      </c>
      <c r="F11" s="11">
        <v>46069</v>
      </c>
      <c r="G11" s="10">
        <v>5101</v>
      </c>
      <c r="H11" s="12">
        <v>0.50694444444444442</v>
      </c>
      <c r="I11" s="10" t="str">
        <f>_xlfn.CONCAT(Таблица1[[#This Row],[Группа]],"_",TEXT(Таблица1[[#This Row],[Дата]],"ГГ.ММ.ДД"),"_",TEXT(Таблица1[[#This Row],[Время]],"чч:мм"))</f>
        <v>ЭЖД-41_26.02.16_12:10</v>
      </c>
      <c r="J1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" s="10"/>
      <c r="L11" t="str">
        <f>IFERROR(IF(SEARCH("курс",Таблица1[[#This Row],[Форма контроля]])&gt;=1,),"Ошибка")</f>
        <v>Ошибка</v>
      </c>
      <c r="M1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(3/15 з.е., 108/540 ч., 3/4, Д № 8088)ЭЖД-41ошибка</v>
      </c>
      <c r="N1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(3/15 з.е., 108/540 ч., 3/4, Д № 8088)_ЭЖД-41_26.02.16_12:10</v>
      </c>
    </row>
    <row r="12" spans="1:14" ht="25.5" x14ac:dyDescent="0.2">
      <c r="A12" s="7"/>
      <c r="B12" s="8" t="s">
        <v>29</v>
      </c>
      <c r="C12" s="8" t="s">
        <v>16</v>
      </c>
      <c r="D12" s="9" t="s">
        <v>31</v>
      </c>
      <c r="E12" s="10">
        <v>4</v>
      </c>
      <c r="F12" s="11">
        <v>46069</v>
      </c>
      <c r="G12" s="10">
        <v>5101</v>
      </c>
      <c r="H12" s="12">
        <v>0.50694444444444442</v>
      </c>
      <c r="I12" s="10" t="str">
        <f>_xlfn.CONCAT(Таблица1[[#This Row],[Группа]],"_",TEXT(Таблица1[[#This Row],[Дата]],"ГГ.ММ.ДД"),"_",TEXT(Таблица1[[#This Row],[Время]],"чч:мм"))</f>
        <v>ЭЖД-42_26.02.16_12:10</v>
      </c>
      <c r="J1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" s="10"/>
      <c r="L12" t="str">
        <f>IFERROR(IF(SEARCH("курс",Таблица1[[#This Row],[Форма контроля]])&gt;=1,),"Ошибка")</f>
        <v>Ошибка</v>
      </c>
      <c r="M1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(3/15 з.е., 108/540 ч., 3/4, Д № 8088)ЭЖД-42ошибка</v>
      </c>
      <c r="N1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(3/15 з.е., 108/540 ч., 3/4, Д № 8088)_ЭЖД-42_26.02.16_12:10</v>
      </c>
    </row>
    <row r="13" spans="1:14" ht="25.5" x14ac:dyDescent="0.2">
      <c r="A13" s="7"/>
      <c r="B13" s="8" t="s">
        <v>29</v>
      </c>
      <c r="C13" s="8" t="s">
        <v>16</v>
      </c>
      <c r="D13" s="9" t="s">
        <v>32</v>
      </c>
      <c r="E13" s="10">
        <v>13</v>
      </c>
      <c r="F13" s="11">
        <v>46069</v>
      </c>
      <c r="G13" s="10">
        <v>5101</v>
      </c>
      <c r="H13" s="12">
        <v>0.50694444444444442</v>
      </c>
      <c r="I13" s="10" t="str">
        <f>_xlfn.CONCAT(Таблица1[[#This Row],[Группа]],"_",TEXT(Таблица1[[#This Row],[Дата]],"ГГ.ММ.ДД"),"_",TEXT(Таблица1[[#This Row],[Время]],"чч:мм"))</f>
        <v>ЭЖД-43_26.02.16_12:10</v>
      </c>
      <c r="J1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" s="10"/>
      <c r="L13" t="str">
        <f>IFERROR(IF(SEARCH("курс",Таблица1[[#This Row],[Форма контроля]])&gt;=1,),"Ошибка")</f>
        <v>Ошибка</v>
      </c>
      <c r="M1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(3/15 з.е., 108/540 ч., 3/4, Д № 8088)ЭЖД-43ошибка</v>
      </c>
      <c r="N1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(3/15 з.е., 108/540 ч., 3/4, Д № 8088)_ЭЖД-43_26.02.16_12:10</v>
      </c>
    </row>
    <row r="14" spans="1:14" ht="38.25" x14ac:dyDescent="0.2">
      <c r="A14" s="7"/>
      <c r="B14" s="8" t="s">
        <v>33</v>
      </c>
      <c r="C14" s="8" t="s">
        <v>16</v>
      </c>
      <c r="D14" s="9" t="s">
        <v>34</v>
      </c>
      <c r="E14" s="10">
        <v>6</v>
      </c>
      <c r="F14" s="11">
        <v>46062</v>
      </c>
      <c r="G14" s="10">
        <v>8111</v>
      </c>
      <c r="H14" s="12">
        <v>0.42708333333333331</v>
      </c>
      <c r="I14" s="10" t="str">
        <f>_xlfn.CONCAT(Таблица1[[#This Row],[Группа]],"_",TEXT(Таблица1[[#This Row],[Дата]],"ГГ.ММ.ДД"),"_",TEXT(Таблица1[[#This Row],[Время]],"чч:мм"))</f>
        <v>ЭЖД-31_26.02.09_10:15</v>
      </c>
      <c r="J1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" s="10"/>
      <c r="L14" t="str">
        <f>IFERROR(IF(SEARCH("курс",Таблица1[[#This Row],[Форма контроля]])&gt;=1,),"Ошибка")</f>
        <v>Ошибка</v>
      </c>
      <c r="M1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Метрология, стандартизация и сертификация (3 з.е., 108 ч., 1/1, Д № 4651)ЭЖД-31ошибка</v>
      </c>
      <c r="N1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Метрология, стандартизация и сертификация (3 з.е., 108 ч., 1/1, Д № 4651)_ЭЖД-31_26.02.09_10:15</v>
      </c>
    </row>
    <row r="15" spans="1:14" ht="38.25" x14ac:dyDescent="0.2">
      <c r="A15" s="7"/>
      <c r="B15" s="8" t="s">
        <v>33</v>
      </c>
      <c r="C15" s="8" t="s">
        <v>16</v>
      </c>
      <c r="D15" s="9" t="s">
        <v>35</v>
      </c>
      <c r="E15" s="10">
        <v>1</v>
      </c>
      <c r="F15" s="11">
        <v>46064</v>
      </c>
      <c r="G15" s="10">
        <v>8310</v>
      </c>
      <c r="H15" s="12">
        <v>0.35416666666666669</v>
      </c>
      <c r="I15" s="10" t="str">
        <f>_xlfn.CONCAT(Таблица1[[#This Row],[Группа]],"_",TEXT(Таблица1[[#This Row],[Дата]],"ГГ.ММ.ДД"),"_",TEXT(Таблица1[[#This Row],[Время]],"чч:мм"))</f>
        <v>ЭЖД-33_26.02.11_08:30</v>
      </c>
      <c r="J1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" s="10"/>
      <c r="L15" t="str">
        <f>IFERROR(IF(SEARCH("курс",Таблица1[[#This Row],[Форма контроля]])&gt;=1,),"Ошибка")</f>
        <v>Ошибка</v>
      </c>
      <c r="M1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Метрология, стандартизация и сертификация (3 з.е., 108 ч., 1/1, Д № 4651)ЭЖД-33ошибка</v>
      </c>
      <c r="N1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Метрология, стандартизация и сертификация (3 з.е., 108 ч., 1/1, Д № 4651)_ЭЖД-33_26.02.11_08:30</v>
      </c>
    </row>
    <row r="16" spans="1:14" ht="25.5" x14ac:dyDescent="0.2">
      <c r="A16" s="7"/>
      <c r="B16" s="8" t="s">
        <v>36</v>
      </c>
      <c r="C16" s="8" t="s">
        <v>27</v>
      </c>
      <c r="D16" s="9" t="s">
        <v>37</v>
      </c>
      <c r="E16" s="10">
        <v>4</v>
      </c>
      <c r="F16" s="11">
        <v>46065</v>
      </c>
      <c r="G16" s="10" t="s">
        <v>38</v>
      </c>
      <c r="H16" s="12">
        <v>0.78819444444444453</v>
      </c>
      <c r="I16" s="10" t="str">
        <f>_xlfn.CONCAT(Таблица1[[#This Row],[Группа]],"_",TEXT(Таблица1[[#This Row],[Дата]],"ГГ.ММ.ДД"),"_",TEXT(Таблица1[[#This Row],[Время]],"чч:мм"))</f>
        <v>ЭМУб-41оз_26.02.12_18:55</v>
      </c>
      <c r="J1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" s="10"/>
      <c r="L16" t="str">
        <f>IFERROR(IF(SEARCH("курс",Таблица1[[#This Row],[Форма контроля]])&gt;=1,),"Ошибка")</f>
        <v>Ошибка</v>
      </c>
      <c r="M1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(3/9 з.е., 108/324 ч., 3/3, Д № 8620)ЭМУб-41озошибка</v>
      </c>
      <c r="N1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(3/9 з.е., 108/324 ч., 3/3, Д № 8620)_ЭМУб-41оз_26.02.12_18:55</v>
      </c>
    </row>
    <row r="17" spans="1:14" ht="38.25" x14ac:dyDescent="0.2">
      <c r="A17" s="7"/>
      <c r="B17" s="8" t="s">
        <v>39</v>
      </c>
      <c r="C17" s="8" t="s">
        <v>16</v>
      </c>
      <c r="D17" s="9" t="s">
        <v>32</v>
      </c>
      <c r="E17" s="10">
        <v>4</v>
      </c>
      <c r="F17" s="11">
        <v>46064</v>
      </c>
      <c r="G17" s="10">
        <v>5209</v>
      </c>
      <c r="H17" s="12">
        <v>0.42708333333333331</v>
      </c>
      <c r="I17" s="10" t="str">
        <f>_xlfn.CONCAT(Таблица1[[#This Row],[Группа]],"_",TEXT(Таблица1[[#This Row],[Дата]],"ГГ.ММ.ДД"),"_",TEXT(Таблица1[[#This Row],[Время]],"чч:мм"))</f>
        <v>ЭЖД-43_26.02.11_10:15</v>
      </c>
      <c r="J1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" s="10"/>
      <c r="L17" t="str">
        <f>IFERROR(IF(SEARCH("курс",Таблица1[[#This Row],[Форма контроля]])&gt;=1,),"Ошибка")</f>
        <v>Ошибка</v>
      </c>
      <c r="M1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(72/328 ч., 3/6, Д № 7444)ЭЖД-43ошибка</v>
      </c>
      <c r="N1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(72/328 ч., 3/6, Д № 7444)_ЭЖД-43_26.02.11_10:15</v>
      </c>
    </row>
    <row r="18" spans="1:14" ht="38.25" x14ac:dyDescent="0.2">
      <c r="A18" s="7"/>
      <c r="B18" s="8" t="s">
        <v>40</v>
      </c>
      <c r="C18" s="8" t="s">
        <v>16</v>
      </c>
      <c r="D18" s="9" t="s">
        <v>28</v>
      </c>
      <c r="E18" s="10">
        <v>8</v>
      </c>
      <c r="F18" s="11">
        <v>46064</v>
      </c>
      <c r="G18" s="10">
        <v>5209</v>
      </c>
      <c r="H18" s="12">
        <v>0.42708333333333331</v>
      </c>
      <c r="I18" s="10" t="str">
        <f>_xlfn.CONCAT(Таблица1[[#This Row],[Группа]],"_",TEXT(Таблица1[[#This Row],[Дата]],"ГГ.ММ.ДД"),"_",TEXT(Таблица1[[#This Row],[Время]],"чч:мм"))</f>
        <v>ЭМб-41_26.02.11_10:15</v>
      </c>
      <c r="J1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" s="10"/>
      <c r="L18" t="str">
        <f>IFERROR(IF(SEARCH("курс",Таблица1[[#This Row],[Форма контроля]])&gt;=1,),"Ошибка")</f>
        <v>Ошибка</v>
      </c>
      <c r="M1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(72/328 ч., 3/6, Д № 7528)ЭМб-41ошибка</v>
      </c>
      <c r="N1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(72/328 ч., 3/6, Д № 7528)_ЭМб-41_26.02.11_10:15</v>
      </c>
    </row>
    <row r="19" spans="1:14" ht="38.25" x14ac:dyDescent="0.2">
      <c r="A19" s="7"/>
      <c r="B19" s="8" t="s">
        <v>41</v>
      </c>
      <c r="C19" s="8" t="s">
        <v>16</v>
      </c>
      <c r="D19" s="9" t="s">
        <v>42</v>
      </c>
      <c r="E19" s="10">
        <v>1</v>
      </c>
      <c r="F19" s="11">
        <v>46072</v>
      </c>
      <c r="G19" s="10">
        <v>5211</v>
      </c>
      <c r="H19" s="12">
        <v>0.35416666666666669</v>
      </c>
      <c r="I19" s="10" t="str">
        <f>_xlfn.CONCAT(Таблица1[[#This Row],[Группа]],"_",TEXT(Таблица1[[#This Row],[Дата]],"ГГ.ММ.ДД"),"_",TEXT(Таблица1[[#This Row],[Время]],"чч:мм"))</f>
        <v>Эб-31_26.02.19_08:30</v>
      </c>
      <c r="J1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" s="10"/>
      <c r="L19" t="str">
        <f>IFERROR(IF(SEARCH("курс",Таблица1[[#This Row],[Форма контроля]])&gt;=1,),"Ошибка")</f>
        <v>Ошибка</v>
      </c>
      <c r="M1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(54/328 ч., 5/6, Д № 4572)Эб-31ошибка</v>
      </c>
      <c r="N1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(54/328 ч., 5/6, Д № 4572)_Эб-31_26.02.19_08:30</v>
      </c>
    </row>
    <row r="20" spans="1:14" ht="38.25" x14ac:dyDescent="0.2">
      <c r="A20" s="7"/>
      <c r="B20" s="8" t="s">
        <v>41</v>
      </c>
      <c r="C20" s="8" t="s">
        <v>16</v>
      </c>
      <c r="D20" s="9" t="s">
        <v>43</v>
      </c>
      <c r="E20" s="10">
        <v>6</v>
      </c>
      <c r="F20" s="11">
        <v>46072</v>
      </c>
      <c r="G20" s="10">
        <v>5211</v>
      </c>
      <c r="H20" s="12">
        <v>0.50694444444444442</v>
      </c>
      <c r="I20" s="10" t="str">
        <f>_xlfn.CONCAT(Таблица1[[#This Row],[Группа]],"_",TEXT(Таблица1[[#This Row],[Дата]],"ГГ.ММ.ДД"),"_",TEXT(Таблица1[[#This Row],[Время]],"чч:мм"))</f>
        <v>Мб-31_26.02.19_12:10</v>
      </c>
      <c r="J2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" s="10"/>
      <c r="L20" t="str">
        <f>IFERROR(IF(SEARCH("курс",Таблица1[[#This Row],[Форма контроля]])&gt;=1,),"Ошибка")</f>
        <v>Ошибка</v>
      </c>
      <c r="M2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(54/328 ч., 5/6, Д № 4572)Мб-31ошибка</v>
      </c>
      <c r="N2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(54/328 ч., 5/6, Д № 4572)_Мб-31_26.02.19_12:10</v>
      </c>
    </row>
    <row r="21" spans="1:14" ht="38.25" x14ac:dyDescent="0.2">
      <c r="A21" s="7"/>
      <c r="B21" s="8" t="s">
        <v>41</v>
      </c>
      <c r="C21" s="8" t="s">
        <v>16</v>
      </c>
      <c r="D21" s="9" t="s">
        <v>44</v>
      </c>
      <c r="E21" s="10">
        <v>4</v>
      </c>
      <c r="F21" s="11">
        <v>46072</v>
      </c>
      <c r="G21" s="10">
        <v>5211</v>
      </c>
      <c r="H21" s="12">
        <v>0.57986111111111105</v>
      </c>
      <c r="I21" s="10" t="str">
        <f>_xlfn.CONCAT(Таблица1[[#This Row],[Группа]],"_",TEXT(Таблица1[[#This Row],[Дата]],"ГГ.ММ.ДД"),"_",TEXT(Таблица1[[#This Row],[Время]],"чч:мм"))</f>
        <v>УПб-31_26.02.19_13:55</v>
      </c>
      <c r="J2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" s="10"/>
      <c r="L21" t="str">
        <f>IFERROR(IF(SEARCH("курс",Таблица1[[#This Row],[Форма контроля]])&gt;=1,),"Ошибка")</f>
        <v>Ошибка</v>
      </c>
      <c r="M2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(54/328 ч., 5/6, Д № 4572)УПб-31ошибка</v>
      </c>
      <c r="N2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(54/328 ч., 5/6, Д № 4572)_УПб-31_26.02.19_13:55</v>
      </c>
    </row>
    <row r="22" spans="1:14" ht="38.25" x14ac:dyDescent="0.2">
      <c r="A22" s="7"/>
      <c r="B22" s="8" t="s">
        <v>39</v>
      </c>
      <c r="C22" s="8" t="s">
        <v>16</v>
      </c>
      <c r="D22" s="9" t="s">
        <v>30</v>
      </c>
      <c r="E22" s="10">
        <v>5</v>
      </c>
      <c r="F22" s="11">
        <v>46065</v>
      </c>
      <c r="G22" s="10">
        <v>5211</v>
      </c>
      <c r="H22" s="12">
        <v>0.50694444444444442</v>
      </c>
      <c r="I22" s="10" t="str">
        <f>_xlfn.CONCAT(Таблица1[[#This Row],[Группа]],"_",TEXT(Таблица1[[#This Row],[Дата]],"ГГ.ММ.ДД"),"_",TEXT(Таблица1[[#This Row],[Время]],"чч:мм"))</f>
        <v>ЭЖД-41_26.02.12_12:10</v>
      </c>
      <c r="J2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" s="10"/>
      <c r="L22" t="str">
        <f>IFERROR(IF(SEARCH("курс",Таблица1[[#This Row],[Форма контроля]])&gt;=1,),"Ошибка")</f>
        <v>Ошибка</v>
      </c>
      <c r="M2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(72/328 ч., 3/6, Д № 7444)ЭЖД-41ошибка</v>
      </c>
      <c r="N2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(72/328 ч., 3/6, Д № 7444)_ЭЖД-41_26.02.12_12:10</v>
      </c>
    </row>
    <row r="23" spans="1:14" ht="25.5" x14ac:dyDescent="0.2">
      <c r="A23" s="7"/>
      <c r="B23" s="8" t="s">
        <v>45</v>
      </c>
      <c r="C23" s="8" t="s">
        <v>27</v>
      </c>
      <c r="D23" s="9" t="s">
        <v>46</v>
      </c>
      <c r="E23" s="10">
        <v>2</v>
      </c>
      <c r="F23" s="11">
        <v>46062</v>
      </c>
      <c r="G23" s="10" t="s">
        <v>47</v>
      </c>
      <c r="H23" s="12">
        <v>0.64930555555555558</v>
      </c>
      <c r="I23" s="10" t="str">
        <f>_xlfn.CONCAT(Таблица1[[#This Row],[Группа]],"_",TEXT(Таблица1[[#This Row],[Дата]],"ГГ.ММ.ДД"),"_",TEXT(Таблица1[[#This Row],[Время]],"чч:мм"))</f>
        <v>ТТПм-51_26.02.09_15:35</v>
      </c>
      <c r="J2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" s="10"/>
      <c r="L23" t="str">
        <f>IFERROR(IF(SEARCH("курс",Таблица1[[#This Row],[Форма контроля]])&gt;=1,),"Ошибка")</f>
        <v>Ошибка</v>
      </c>
      <c r="M2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Проектно-процессное управление (4 з.е., 144 ч., 1/1, Д № 7883)ТТПм-51ошибка</v>
      </c>
      <c r="N2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Проектно-процессное управление (4 з.е., 144 ч., 1/1, Д № 7883)_ТТПм-51_26.02.09_15:35</v>
      </c>
    </row>
    <row r="24" spans="1:14" ht="25.5" x14ac:dyDescent="0.2">
      <c r="A24" s="7"/>
      <c r="B24" s="8" t="s">
        <v>48</v>
      </c>
      <c r="C24" s="8" t="s">
        <v>27</v>
      </c>
      <c r="D24" s="9" t="s">
        <v>49</v>
      </c>
      <c r="E24" s="10">
        <v>2</v>
      </c>
      <c r="F24" s="11">
        <v>46062</v>
      </c>
      <c r="G24" s="10">
        <v>9212</v>
      </c>
      <c r="H24" s="12">
        <v>0.42708333333333331</v>
      </c>
      <c r="I24" s="10" t="str">
        <f>_xlfn.CONCAT(Таблица1[[#This Row],[Группа]],"_",TEXT(Таблица1[[#This Row],[Дата]],"ГГ.ММ.ДД"),"_",TEXT(Таблица1[[#This Row],[Время]],"чч:мм"))</f>
        <v>Мб-21_26.02.09_10:15</v>
      </c>
      <c r="J2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" s="10"/>
      <c r="L24" t="str">
        <f>IFERROR(IF(SEARCH("курс",Таблица1[[#This Row],[Форма контроля]])&gt;=1,),"Ошибка")</f>
        <v>Ошибка</v>
      </c>
      <c r="M2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Транспортная логистика (4 з.е., 144 ч., 1/1, Д № 5824)Мб-21ошибка</v>
      </c>
      <c r="N2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Транспортная логистика (4 з.е., 144 ч., 1/1, Д № 5824)_Мб-21_26.02.09_10:15</v>
      </c>
    </row>
    <row r="25" spans="1:14" ht="25.5" x14ac:dyDescent="0.2">
      <c r="A25" s="7"/>
      <c r="B25" s="8" t="s">
        <v>50</v>
      </c>
      <c r="C25" s="8" t="s">
        <v>16</v>
      </c>
      <c r="D25" s="9" t="s">
        <v>51</v>
      </c>
      <c r="E25" s="10">
        <v>1</v>
      </c>
      <c r="F25" s="11">
        <v>46065</v>
      </c>
      <c r="G25" s="10">
        <v>9212</v>
      </c>
      <c r="H25" s="12">
        <v>0.35416666666666669</v>
      </c>
      <c r="I25" s="10" t="str">
        <f>_xlfn.CONCAT(Таблица1[[#This Row],[Группа]],"_",TEXT(Таблица1[[#This Row],[Дата]],"ГГ.ММ.ДД"),"_",TEXT(Таблица1[[#This Row],[Время]],"чч:мм"))</f>
        <v>Эб-51_26.02.12_08:30</v>
      </c>
      <c r="J2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" s="10"/>
      <c r="L25" t="str">
        <f>IFERROR(IF(SEARCH("курс",Таблица1[[#This Row],[Форма контроля]])&gt;=1,),"Ошибка")</f>
        <v>Ошибка</v>
      </c>
      <c r="M2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Экономическая теория (4/9 з.е., 144/324 ч., 1/2, Д № 8887)Эб-51ошибка</v>
      </c>
      <c r="N2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Экономическая теория (4/9 з.е., 144/324 ч., 1/2, Д № 8887)_Эб-51_26.02.12_08:30</v>
      </c>
    </row>
    <row r="26" spans="1:14" ht="25.5" x14ac:dyDescent="0.2">
      <c r="A26" s="7"/>
      <c r="B26" s="8" t="s">
        <v>52</v>
      </c>
      <c r="C26" s="8" t="s">
        <v>16</v>
      </c>
      <c r="D26" s="9" t="s">
        <v>53</v>
      </c>
      <c r="E26" s="10">
        <v>1</v>
      </c>
      <c r="F26" s="11">
        <v>46065</v>
      </c>
      <c r="G26" s="10">
        <v>9212</v>
      </c>
      <c r="H26" s="12">
        <v>0.35416666666666669</v>
      </c>
      <c r="I26" s="10" t="str">
        <f>_xlfn.CONCAT(Таблица1[[#This Row],[Группа]],"_",TEXT(Таблица1[[#This Row],[Дата]],"ГГ.ММ.ДД"),"_",TEXT(Таблица1[[#This Row],[Время]],"чч:мм"))</f>
        <v>Мб-51_26.02.12_08:30</v>
      </c>
      <c r="J2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" s="10"/>
      <c r="L26" t="str">
        <f>IFERROR(IF(SEARCH("курс",Таблица1[[#This Row],[Форма контроля]])&gt;=1,),"Ошибка")</f>
        <v>Ошибка</v>
      </c>
      <c r="M2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Менеджмент (3/7 з.е., 108/252 ч., 1/2, Д № 8911)Мб-51ошибка</v>
      </c>
      <c r="N2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Менеджмент (3/7 з.е., 108/252 ч., 1/2, Д № 8911)_Мб-51_26.02.12_08:30</v>
      </c>
    </row>
    <row r="27" spans="1:14" ht="25.5" x14ac:dyDescent="0.2">
      <c r="A27" s="7"/>
      <c r="B27" s="8" t="s">
        <v>50</v>
      </c>
      <c r="C27" s="8" t="s">
        <v>16</v>
      </c>
      <c r="D27" s="9" t="s">
        <v>54</v>
      </c>
      <c r="E27" s="10">
        <v>4</v>
      </c>
      <c r="F27" s="11">
        <v>46065</v>
      </c>
      <c r="G27" s="10">
        <v>9212</v>
      </c>
      <c r="H27" s="12">
        <v>0.50694444444444442</v>
      </c>
      <c r="I27" s="10" t="str">
        <f>_xlfn.CONCAT(Таблица1[[#This Row],[Группа]],"_",TEXT(Таблица1[[#This Row],[Дата]],"ГГ.ММ.ДД"),"_",TEXT(Таблица1[[#This Row],[Время]],"чч:мм"))</f>
        <v>Мб-52_26.02.12_12:10</v>
      </c>
      <c r="J2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" s="10"/>
      <c r="L27" t="str">
        <f>IFERROR(IF(SEARCH("курс",Таблица1[[#This Row],[Форма контроля]])&gt;=1,),"Ошибка")</f>
        <v>Ошибка</v>
      </c>
      <c r="M2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Экономическая теория (4/9 з.е., 144/324 ч., 1/2, Д № 8887)Мб-52ошибка</v>
      </c>
      <c r="N2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Экономическая теория (4/9 з.е., 144/324 ч., 1/2, Д № 8887)_Мб-52_26.02.12_12:10</v>
      </c>
    </row>
    <row r="28" spans="1:14" ht="25.5" x14ac:dyDescent="0.2">
      <c r="A28" s="7"/>
      <c r="B28" s="8" t="s">
        <v>52</v>
      </c>
      <c r="C28" s="8" t="s">
        <v>16</v>
      </c>
      <c r="D28" s="9" t="s">
        <v>54</v>
      </c>
      <c r="E28" s="10">
        <v>1</v>
      </c>
      <c r="F28" s="11">
        <v>46066</v>
      </c>
      <c r="G28" s="10">
        <v>9212</v>
      </c>
      <c r="H28" s="12">
        <v>0.50694444444444442</v>
      </c>
      <c r="I28" s="10" t="str">
        <f>_xlfn.CONCAT(Таблица1[[#This Row],[Группа]],"_",TEXT(Таблица1[[#This Row],[Дата]],"ГГ.ММ.ДД"),"_",TEXT(Таблица1[[#This Row],[Время]],"чч:мм"))</f>
        <v>Мб-52_26.02.13_12:10</v>
      </c>
      <c r="J2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" s="10"/>
      <c r="L28" t="str">
        <f>IFERROR(IF(SEARCH("курс",Таблица1[[#This Row],[Форма контроля]])&gt;=1,),"Ошибка")</f>
        <v>Ошибка</v>
      </c>
      <c r="M2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Менеджмент (3/7 з.е., 108/252 ч., 1/2, Д № 8911)Мб-52ошибка</v>
      </c>
      <c r="N2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Менеджмент (3/7 з.е., 108/252 ч., 1/2, Д № 8911)_Мб-52_26.02.13_12:10</v>
      </c>
    </row>
    <row r="29" spans="1:14" ht="25.5" x14ac:dyDescent="0.2">
      <c r="A29" s="7"/>
      <c r="B29" s="8" t="s">
        <v>55</v>
      </c>
      <c r="C29" s="8" t="s">
        <v>16</v>
      </c>
      <c r="D29" s="9" t="s">
        <v>51</v>
      </c>
      <c r="E29" s="10">
        <v>1</v>
      </c>
      <c r="F29" s="11">
        <v>46066</v>
      </c>
      <c r="G29" s="10">
        <v>9212</v>
      </c>
      <c r="H29" s="12">
        <v>0.50694444444444442</v>
      </c>
      <c r="I29" s="10" t="str">
        <f>_xlfn.CONCAT(Таблица1[[#This Row],[Группа]],"_",TEXT(Таблица1[[#This Row],[Дата]],"ГГ.ММ.ДД"),"_",TEXT(Таблица1[[#This Row],[Время]],"чч:мм"))</f>
        <v>Эб-51_26.02.13_12:10</v>
      </c>
      <c r="J2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" s="10"/>
      <c r="L29" t="str">
        <f>IFERROR(IF(SEARCH("курс",Таблица1[[#This Row],[Форма контроля]])&gt;=1,),"Ошибка")</f>
        <v>Ошибка</v>
      </c>
      <c r="M2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Менеджмент (3/7 з.е., 108/252 ч., 1/2, Д № 8888)Эб-51ошибка</v>
      </c>
      <c r="N2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Менеджмент (3/7 з.е., 108/252 ч., 1/2, Д № 8888)_Эб-51_26.02.13_12:10</v>
      </c>
    </row>
    <row r="30" spans="1:14" ht="25.5" x14ac:dyDescent="0.2">
      <c r="A30" s="7"/>
      <c r="B30" s="8" t="s">
        <v>50</v>
      </c>
      <c r="C30" s="8" t="s">
        <v>16</v>
      </c>
      <c r="D30" s="9" t="s">
        <v>53</v>
      </c>
      <c r="E30" s="10">
        <v>1</v>
      </c>
      <c r="F30" s="11">
        <v>46070</v>
      </c>
      <c r="G30" s="10">
        <v>9212</v>
      </c>
      <c r="H30" s="12">
        <v>0.42708333333333331</v>
      </c>
      <c r="I30" s="10" t="str">
        <f>_xlfn.CONCAT(Таблица1[[#This Row],[Группа]],"_",TEXT(Таблица1[[#This Row],[Дата]],"ГГ.ММ.ДД"),"_",TEXT(Таблица1[[#This Row],[Время]],"чч:мм"))</f>
        <v>Мб-51_26.02.17_10:15</v>
      </c>
      <c r="J3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" s="10"/>
      <c r="L30" t="str">
        <f>IFERROR(IF(SEARCH("курс",Таблица1[[#This Row],[Форма контроля]])&gt;=1,),"Ошибка")</f>
        <v>Ошибка</v>
      </c>
      <c r="M3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Экономическая теория (4/9 з.е., 144/324 ч., 1/2, Д № 8887)Мб-51ошибка</v>
      </c>
      <c r="N3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Экономическая теория (4/9 з.е., 144/324 ч., 1/2, Д № 8887)_Мб-51_26.02.17_10:15</v>
      </c>
    </row>
    <row r="31" spans="1:14" ht="25.5" x14ac:dyDescent="0.2">
      <c r="A31" s="7"/>
      <c r="B31" s="8" t="s">
        <v>56</v>
      </c>
      <c r="C31" s="8" t="s">
        <v>27</v>
      </c>
      <c r="D31" s="9" t="s">
        <v>25</v>
      </c>
      <c r="E31" s="10">
        <v>9</v>
      </c>
      <c r="F31" s="11">
        <v>46069</v>
      </c>
      <c r="G31" s="10">
        <v>9413</v>
      </c>
      <c r="H31" s="12">
        <v>0.50694444444444442</v>
      </c>
      <c r="I31" s="10" t="str">
        <f>_xlfn.CONCAT(Таблица1[[#This Row],[Группа]],"_",TEXT(Таблица1[[#This Row],[Дата]],"ГГ.ММ.ДД"),"_",TEXT(Таблица1[[#This Row],[Время]],"чч:мм"))</f>
        <v>ЭЖД-44у_26.02.16_12:10</v>
      </c>
      <c r="J3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" s="10"/>
      <c r="L31" t="str">
        <f>IFERROR(IF(SEARCH("курс",Таблица1[[#This Row],[Форма контроля]])&gt;=1,),"Ошибка")</f>
        <v>Ошибка</v>
      </c>
      <c r="M3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(2/13 з.е., 72/468 ч., 3/5, Д № 8600)ЭЖД-44уошибка</v>
      </c>
      <c r="N3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(2/13 з.е., 72/468 ч., 3/5, Д № 8600)_ЭЖД-44у_26.02.16_12:10</v>
      </c>
    </row>
    <row r="32" spans="1:14" ht="25.5" x14ac:dyDescent="0.2">
      <c r="A32" s="7"/>
      <c r="B32" s="8" t="s">
        <v>56</v>
      </c>
      <c r="C32" s="8" t="s">
        <v>57</v>
      </c>
      <c r="D32" s="9" t="s">
        <v>25</v>
      </c>
      <c r="E32" s="10">
        <v>9</v>
      </c>
      <c r="F32" s="11">
        <v>46069</v>
      </c>
      <c r="G32" s="10">
        <v>9413</v>
      </c>
      <c r="H32" s="12">
        <v>0.42708333333333331</v>
      </c>
      <c r="I32" s="10" t="str">
        <f>_xlfn.CONCAT(Таблица1[[#This Row],[Группа]],"_",TEXT(Таблица1[[#This Row],[Дата]],"ГГ.ММ.ДД"),"_",TEXT(Таблица1[[#This Row],[Время]],"чч:мм"))</f>
        <v>ЭЖД-44у_26.02.16_10:15</v>
      </c>
      <c r="J3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" s="10"/>
      <c r="L32">
        <f>IFERROR(IF(SEARCH("курс",Таблица1[[#This Row],[Форма контроля]])&gt;=1,),"Ошибка")</f>
        <v>0</v>
      </c>
      <c r="M3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(2/13 з.е., 72/468 ч., 3/5, Д № 8600)ЭЖД-44у</v>
      </c>
      <c r="N3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(2/13 з.е., 72/468 ч., 3/5, Д № 8600)_ЭЖД-44у_26.02.16_10:15</v>
      </c>
    </row>
    <row r="33" spans="1:14" ht="25.5" x14ac:dyDescent="0.2">
      <c r="A33" s="7"/>
      <c r="B33" s="8" t="s">
        <v>56</v>
      </c>
      <c r="C33" s="8" t="s">
        <v>57</v>
      </c>
      <c r="D33" s="9" t="s">
        <v>58</v>
      </c>
      <c r="E33" s="10">
        <v>4</v>
      </c>
      <c r="F33" s="11">
        <v>46065</v>
      </c>
      <c r="G33" s="10">
        <v>9413</v>
      </c>
      <c r="H33" s="12">
        <v>0.50694444444444442</v>
      </c>
      <c r="I33" s="10" t="str">
        <f>_xlfn.CONCAT(Таблица1[[#This Row],[Группа]],"_",TEXT(Таблица1[[#This Row],[Дата]],"ГГ.ММ.ДД"),"_",TEXT(Таблица1[[#This Row],[Время]],"чч:мм"))</f>
        <v>ЭЖД-45у_26.02.12_12:10</v>
      </c>
      <c r="J3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" s="10"/>
      <c r="L33">
        <f>IFERROR(IF(SEARCH("курс",Таблица1[[#This Row],[Форма контроля]])&gt;=1,),"Ошибка")</f>
        <v>0</v>
      </c>
      <c r="M3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(2/13 з.е., 72/468 ч., 3/5, Д № 8600)ЭЖД-45у</v>
      </c>
      <c r="N3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(2/13 з.е., 72/468 ч., 3/5, Д № 8600)_ЭЖД-45у_26.02.12_12:10</v>
      </c>
    </row>
    <row r="34" spans="1:14" ht="25.5" x14ac:dyDescent="0.2">
      <c r="A34" s="7"/>
      <c r="B34" s="8" t="s">
        <v>56</v>
      </c>
      <c r="C34" s="8" t="s">
        <v>27</v>
      </c>
      <c r="D34" s="9" t="s">
        <v>58</v>
      </c>
      <c r="E34" s="10">
        <v>6</v>
      </c>
      <c r="F34" s="11">
        <v>46072</v>
      </c>
      <c r="G34" s="10">
        <v>9413</v>
      </c>
      <c r="H34" s="12">
        <v>0.42708333333333331</v>
      </c>
      <c r="I34" s="10" t="str">
        <f>_xlfn.CONCAT(Таблица1[[#This Row],[Группа]],"_",TEXT(Таблица1[[#This Row],[Дата]],"ГГ.ММ.ДД"),"_",TEXT(Таблица1[[#This Row],[Время]],"чч:мм"))</f>
        <v>ЭЖД-45у_26.02.19_10:15</v>
      </c>
      <c r="J3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4" s="10"/>
      <c r="L34" t="str">
        <f>IFERROR(IF(SEARCH("курс",Таблица1[[#This Row],[Форма контроля]])&gt;=1,),"Ошибка")</f>
        <v>Ошибка</v>
      </c>
      <c r="M3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(2/13 з.е., 72/468 ч., 3/5, Д № 8600)ЭЖД-45уошибка</v>
      </c>
      <c r="N3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(2/13 з.е., 72/468 ч., 3/5, Д № 8600)_ЭЖД-45у_26.02.19_10:15</v>
      </c>
    </row>
    <row r="35" spans="1:14" ht="25.5" x14ac:dyDescent="0.2">
      <c r="A35" s="7"/>
      <c r="B35" s="8" t="s">
        <v>56</v>
      </c>
      <c r="C35" s="8" t="s">
        <v>27</v>
      </c>
      <c r="D35" s="9" t="s">
        <v>59</v>
      </c>
      <c r="E35" s="10">
        <v>4</v>
      </c>
      <c r="F35" s="11">
        <v>46072</v>
      </c>
      <c r="G35" s="10">
        <v>9413</v>
      </c>
      <c r="H35" s="12">
        <v>0.42708333333333331</v>
      </c>
      <c r="I35" s="10" t="str">
        <f>_xlfn.CONCAT(Таблица1[[#This Row],[Группа]],"_",TEXT(Таблица1[[#This Row],[Дата]],"ГГ.ММ.ДД"),"_",TEXT(Таблица1[[#This Row],[Время]],"чч:мм"))</f>
        <v>ЭЖД-46у_26.02.19_10:15</v>
      </c>
      <c r="J3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5" s="10"/>
      <c r="L35" t="str">
        <f>IFERROR(IF(SEARCH("курс",Таблица1[[#This Row],[Форма контроля]])&gt;=1,),"Ошибка")</f>
        <v>Ошибка</v>
      </c>
      <c r="M3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(2/13 з.е., 72/468 ч., 3/5, Д № 8600)ЭЖД-46уошибка</v>
      </c>
      <c r="N3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(2/13 з.е., 72/468 ч., 3/5, Д № 8600)_ЭЖД-46у_26.02.19_10:15</v>
      </c>
    </row>
    <row r="36" spans="1:14" ht="25.5" x14ac:dyDescent="0.2">
      <c r="A36" s="7"/>
      <c r="B36" s="8" t="s">
        <v>56</v>
      </c>
      <c r="C36" s="8" t="s">
        <v>57</v>
      </c>
      <c r="D36" s="9" t="s">
        <v>59</v>
      </c>
      <c r="E36" s="10">
        <v>3</v>
      </c>
      <c r="F36" s="11">
        <v>46065</v>
      </c>
      <c r="G36" s="10">
        <v>9413</v>
      </c>
      <c r="H36" s="12">
        <v>0.50694444444444442</v>
      </c>
      <c r="I36" s="10" t="str">
        <f>_xlfn.CONCAT(Таблица1[[#This Row],[Группа]],"_",TEXT(Таблица1[[#This Row],[Дата]],"ГГ.ММ.ДД"),"_",TEXT(Таблица1[[#This Row],[Время]],"чч:мм"))</f>
        <v>ЭЖД-46у_26.02.12_12:10</v>
      </c>
      <c r="J3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6" s="10"/>
      <c r="L36">
        <f>IFERROR(IF(SEARCH("курс",Таблица1[[#This Row],[Форма контроля]])&gt;=1,),"Ошибка")</f>
        <v>0</v>
      </c>
      <c r="M3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(2/13 з.е., 72/468 ч., 3/5, Д № 8600)ЭЖД-46у</v>
      </c>
      <c r="N3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(2/13 з.е., 72/468 ч., 3/5, Д № 8600)_ЭЖД-46у_26.02.12_12:10</v>
      </c>
    </row>
    <row r="37" spans="1:14" ht="25.5" x14ac:dyDescent="0.2">
      <c r="A37" s="7"/>
      <c r="B37" s="8" t="s">
        <v>60</v>
      </c>
      <c r="C37" s="8" t="s">
        <v>27</v>
      </c>
      <c r="D37" s="9" t="s">
        <v>30</v>
      </c>
      <c r="E37" s="10">
        <v>5</v>
      </c>
      <c r="F37" s="11">
        <v>46073</v>
      </c>
      <c r="G37" s="10">
        <v>5304</v>
      </c>
      <c r="H37" s="12">
        <v>0.50694444444444442</v>
      </c>
      <c r="I37" s="10" t="str">
        <f>_xlfn.CONCAT(Таблица1[[#This Row],[Группа]],"_",TEXT(Таблица1[[#This Row],[Дата]],"ГГ.ММ.ДД"),"_",TEXT(Таблица1[[#This Row],[Время]],"чч:мм"))</f>
        <v>ЭЖД-41_26.02.20_12:10</v>
      </c>
      <c r="J3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7" s="10"/>
      <c r="L37" t="str">
        <f>IFERROR(IF(SEARCH("курс",Таблица1[[#This Row],[Форма контроля]])&gt;=1,),"Ошибка")</f>
        <v>Ошибка</v>
      </c>
      <c r="M3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Безопасность жизнедеятельности (4 з.е., 144 ч., 1/1, Д № 7392)ЭЖД-41ошибка</v>
      </c>
      <c r="N3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Безопасность жизнедеятельности (4 з.е., 144 ч., 1/1, Д № 7392)_ЭЖД-41_26.02.20_12:10</v>
      </c>
    </row>
    <row r="38" spans="1:14" ht="25.5" x14ac:dyDescent="0.2">
      <c r="A38" s="7"/>
      <c r="B38" s="8" t="s">
        <v>60</v>
      </c>
      <c r="C38" s="8" t="s">
        <v>27</v>
      </c>
      <c r="D38" s="9" t="s">
        <v>31</v>
      </c>
      <c r="E38" s="10">
        <v>2</v>
      </c>
      <c r="F38" s="11">
        <v>46073</v>
      </c>
      <c r="G38" s="10">
        <v>5304</v>
      </c>
      <c r="H38" s="12">
        <v>0.50694444444444442</v>
      </c>
      <c r="I38" s="10" t="str">
        <f>_xlfn.CONCAT(Таблица1[[#This Row],[Группа]],"_",TEXT(Таблица1[[#This Row],[Дата]],"ГГ.ММ.ДД"),"_",TEXT(Таблица1[[#This Row],[Время]],"чч:мм"))</f>
        <v>ЭЖД-42_26.02.20_12:10</v>
      </c>
      <c r="J3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8" s="10"/>
      <c r="L38" t="str">
        <f>IFERROR(IF(SEARCH("курс",Таблица1[[#This Row],[Форма контроля]])&gt;=1,),"Ошибка")</f>
        <v>Ошибка</v>
      </c>
      <c r="M3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Безопасность жизнедеятельности (4 з.е., 144 ч., 1/1, Д № 7392)ЭЖД-42ошибка</v>
      </c>
      <c r="N3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Безопасность жизнедеятельности (4 з.е., 144 ч., 1/1, Д № 7392)_ЭЖД-42_26.02.20_12:10</v>
      </c>
    </row>
    <row r="39" spans="1:14" ht="25.5" x14ac:dyDescent="0.2">
      <c r="A39" s="7"/>
      <c r="B39" s="8" t="s">
        <v>60</v>
      </c>
      <c r="C39" s="8" t="s">
        <v>27</v>
      </c>
      <c r="D39" s="9" t="s">
        <v>32</v>
      </c>
      <c r="E39" s="10">
        <v>6</v>
      </c>
      <c r="F39" s="11">
        <v>46073</v>
      </c>
      <c r="G39" s="10">
        <v>5304</v>
      </c>
      <c r="H39" s="12">
        <v>0.50694444444444442</v>
      </c>
      <c r="I39" s="10" t="str">
        <f>_xlfn.CONCAT(Таблица1[[#This Row],[Группа]],"_",TEXT(Таблица1[[#This Row],[Дата]],"ГГ.ММ.ДД"),"_",TEXT(Таблица1[[#This Row],[Время]],"чч:мм"))</f>
        <v>ЭЖД-43_26.02.20_12:10</v>
      </c>
      <c r="J3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9" s="10"/>
      <c r="L39" t="str">
        <f>IFERROR(IF(SEARCH("курс",Таблица1[[#This Row],[Форма контроля]])&gt;=1,),"Ошибка")</f>
        <v>Ошибка</v>
      </c>
      <c r="M3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Безопасность жизнедеятельности (4 з.е., 144 ч., 1/1, Д № 7392)ЭЖД-43ошибка</v>
      </c>
      <c r="N3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Безопасность жизнедеятельности (4 з.е., 144 ч., 1/1, Д № 7392)_ЭЖД-43_26.02.20_12:10</v>
      </c>
    </row>
    <row r="40" spans="1:14" ht="25.5" x14ac:dyDescent="0.2">
      <c r="A40" s="7"/>
      <c r="B40" s="8" t="s">
        <v>61</v>
      </c>
      <c r="C40" s="8" t="s">
        <v>27</v>
      </c>
      <c r="D40" s="9" t="s">
        <v>62</v>
      </c>
      <c r="E40" s="10">
        <v>17</v>
      </c>
      <c r="F40" s="11">
        <v>46070</v>
      </c>
      <c r="G40" s="10">
        <v>9424</v>
      </c>
      <c r="H40" s="12">
        <v>0.64930555555555558</v>
      </c>
      <c r="I40" s="10" t="str">
        <f>_xlfn.CONCAT(Таблица1[[#This Row],[Группа]],"_",TEXT(Таблица1[[#This Row],[Дата]],"ГГ.ММ.ДД"),"_",TEXT(Таблица1[[#This Row],[Время]],"чч:мм"))</f>
        <v>ЭЖД-32_26.02.17_15:35</v>
      </c>
      <c r="J4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0" s="10"/>
      <c r="L40" t="str">
        <f>IFERROR(IF(SEARCH("курс",Таблица1[[#This Row],[Форма контроля]])&gt;=1,),"Ошибка")</f>
        <v>Ошибка</v>
      </c>
      <c r="M4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(4/13 з.е., 144/468 ч., 1/3, Д № 4795)ЭЖД-32ошибка</v>
      </c>
      <c r="N4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(4/13 з.е., 144/468 ч., 1/3, Д № 4795)_ЭЖД-32_26.02.17_15:35</v>
      </c>
    </row>
    <row r="41" spans="1:14" ht="25.5" x14ac:dyDescent="0.2">
      <c r="A41" s="7"/>
      <c r="B41" s="8" t="s">
        <v>61</v>
      </c>
      <c r="C41" s="8" t="s">
        <v>27</v>
      </c>
      <c r="D41" s="9" t="s">
        <v>34</v>
      </c>
      <c r="E41" s="10">
        <v>10</v>
      </c>
      <c r="F41" s="11">
        <v>46070</v>
      </c>
      <c r="G41" s="10">
        <v>9424</v>
      </c>
      <c r="H41" s="12">
        <v>0.64930555555555558</v>
      </c>
      <c r="I41" s="10" t="str">
        <f>_xlfn.CONCAT(Таблица1[[#This Row],[Группа]],"_",TEXT(Таблица1[[#This Row],[Дата]],"ГГ.ММ.ДД"),"_",TEXT(Таблица1[[#This Row],[Время]],"чч:мм"))</f>
        <v>ЭЖД-31_26.02.17_15:35</v>
      </c>
      <c r="J4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1" s="10"/>
      <c r="L41" t="str">
        <f>IFERROR(IF(SEARCH("курс",Таблица1[[#This Row],[Форма контроля]])&gt;=1,),"Ошибка")</f>
        <v>Ошибка</v>
      </c>
      <c r="M4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(4/13 з.е., 144/468 ч., 1/3, Д № 4795)ЭЖД-31ошибка</v>
      </c>
      <c r="N4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(4/13 з.е., 144/468 ч., 1/3, Д № 4795)_ЭЖД-31_26.02.17_15:35</v>
      </c>
    </row>
    <row r="42" spans="1:14" ht="25.5" x14ac:dyDescent="0.2">
      <c r="A42" s="7"/>
      <c r="B42" s="8" t="s">
        <v>61</v>
      </c>
      <c r="C42" s="8" t="s">
        <v>57</v>
      </c>
      <c r="D42" s="9" t="s">
        <v>34</v>
      </c>
      <c r="E42" s="10">
        <v>9</v>
      </c>
      <c r="F42" s="11">
        <v>46066</v>
      </c>
      <c r="G42" s="10">
        <v>9424</v>
      </c>
      <c r="H42" s="12">
        <v>0.50694444444444442</v>
      </c>
      <c r="I42" s="10" t="str">
        <f>_xlfn.CONCAT(Таблица1[[#This Row],[Группа]],"_",TEXT(Таблица1[[#This Row],[Дата]],"ГГ.ММ.ДД"),"_",TEXT(Таблица1[[#This Row],[Время]],"чч:мм"))</f>
        <v>ЭЖД-31_26.02.13_12:10</v>
      </c>
      <c r="J4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2" s="10"/>
      <c r="L42">
        <f>IFERROR(IF(SEARCH("курс",Таблица1[[#This Row],[Форма контроля]])&gt;=1,),"Ошибка")</f>
        <v>0</v>
      </c>
      <c r="M4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(4/13 з.е., 144/468 ч., 1/3, Д № 4795)ЭЖД-31</v>
      </c>
      <c r="N4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(4/13 з.е., 144/468 ч., 1/3, Д № 4795)_ЭЖД-31_26.02.13_12:10</v>
      </c>
    </row>
    <row r="43" spans="1:14" ht="25.5" x14ac:dyDescent="0.2">
      <c r="A43" s="7"/>
      <c r="B43" s="8" t="s">
        <v>61</v>
      </c>
      <c r="C43" s="8" t="s">
        <v>27</v>
      </c>
      <c r="D43" s="9" t="s">
        <v>35</v>
      </c>
      <c r="E43" s="10">
        <v>18</v>
      </c>
      <c r="F43" s="11">
        <v>46072</v>
      </c>
      <c r="G43" s="10">
        <v>9424</v>
      </c>
      <c r="H43" s="12">
        <v>0.64930555555555558</v>
      </c>
      <c r="I43" s="10" t="str">
        <f>_xlfn.CONCAT(Таблица1[[#This Row],[Группа]],"_",TEXT(Таблица1[[#This Row],[Дата]],"ГГ.ММ.ДД"),"_",TEXT(Таблица1[[#This Row],[Время]],"чч:мм"))</f>
        <v>ЭЖД-33_26.02.19_15:35</v>
      </c>
      <c r="J4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3" s="10"/>
      <c r="L43" t="str">
        <f>IFERROR(IF(SEARCH("курс",Таблица1[[#This Row],[Форма контроля]])&gt;=1,),"Ошибка")</f>
        <v>Ошибка</v>
      </c>
      <c r="M4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(4/13 з.е., 144/468 ч., 1/3, Д № 4795)ЭЖД-33ошибка</v>
      </c>
      <c r="N4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(4/13 з.е., 144/468 ч., 1/3, Д № 4795)_ЭЖД-33_26.02.19_15:35</v>
      </c>
    </row>
    <row r="44" spans="1:14" ht="38.25" x14ac:dyDescent="0.2">
      <c r="A44" s="7"/>
      <c r="B44" s="8" t="s">
        <v>23</v>
      </c>
      <c r="C44" s="8" t="s">
        <v>24</v>
      </c>
      <c r="D44" s="9" t="s">
        <v>58</v>
      </c>
      <c r="E44" s="10">
        <v>20</v>
      </c>
      <c r="F44" s="11">
        <v>46072</v>
      </c>
      <c r="G44" s="10">
        <v>9424</v>
      </c>
      <c r="H44" s="12">
        <v>0.57986111111111105</v>
      </c>
      <c r="I44" s="10" t="str">
        <f>_xlfn.CONCAT(Таблица1[[#This Row],[Группа]],"_",TEXT(Таблица1[[#This Row],[Дата]],"ГГ.ММ.ДД"),"_",TEXT(Таблица1[[#This Row],[Время]],"чч:мм"))</f>
        <v>ЭЖД-45у_26.02.19_13:55</v>
      </c>
      <c r="J4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4" s="10"/>
      <c r="L44" t="str">
        <f>IFERROR(IF(SEARCH("курс",Таблица1[[#This Row],[Форма контроля]])&gt;=1,),"Ошибка")</f>
        <v>Ошибка</v>
      </c>
      <c r="M4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(2/7 з.е., 72/252 ч., 2/3, Д № 8598)ЭЖД-45уошибка</v>
      </c>
      <c r="N4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(2/7 з.е., 72/252 ч., 2/3, Д № 8598)_ЭЖД-45у_26.02.19_13:55</v>
      </c>
    </row>
    <row r="45" spans="1:14" ht="25.5" x14ac:dyDescent="0.2">
      <c r="A45" s="7"/>
      <c r="B45" s="8" t="s">
        <v>23</v>
      </c>
      <c r="C45" s="8" t="s">
        <v>63</v>
      </c>
      <c r="D45" s="9" t="s">
        <v>58</v>
      </c>
      <c r="E45" s="10">
        <v>20</v>
      </c>
      <c r="F45" s="11">
        <v>46065</v>
      </c>
      <c r="G45" s="10">
        <v>9424</v>
      </c>
      <c r="H45" s="12">
        <v>0.42708333333333331</v>
      </c>
      <c r="I45" s="10" t="str">
        <f>_xlfn.CONCAT(Таблица1[[#This Row],[Группа]],"_",TEXT(Таблица1[[#This Row],[Дата]],"ГГ.ММ.ДД"),"_",TEXT(Таблица1[[#This Row],[Время]],"чч:мм"))</f>
        <v>ЭЖД-45у_26.02.12_10:15</v>
      </c>
      <c r="J4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5" s="10"/>
      <c r="L45">
        <f>IFERROR(IF(SEARCH("курс",Таблица1[[#This Row],[Форма контроля]])&gt;=1,),"Ошибка")</f>
        <v>0</v>
      </c>
      <c r="M4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(2/7 з.е., 72/252 ч., 2/3, Д № 8598)ЭЖД-45у</v>
      </c>
      <c r="N4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(2/7 з.е., 72/252 ч., 2/3, Д № 8598)_ЭЖД-45у_26.02.12_10:15</v>
      </c>
    </row>
    <row r="46" spans="1:14" ht="25.5" x14ac:dyDescent="0.2">
      <c r="A46" s="7"/>
      <c r="B46" s="8" t="s">
        <v>64</v>
      </c>
      <c r="C46" s="8" t="s">
        <v>63</v>
      </c>
      <c r="D46" s="9" t="s">
        <v>65</v>
      </c>
      <c r="E46" s="10">
        <v>11</v>
      </c>
      <c r="F46" s="11">
        <v>46065</v>
      </c>
      <c r="G46" s="10">
        <v>9424</v>
      </c>
      <c r="H46" s="12">
        <v>0.57986111111111105</v>
      </c>
      <c r="I46" s="10" t="str">
        <f>_xlfn.CONCAT(Таблица1[[#This Row],[Группа]],"_",TEXT(Таблица1[[#This Row],[Дата]],"ГГ.ММ.ДД"),"_",TEXT(Таблица1[[#This Row],[Время]],"чч:мм"))</f>
        <v>ЭЖД-21_26.02.12_13:55</v>
      </c>
      <c r="J4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6" s="10"/>
      <c r="L46">
        <f>IFERROR(IF(SEARCH("курс",Таблица1[[#This Row],[Форма контроля]])&gt;=1,),"Ошибка")</f>
        <v>0</v>
      </c>
      <c r="M4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(5/13 з.е., 180/468 ч., 3/3, Д № 4795)ЭЖД-21</v>
      </c>
      <c r="N4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(5/13 з.е., 180/468 ч., 3/3, Д № 4795)_ЭЖД-21_26.02.12_13:55</v>
      </c>
    </row>
    <row r="47" spans="1:14" ht="25.5" x14ac:dyDescent="0.2">
      <c r="A47" s="7"/>
      <c r="B47" s="8" t="s">
        <v>66</v>
      </c>
      <c r="C47" s="8" t="s">
        <v>27</v>
      </c>
      <c r="D47" s="9" t="s">
        <v>34</v>
      </c>
      <c r="E47" s="16" t="s">
        <v>67</v>
      </c>
      <c r="F47" s="11">
        <v>46070</v>
      </c>
      <c r="G47" s="10">
        <v>9424</v>
      </c>
      <c r="H47" s="12">
        <v>0.64930555555555558</v>
      </c>
      <c r="I47" s="10" t="str">
        <f>_xlfn.CONCAT(Таблица1[[#This Row],[Группа]],"_",TEXT(Таблица1[[#This Row],[Дата]],"ГГ.ММ.ДД"),"_",TEXT(Таблица1[[#This Row],[Время]],"чч:мм"))</f>
        <v>ЭЖД-31_26.02.17_15:35</v>
      </c>
      <c r="J4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7" s="10"/>
      <c r="L47" t="str">
        <f>IFERROR(IF(SEARCH("курс",Таблица1[[#This Row],[Форма контроля]])&gt;=1,),"Ошибка")</f>
        <v>Ошибка</v>
      </c>
      <c r="M4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(4/13 з.е., 144/468 ч., 1/3, Д № 8110)ЭЖД-31ошибка</v>
      </c>
      <c r="N4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(4/13 з.е., 144/468 ч., 1/3, Д № 8110)_ЭЖД-31_26.02.17_15:35</v>
      </c>
    </row>
    <row r="48" spans="1:14" ht="25.5" x14ac:dyDescent="0.2">
      <c r="A48" s="7"/>
      <c r="B48" s="8" t="s">
        <v>66</v>
      </c>
      <c r="C48" s="8" t="s">
        <v>57</v>
      </c>
      <c r="D48" s="9" t="s">
        <v>34</v>
      </c>
      <c r="E48" s="16" t="s">
        <v>67</v>
      </c>
      <c r="F48" s="11">
        <v>46066</v>
      </c>
      <c r="G48" s="10">
        <v>9424</v>
      </c>
      <c r="H48" s="12">
        <v>0.50694444444444442</v>
      </c>
      <c r="I48" s="10" t="str">
        <f>_xlfn.CONCAT(Таблица1[[#This Row],[Группа]],"_",TEXT(Таблица1[[#This Row],[Дата]],"ГГ.ММ.ДД"),"_",TEXT(Таблица1[[#This Row],[Время]],"чч:мм"))</f>
        <v>ЭЖД-31_26.02.13_12:10</v>
      </c>
      <c r="J4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8" s="10"/>
      <c r="L48">
        <f>IFERROR(IF(SEARCH("курс",Таблица1[[#This Row],[Форма контроля]])&gt;=1,),"Ошибка")</f>
        <v>0</v>
      </c>
      <c r="M4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(4/13 з.е., 144/468 ч., 1/3, Д № 8110)ЭЖД-31</v>
      </c>
      <c r="N4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(4/13 з.е., 144/468 ч., 1/3, Д № 8110)_ЭЖД-31_26.02.13_12:10</v>
      </c>
    </row>
    <row r="49" spans="1:14" ht="38.25" x14ac:dyDescent="0.2">
      <c r="A49" s="7"/>
      <c r="B49" s="8" t="s">
        <v>68</v>
      </c>
      <c r="C49" s="8" t="s">
        <v>24</v>
      </c>
      <c r="D49" s="9" t="s">
        <v>58</v>
      </c>
      <c r="E49" s="10">
        <v>1</v>
      </c>
      <c r="F49" s="11">
        <v>46064</v>
      </c>
      <c r="G49" s="10">
        <v>9321</v>
      </c>
      <c r="H49" s="12">
        <v>0.50694444444444442</v>
      </c>
      <c r="I49" s="10" t="str">
        <f>_xlfn.CONCAT(Таблица1[[#This Row],[Группа]],"_",TEXT(Таблица1[[#This Row],[Дата]],"ГГ.ММ.ДД"),"_",TEXT(Таблица1[[#This Row],[Время]],"чч:мм"))</f>
        <v>ЭЖД-45у_26.02.11_12:10</v>
      </c>
      <c r="J4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49" s="10"/>
      <c r="L49" t="str">
        <f>IFERROR(IF(SEARCH("курс",Таблица1[[#This Row],[Форма контроля]])&gt;=1,),"Ошибка")</f>
        <v>Ошибка</v>
      </c>
      <c r="M4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Хладотранспорт и основы теплотехники (3 з.е., 108 ч., 1/1, Д № 8106)ЭЖД-45уошибка</v>
      </c>
      <c r="N4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Хладотранспорт и основы теплотехники (3 з.е., 108 ч., 1/1, Д № 8106)_ЭЖД-45у_26.02.11_12:10</v>
      </c>
    </row>
    <row r="50" spans="1:14" ht="38.25" x14ac:dyDescent="0.2">
      <c r="A50" s="7"/>
      <c r="B50" s="8" t="s">
        <v>69</v>
      </c>
      <c r="C50" s="8" t="s">
        <v>27</v>
      </c>
      <c r="D50" s="9" t="s">
        <v>58</v>
      </c>
      <c r="E50" s="10">
        <v>1</v>
      </c>
      <c r="F50" s="11">
        <v>46064</v>
      </c>
      <c r="G50" s="10">
        <v>9321</v>
      </c>
      <c r="H50" s="12">
        <v>0.57986111111111105</v>
      </c>
      <c r="I50" s="10" t="str">
        <f>_xlfn.CONCAT(Таблица1[[#This Row],[Группа]],"_",TEXT(Таблица1[[#This Row],[Дата]],"ГГ.ММ.ДД"),"_",TEXT(Таблица1[[#This Row],[Время]],"чч:мм"))</f>
        <v>ЭЖД-45у_26.02.11_13:55</v>
      </c>
      <c r="J5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0" s="10"/>
      <c r="L50" t="str">
        <f>IFERROR(IF(SEARCH("курс",Таблица1[[#This Row],[Форма контроля]])&gt;=1,),"Ошибка")</f>
        <v>Ошибка</v>
      </c>
      <c r="M5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(2/7 з.е., 72/252 ч., 1/3, Д № 8599)ЭЖД-45уошибка</v>
      </c>
      <c r="N5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(2/7 з.е., 72/252 ч., 1/3, Д № 8599)_ЭЖД-45у_26.02.11_13:55</v>
      </c>
    </row>
    <row r="51" spans="1:14" ht="38.25" x14ac:dyDescent="0.2">
      <c r="A51" s="7"/>
      <c r="B51" s="8" t="s">
        <v>70</v>
      </c>
      <c r="C51" s="8" t="s">
        <v>24</v>
      </c>
      <c r="D51" s="9" t="s">
        <v>71</v>
      </c>
      <c r="E51" s="10">
        <v>3</v>
      </c>
      <c r="F51" s="11">
        <v>46066</v>
      </c>
      <c r="G51" s="10">
        <v>9321</v>
      </c>
      <c r="H51" s="12">
        <v>0.42708333333333331</v>
      </c>
      <c r="I51" s="10" t="str">
        <f>_xlfn.CONCAT(Таблица1[[#This Row],[Группа]],"_",TEXT(Таблица1[[#This Row],[Дата]],"ГГ.ММ.ДД"),"_",TEXT(Таблица1[[#This Row],[Время]],"чч:мм"))</f>
        <v>ЭЖД-22_26.02.13_10:15</v>
      </c>
      <c r="J5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1" s="10"/>
      <c r="L51" t="str">
        <f>IFERROR(IF(SEARCH("курс",Таблица1[[#This Row],[Форма контроля]])&gt;=1,),"Ошибка")</f>
        <v>Ошибка</v>
      </c>
      <c r="M5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Организация работы экспедиторских фирм (3 з.е., 108 ч., 1/1, Д № 4665)ЭЖД-22ошибка</v>
      </c>
      <c r="N5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Организация работы экспедиторских фирм (3 з.е., 108 ч., 1/1, Д № 4665)_ЭЖД-22_26.02.13_10:15</v>
      </c>
    </row>
    <row r="52" spans="1:14" ht="38.25" x14ac:dyDescent="0.2">
      <c r="A52" s="7"/>
      <c r="B52" s="8" t="s">
        <v>70</v>
      </c>
      <c r="C52" s="8" t="s">
        <v>24</v>
      </c>
      <c r="D52" s="9" t="s">
        <v>72</v>
      </c>
      <c r="E52" s="10">
        <v>4</v>
      </c>
      <c r="F52" s="11">
        <v>46066</v>
      </c>
      <c r="G52" s="10">
        <v>9321</v>
      </c>
      <c r="H52" s="12">
        <v>0.42708333333333331</v>
      </c>
      <c r="I52" s="10" t="str">
        <f>_xlfn.CONCAT(Таблица1[[#This Row],[Группа]],"_",TEXT(Таблица1[[#This Row],[Дата]],"ГГ.ММ.ДД"),"_",TEXT(Таблица1[[#This Row],[Время]],"чч:мм"))</f>
        <v>ЭЖД-23_26.02.13_10:15</v>
      </c>
      <c r="J5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2" s="10"/>
      <c r="L52" t="str">
        <f>IFERROR(IF(SEARCH("курс",Таблица1[[#This Row],[Форма контроля]])&gt;=1,),"Ошибка")</f>
        <v>Ошибка</v>
      </c>
      <c r="M5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Организация работы экспедиторских фирм (3 з.е., 108 ч., 1/1, Д № 4665)ЭЖД-23ошибка</v>
      </c>
      <c r="N5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Организация работы экспедиторских фирм (3 з.е., 108 ч., 1/1, Д № 4665)_ЭЖД-23_26.02.13_10:15</v>
      </c>
    </row>
    <row r="53" spans="1:14" ht="51" x14ac:dyDescent="0.2">
      <c r="A53" s="7"/>
      <c r="B53" s="8" t="s">
        <v>73</v>
      </c>
      <c r="C53" s="8" t="s">
        <v>16</v>
      </c>
      <c r="D53" s="9" t="s">
        <v>71</v>
      </c>
      <c r="E53" s="10">
        <v>1</v>
      </c>
      <c r="F53" s="11">
        <v>46065</v>
      </c>
      <c r="G53" s="10">
        <v>9410</v>
      </c>
      <c r="H53" s="12">
        <v>0.57986111111111105</v>
      </c>
      <c r="I53" s="10" t="str">
        <f>_xlfn.CONCAT(Таблица1[[#This Row],[Группа]],"_",TEXT(Таблица1[[#This Row],[Дата]],"ГГ.ММ.ДД"),"_",TEXT(Таблица1[[#This Row],[Время]],"чч:мм"))</f>
        <v>ЭЖД-22_26.02.12_13:55</v>
      </c>
      <c r="J5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3" s="10"/>
      <c r="L53" t="str">
        <f>IFERROR(IF(SEARCH("курс",Таблица1[[#This Row],[Форма контроля]])&gt;=1,),"Ошибка")</f>
        <v>Ошибка</v>
      </c>
      <c r="M5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Эффективность технических и технологических мероприятий в перевозочном процессе (2/5 з.е., 72/180 ч., 1/2, Д № 4793)ЭЖД-22ошибка</v>
      </c>
      <c r="N5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Эффективность технических и технологических мероприятий в перевозочном процессе (2/5 з.е., 72/180 ч., 1/2, Д № 4793)_ЭЖД-22_26.02.12_13:55</v>
      </c>
    </row>
    <row r="54" spans="1:14" ht="51" x14ac:dyDescent="0.2">
      <c r="A54" s="7"/>
      <c r="B54" s="8" t="s">
        <v>73</v>
      </c>
      <c r="C54" s="8" t="s">
        <v>16</v>
      </c>
      <c r="D54" s="9" t="s">
        <v>72</v>
      </c>
      <c r="E54" s="10">
        <v>5</v>
      </c>
      <c r="F54" s="11">
        <v>46065</v>
      </c>
      <c r="G54" s="10">
        <v>9410</v>
      </c>
      <c r="H54" s="12">
        <v>0.57986111111111105</v>
      </c>
      <c r="I54" s="10" t="str">
        <f>_xlfn.CONCAT(Таблица1[[#This Row],[Группа]],"_",TEXT(Таблица1[[#This Row],[Дата]],"ГГ.ММ.ДД"),"_",TEXT(Таблица1[[#This Row],[Время]],"чч:мм"))</f>
        <v>ЭЖД-23_26.02.12_13:55</v>
      </c>
      <c r="J5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4" s="10"/>
      <c r="L54" t="str">
        <f>IFERROR(IF(SEARCH("курс",Таблица1[[#This Row],[Форма контроля]])&gt;=1,),"Ошибка")</f>
        <v>Ошибка</v>
      </c>
      <c r="M5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Эффективность технических и технологических мероприятий в перевозочном процессе (2/5 з.е., 72/180 ч., 1/2, Д № 4793)ЭЖД-23ошибка</v>
      </c>
      <c r="N5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Эффективность технических и технологических мероприятий в перевозочном процессе (2/5 з.е., 72/180 ч., 1/2, Д № 4793)_ЭЖД-23_26.02.12_13:55</v>
      </c>
    </row>
    <row r="55" spans="1:14" ht="38.25" x14ac:dyDescent="0.2">
      <c r="A55" s="7"/>
      <c r="B55" s="8" t="s">
        <v>74</v>
      </c>
      <c r="C55" s="8" t="s">
        <v>24</v>
      </c>
      <c r="D55" s="9" t="s">
        <v>75</v>
      </c>
      <c r="E55" s="10">
        <v>1</v>
      </c>
      <c r="F55" s="11">
        <v>46065</v>
      </c>
      <c r="G55" s="10">
        <v>9413</v>
      </c>
      <c r="H55" s="12">
        <v>0.50694444444444442</v>
      </c>
      <c r="I55" s="10" t="str">
        <f>_xlfn.CONCAT(Таблица1[[#This Row],[Группа]],"_",TEXT(Таблица1[[#This Row],[Дата]],"ГГ.ММ.ДД"),"_",TEXT(Таблица1[[#This Row],[Время]],"чч:мм"))</f>
        <v>ЭЖД-55у_26.02.12_12:10</v>
      </c>
      <c r="J5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5" s="10"/>
      <c r="L55" t="str">
        <f>IFERROR(IF(SEARCH("курс",Таблица1[[#This Row],[Форма контроля]])&gt;=1,),"Ошибка")</f>
        <v>Ошибка</v>
      </c>
      <c r="M5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(2/13 з.е., 72/468 ч., 1/5, Д № 8600)ЭЖД-55уошибка</v>
      </c>
      <c r="N5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(2/13 з.е., 72/468 ч., 1/5, Д № 8600)_ЭЖД-55у_26.02.12_12:10</v>
      </c>
    </row>
    <row r="56" spans="1:14" ht="38.25" x14ac:dyDescent="0.2">
      <c r="A56" s="7"/>
      <c r="B56" s="8" t="s">
        <v>74</v>
      </c>
      <c r="C56" s="8" t="s">
        <v>24</v>
      </c>
      <c r="D56" s="9" t="s">
        <v>76</v>
      </c>
      <c r="E56" s="10">
        <v>2</v>
      </c>
      <c r="F56" s="11">
        <v>46064</v>
      </c>
      <c r="G56" s="10">
        <v>9412</v>
      </c>
      <c r="H56" s="12">
        <v>0.35416666666666669</v>
      </c>
      <c r="I56" s="10" t="str">
        <f>_xlfn.CONCAT(Таблица1[[#This Row],[Группа]],"_",TEXT(Таблица1[[#This Row],[Дата]],"ГГ.ММ.ДД"),"_",TEXT(Таблица1[[#This Row],[Время]],"чч:мм"))</f>
        <v>ЭЖД-56у_26.02.11_08:30</v>
      </c>
      <c r="J5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6" s="10"/>
      <c r="L56" t="str">
        <f>IFERROR(IF(SEARCH("курс",Таблица1[[#This Row],[Форма контроля]])&gt;=1,),"Ошибка")</f>
        <v>Ошибка</v>
      </c>
      <c r="M5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(2/13 з.е., 72/468 ч., 1/5, Д № 8600)ЭЖД-56уошибка</v>
      </c>
      <c r="N5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(2/13 з.е., 72/468 ч., 1/5, Д № 8600)_ЭЖД-56у_26.02.11_08:30</v>
      </c>
    </row>
    <row r="57" spans="1:14" ht="38.25" x14ac:dyDescent="0.2">
      <c r="A57" s="7"/>
      <c r="B57" s="8" t="s">
        <v>74</v>
      </c>
      <c r="C57" s="8" t="s">
        <v>24</v>
      </c>
      <c r="D57" s="9" t="s">
        <v>77</v>
      </c>
      <c r="E57" s="10">
        <v>2</v>
      </c>
      <c r="F57" s="11">
        <v>46066</v>
      </c>
      <c r="G57" s="10">
        <v>9412</v>
      </c>
      <c r="H57" s="12">
        <v>0.42708333333333331</v>
      </c>
      <c r="I57" s="10" t="str">
        <f>_xlfn.CONCAT(Таблица1[[#This Row],[Группа]],"_",TEXT(Таблица1[[#This Row],[Дата]],"ГГ.ММ.ДД"),"_",TEXT(Таблица1[[#This Row],[Время]],"чч:мм"))</f>
        <v>ЭЖД-54у_26.02.13_10:15</v>
      </c>
      <c r="J5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7" s="10"/>
      <c r="L57" t="str">
        <f>IFERROR(IF(SEARCH("курс",Таблица1[[#This Row],[Форма контроля]])&gt;=1,),"Ошибка")</f>
        <v>Ошибка</v>
      </c>
      <c r="M5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(2/13 з.е., 72/468 ч., 1/5, Д № 8600)ЭЖД-54уошибка</v>
      </c>
      <c r="N5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(2/13 з.е., 72/468 ч., 1/5, Д № 8600)_ЭЖД-54у_26.02.13_10:15</v>
      </c>
    </row>
    <row r="58" spans="1:14" ht="38.25" x14ac:dyDescent="0.2">
      <c r="A58" s="7"/>
      <c r="B58" s="8" t="s">
        <v>78</v>
      </c>
      <c r="C58" s="8" t="s">
        <v>24</v>
      </c>
      <c r="D58" s="9" t="s">
        <v>34</v>
      </c>
      <c r="E58" s="16" t="s">
        <v>67</v>
      </c>
      <c r="F58" s="11">
        <v>46070</v>
      </c>
      <c r="G58" s="10">
        <v>9412</v>
      </c>
      <c r="H58" s="12">
        <v>0.57986111111111105</v>
      </c>
      <c r="I58" s="10" t="str">
        <f>_xlfn.CONCAT(Таблица1[[#This Row],[Группа]],"_",TEXT(Таблица1[[#This Row],[Дата]],"ГГ.ММ.ДД"),"_",TEXT(Таблица1[[#This Row],[Время]],"чч:мм"))</f>
        <v>ЭЖД-31_26.02.17_13:55</v>
      </c>
      <c r="J5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8" s="10"/>
      <c r="L58" t="str">
        <f>IFERROR(IF(SEARCH("курс",Таблица1[[#This Row],[Форма контроля]])&gt;=1,),"Ошибка")</f>
        <v>Ошибка</v>
      </c>
      <c r="M5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(4/23 з.е., 144/828 ч., 1/5, Д № 8112)ЭЖД-31ошибка</v>
      </c>
      <c r="N5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(4/23 з.е., 144/828 ч., 1/5, Д № 8112)_ЭЖД-31_26.02.17_13:55</v>
      </c>
    </row>
    <row r="59" spans="1:14" ht="38.25" x14ac:dyDescent="0.2">
      <c r="A59" s="7"/>
      <c r="B59" s="8" t="s">
        <v>79</v>
      </c>
      <c r="C59" s="8" t="s">
        <v>27</v>
      </c>
      <c r="D59" s="9" t="s">
        <v>43</v>
      </c>
      <c r="E59" s="10">
        <v>2</v>
      </c>
      <c r="F59" s="11">
        <v>46072</v>
      </c>
      <c r="G59" s="10">
        <v>9210</v>
      </c>
      <c r="H59" s="12">
        <v>0.57986111111111105</v>
      </c>
      <c r="I59" s="10" t="str">
        <f>_xlfn.CONCAT(Таблица1[[#This Row],[Группа]],"_",TEXT(Таблица1[[#This Row],[Дата]],"ГГ.ММ.ДД"),"_",TEXT(Таблица1[[#This Row],[Время]],"чч:мм"))</f>
        <v>Мб-31_26.02.19_13:55</v>
      </c>
      <c r="J5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59" s="10"/>
      <c r="L59" t="str">
        <f>IFERROR(IF(SEARCH("курс",Таблица1[[#This Row],[Форма контроля]])&gt;=1,),"Ошибка")</f>
        <v>Ошибка</v>
      </c>
      <c r="M5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и ценообразование на транспорте (5 з.е., 180 ч., 1/1, Д № 5816)Мб-31ошибка</v>
      </c>
      <c r="N5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и ценообразование на транспорте (5 з.е., 180 ч., 1/1, Д № 5816)_Мб-31_26.02.19_13:55</v>
      </c>
    </row>
    <row r="60" spans="1:14" ht="38.25" x14ac:dyDescent="0.2">
      <c r="A60" s="7"/>
      <c r="B60" s="8" t="s">
        <v>80</v>
      </c>
      <c r="C60" s="8" t="s">
        <v>27</v>
      </c>
      <c r="D60" s="9" t="s">
        <v>81</v>
      </c>
      <c r="E60" s="10">
        <v>8</v>
      </c>
      <c r="F60" s="11">
        <v>46073</v>
      </c>
      <c r="G60" s="10" t="s">
        <v>18</v>
      </c>
      <c r="H60" s="12">
        <v>0.64930555555555558</v>
      </c>
      <c r="I60" s="10" t="str">
        <f>_xlfn.CONCAT(Таблица1[[#This Row],[Группа]],"_",TEXT(Таблица1[[#This Row],[Дата]],"ГГ.ММ.ДД"),"_",TEXT(Таблица1[[#This Row],[Время]],"чч:мм"))</f>
        <v>Мб-31оз_26.02.20_15:35</v>
      </c>
      <c r="J6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0" s="10"/>
      <c r="L60" t="str">
        <f>IFERROR(IF(SEARCH("курс",Таблица1[[#This Row],[Форма контроля]])&gt;=1,),"Ошибка")</f>
        <v>Ошибка</v>
      </c>
      <c r="M6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и ценообразование на транспорте (5 з.е., 180 ч., 1/1, Д № 5908)Мб-31озошибка</v>
      </c>
      <c r="N6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и ценообразование на транспорте (5 з.е., 180 ч., 1/1, Д № 5908)_Мб-31оз_26.02.20_15:35</v>
      </c>
    </row>
    <row r="61" spans="1:14" ht="25.5" x14ac:dyDescent="0.2">
      <c r="A61" s="7"/>
      <c r="B61" s="8" t="s">
        <v>82</v>
      </c>
      <c r="C61" s="8" t="s">
        <v>16</v>
      </c>
      <c r="D61" s="9" t="s">
        <v>20</v>
      </c>
      <c r="E61" s="10">
        <v>9</v>
      </c>
      <c r="F61" s="11">
        <v>46066</v>
      </c>
      <c r="G61" s="10">
        <v>3310</v>
      </c>
      <c r="H61" s="12">
        <v>0.50694444444444442</v>
      </c>
      <c r="I61" s="10" t="str">
        <f>_xlfn.CONCAT(Таблица1[[#This Row],[Группа]],"_",TEXT(Таблица1[[#This Row],[Дата]],"ГГ.ММ.ДД"),"_",TEXT(Таблица1[[#This Row],[Время]],"чч:мм"))</f>
        <v>ЭЖД-51_26.02.13_12:10</v>
      </c>
      <c r="J6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1" s="10"/>
      <c r="L61" t="str">
        <f>IFERROR(IF(SEARCH("курс",Таблица1[[#This Row],[Форма контроля]])&gt;=1,),"Ошибка")</f>
        <v>Ошибка</v>
      </c>
      <c r="M6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Физика (4/8 з.е., 144/288 ч., 1/2, Д № 8087)ЭЖД-51ошибка</v>
      </c>
      <c r="N6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Физика (4/8 з.е., 144/288 ч., 1/2, Д № 8087)_ЭЖД-51_26.02.13_12:10</v>
      </c>
    </row>
    <row r="62" spans="1:14" ht="25.5" x14ac:dyDescent="0.2">
      <c r="A62" s="7"/>
      <c r="B62" s="8" t="s">
        <v>82</v>
      </c>
      <c r="C62" s="8" t="s">
        <v>16</v>
      </c>
      <c r="D62" s="9" t="s">
        <v>17</v>
      </c>
      <c r="E62" s="10">
        <v>7</v>
      </c>
      <c r="F62" s="11">
        <v>46066</v>
      </c>
      <c r="G62" s="10">
        <v>3310</v>
      </c>
      <c r="H62" s="12">
        <v>0.50694444444444442</v>
      </c>
      <c r="I62" s="10" t="str">
        <f>_xlfn.CONCAT(Таблица1[[#This Row],[Группа]],"_",TEXT(Таблица1[[#This Row],[Дата]],"ГГ.ММ.ДД"),"_",TEXT(Таблица1[[#This Row],[Время]],"чч:мм"))</f>
        <v>ЭЖД-52_26.02.13_12:10</v>
      </c>
      <c r="J6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2" s="10"/>
      <c r="L62" t="str">
        <f>IFERROR(IF(SEARCH("курс",Таблица1[[#This Row],[Форма контроля]])&gt;=1,),"Ошибка")</f>
        <v>Ошибка</v>
      </c>
      <c r="M6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Физика (4/8 з.е., 144/288 ч., 1/2, Д № 8087)ЭЖД-52ошибка</v>
      </c>
      <c r="N6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Физика (4/8 з.е., 144/288 ч., 1/2, Д № 8087)_ЭЖД-52_26.02.13_12:10</v>
      </c>
    </row>
    <row r="63" spans="1:14" ht="25.5" x14ac:dyDescent="0.2">
      <c r="A63" s="7"/>
      <c r="B63" s="8" t="s">
        <v>82</v>
      </c>
      <c r="C63" s="8" t="s">
        <v>16</v>
      </c>
      <c r="D63" s="9" t="s">
        <v>19</v>
      </c>
      <c r="E63" s="10">
        <v>6</v>
      </c>
      <c r="F63" s="11">
        <v>46066</v>
      </c>
      <c r="G63" s="10">
        <v>3310</v>
      </c>
      <c r="H63" s="12">
        <v>0.50694444444444442</v>
      </c>
      <c r="I63" s="10" t="str">
        <f>_xlfn.CONCAT(Таблица1[[#This Row],[Группа]],"_",TEXT(Таблица1[[#This Row],[Дата]],"ГГ.ММ.ДД"),"_",TEXT(Таблица1[[#This Row],[Время]],"чч:мм"))</f>
        <v>ЭЖД-53_26.02.13_12:10</v>
      </c>
      <c r="J6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3" s="10"/>
      <c r="L63" t="str">
        <f>IFERROR(IF(SEARCH("курс",Таблица1[[#This Row],[Форма контроля]])&gt;=1,),"Ошибка")</f>
        <v>Ошибка</v>
      </c>
      <c r="M6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Физика (4/8 з.е., 144/288 ч., 1/2, Д № 8087)ЭЖД-53ошибка</v>
      </c>
      <c r="N6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Физика (4/8 з.е., 144/288 ч., 1/2, Д № 8087)_ЭЖД-53_26.02.13_12:10</v>
      </c>
    </row>
    <row r="64" spans="1:14" x14ac:dyDescent="0.2">
      <c r="A64" s="7"/>
      <c r="B64" s="8" t="s">
        <v>83</v>
      </c>
      <c r="C64" s="8" t="s">
        <v>16</v>
      </c>
      <c r="D64" s="9" t="s">
        <v>75</v>
      </c>
      <c r="E64" s="10">
        <v>3</v>
      </c>
      <c r="F64" s="11">
        <v>46073</v>
      </c>
      <c r="G64" s="10">
        <v>3311</v>
      </c>
      <c r="H64" s="12">
        <v>0.35416666666666669</v>
      </c>
      <c r="I64" s="10" t="str">
        <f>_xlfn.CONCAT(Таблица1[[#This Row],[Группа]],"_",TEXT(Таблица1[[#This Row],[Дата]],"ГГ.ММ.ДД"),"_",TEXT(Таблица1[[#This Row],[Время]],"чч:мм"))</f>
        <v>ЭЖД-55у_26.02.20_08:30</v>
      </c>
      <c r="J6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4" s="10"/>
      <c r="L64" t="str">
        <f>IFERROR(IF(SEARCH("курс",Таблица1[[#This Row],[Форма контроля]])&gt;=1,),"Ошибка")</f>
        <v>Ошибка</v>
      </c>
      <c r="M6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Химия (2 з.е., 72 ч., 1/1, Д № 7463)ЭЖД-55уошибка</v>
      </c>
      <c r="N6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Химия (2 з.е., 72 ч., 1/1, Д № 7463)_ЭЖД-55у_26.02.20_08:30</v>
      </c>
    </row>
    <row r="65" spans="1:14" x14ac:dyDescent="0.2">
      <c r="A65" s="7"/>
      <c r="B65" s="8" t="s">
        <v>84</v>
      </c>
      <c r="C65" s="8" t="s">
        <v>27</v>
      </c>
      <c r="D65" s="9" t="s">
        <v>75</v>
      </c>
      <c r="E65" s="10">
        <v>3</v>
      </c>
      <c r="F65" s="11">
        <v>46066</v>
      </c>
      <c r="G65" s="10">
        <v>3310</v>
      </c>
      <c r="H65" s="12">
        <v>0.35416666666666669</v>
      </c>
      <c r="I65" s="10" t="str">
        <f>_xlfn.CONCAT(Таблица1[[#This Row],[Группа]],"_",TEXT(Таблица1[[#This Row],[Дата]],"ГГ.ММ.ДД"),"_",TEXT(Таблица1[[#This Row],[Время]],"чч:мм"))</f>
        <v>ЭЖД-55у_26.02.13_08:30</v>
      </c>
      <c r="J6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5" s="10"/>
      <c r="L65" t="str">
        <f>IFERROR(IF(SEARCH("курс",Таблица1[[#This Row],[Форма контроля]])&gt;=1,),"Ошибка")</f>
        <v>Ошибка</v>
      </c>
      <c r="M6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Физика (6 з.е., 216 ч., 1/1, Д № 8587)ЭЖД-55уошибка</v>
      </c>
      <c r="N6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Физика (6 з.е., 216 ч., 1/1, Д № 8587)_ЭЖД-55у_26.02.13_08:30</v>
      </c>
    </row>
    <row r="66" spans="1:14" x14ac:dyDescent="0.2">
      <c r="A66" s="7"/>
      <c r="B66" s="8" t="s">
        <v>83</v>
      </c>
      <c r="C66" s="8" t="s">
        <v>16</v>
      </c>
      <c r="D66" s="9" t="s">
        <v>76</v>
      </c>
      <c r="E66" s="10">
        <v>6</v>
      </c>
      <c r="F66" s="11">
        <v>46073</v>
      </c>
      <c r="G66" s="10">
        <v>3311</v>
      </c>
      <c r="H66" s="12">
        <v>0.35416666666666669</v>
      </c>
      <c r="I66" s="10" t="str">
        <f>_xlfn.CONCAT(Таблица1[[#This Row],[Группа]],"_",TEXT(Таблица1[[#This Row],[Дата]],"ГГ.ММ.ДД"),"_",TEXT(Таблица1[[#This Row],[Время]],"чч:мм"))</f>
        <v>ЭЖД-56у_26.02.20_08:30</v>
      </c>
      <c r="J6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6" s="10"/>
      <c r="L66" t="str">
        <f>IFERROR(IF(SEARCH("курс",Таблица1[[#This Row],[Форма контроля]])&gt;=1,),"Ошибка")</f>
        <v>Ошибка</v>
      </c>
      <c r="M6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Химия (2 з.е., 72 ч., 1/1, Д № 7463)ЭЖД-56уошибка</v>
      </c>
      <c r="N6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Химия (2 з.е., 72 ч., 1/1, Д № 7463)_ЭЖД-56у_26.02.20_08:30</v>
      </c>
    </row>
    <row r="67" spans="1:14" x14ac:dyDescent="0.2">
      <c r="A67" s="7"/>
      <c r="B67" s="8" t="s">
        <v>84</v>
      </c>
      <c r="C67" s="8" t="s">
        <v>27</v>
      </c>
      <c r="D67" s="9" t="s">
        <v>76</v>
      </c>
      <c r="E67" s="10">
        <v>7</v>
      </c>
      <c r="F67" s="11">
        <v>46066</v>
      </c>
      <c r="G67" s="10">
        <v>3310</v>
      </c>
      <c r="H67" s="12">
        <v>0.50694444444444442</v>
      </c>
      <c r="I67" s="10" t="str">
        <f>_xlfn.CONCAT(Таблица1[[#This Row],[Группа]],"_",TEXT(Таблица1[[#This Row],[Дата]],"ГГ.ММ.ДД"),"_",TEXT(Таблица1[[#This Row],[Время]],"чч:мм"))</f>
        <v>ЭЖД-56у_26.02.13_12:10</v>
      </c>
      <c r="J6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7" s="10"/>
      <c r="L67" t="str">
        <f>IFERROR(IF(SEARCH("курс",Таблица1[[#This Row],[Форма контроля]])&gt;=1,),"Ошибка")</f>
        <v>Ошибка</v>
      </c>
      <c r="M6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Физика (6 з.е., 216 ч., 1/1, Д № 8587)ЭЖД-56уошибка</v>
      </c>
      <c r="N6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Физика (6 з.е., 216 ч., 1/1, Д № 8587)_ЭЖД-56у_26.02.13_12:10</v>
      </c>
    </row>
    <row r="68" spans="1:14" x14ac:dyDescent="0.2">
      <c r="A68" s="7"/>
      <c r="B68" s="8" t="s">
        <v>83</v>
      </c>
      <c r="C68" s="8" t="s">
        <v>16</v>
      </c>
      <c r="D68" s="9" t="s">
        <v>77</v>
      </c>
      <c r="E68" s="10">
        <v>4</v>
      </c>
      <c r="F68" s="11">
        <v>46073</v>
      </c>
      <c r="G68" s="10">
        <v>3311</v>
      </c>
      <c r="H68" s="12">
        <v>0.35416666666666669</v>
      </c>
      <c r="I68" s="10" t="str">
        <f>_xlfn.CONCAT(Таблица1[[#This Row],[Группа]],"_",TEXT(Таблица1[[#This Row],[Дата]],"ГГ.ММ.ДД"),"_",TEXT(Таблица1[[#This Row],[Время]],"чч:мм"))</f>
        <v>ЭЖД-54у_26.02.20_08:30</v>
      </c>
      <c r="J6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8" s="10"/>
      <c r="L68" t="str">
        <f>IFERROR(IF(SEARCH("курс",Таблица1[[#This Row],[Форма контроля]])&gt;=1,),"Ошибка")</f>
        <v>Ошибка</v>
      </c>
      <c r="M6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Химия (2 з.е., 72 ч., 1/1, Д № 7463)ЭЖД-54уошибка</v>
      </c>
      <c r="N6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Химия (2 з.е., 72 ч., 1/1, Д № 7463)_ЭЖД-54у_26.02.20_08:30</v>
      </c>
    </row>
    <row r="69" spans="1:14" x14ac:dyDescent="0.2">
      <c r="A69" s="7"/>
      <c r="B69" s="8" t="s">
        <v>84</v>
      </c>
      <c r="C69" s="8" t="s">
        <v>27</v>
      </c>
      <c r="D69" s="9" t="s">
        <v>77</v>
      </c>
      <c r="E69" s="10">
        <v>2</v>
      </c>
      <c r="F69" s="11">
        <v>46066</v>
      </c>
      <c r="G69" s="10">
        <v>3310</v>
      </c>
      <c r="H69" s="12">
        <v>0.35416666666666669</v>
      </c>
      <c r="I69" s="10" t="str">
        <f>_xlfn.CONCAT(Таблица1[[#This Row],[Группа]],"_",TEXT(Таблица1[[#This Row],[Дата]],"ГГ.ММ.ДД"),"_",TEXT(Таблица1[[#This Row],[Время]],"чч:мм"))</f>
        <v>ЭЖД-54у_26.02.13_08:30</v>
      </c>
      <c r="J6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69" s="10"/>
      <c r="L69" t="str">
        <f>IFERROR(IF(SEARCH("курс",Таблица1[[#This Row],[Форма контроля]])&gt;=1,),"Ошибка")</f>
        <v>Ошибка</v>
      </c>
      <c r="M6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Физика (6 з.е., 216 ч., 1/1, Д № 8587)ЭЖД-54уошибка</v>
      </c>
      <c r="N6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Физика (6 з.е., 216 ч., 1/1, Д № 8587)_ЭЖД-54у_26.02.13_08:30</v>
      </c>
    </row>
    <row r="70" spans="1:14" x14ac:dyDescent="0.2">
      <c r="A70" s="7"/>
      <c r="B70" s="8" t="s">
        <v>83</v>
      </c>
      <c r="C70" s="8" t="s">
        <v>16</v>
      </c>
      <c r="D70" s="17" t="s">
        <v>85</v>
      </c>
      <c r="E70" s="10">
        <v>6</v>
      </c>
      <c r="F70" s="11">
        <v>46073</v>
      </c>
      <c r="G70" s="10">
        <v>3311</v>
      </c>
      <c r="H70" s="12">
        <v>0.35416666666666669</v>
      </c>
      <c r="I70" s="10" t="str">
        <f>_xlfn.CONCAT(Таблица1[[#This Row],[Группа]],"_",TEXT(Таблица1[[#This Row],[Дата]],"ГГ.ММ.ДД"),"_",TEXT(Таблица1[[#This Row],[Время]],"чч:мм"))</f>
        <v xml:space="preserve"> ЭЖД-57у_26.02.20_08:30</v>
      </c>
      <c r="J7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0" s="10"/>
      <c r="L70" t="str">
        <f>IFERROR(IF(SEARCH("курс",Таблица1[[#This Row],[Форма контроля]])&gt;=1,),"Ошибка")</f>
        <v>Ошибка</v>
      </c>
      <c r="M7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Химия (2 з.е., 72 ч., 1/1, Д № 7463) ЭЖД-57уошибка</v>
      </c>
      <c r="N7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Химия (2 з.е., 72 ч., 1/1, Д № 7463)_ ЭЖД-57у_26.02.20_08:30</v>
      </c>
    </row>
    <row r="71" spans="1:14" x14ac:dyDescent="0.2">
      <c r="A71" s="7"/>
      <c r="B71" s="8" t="s">
        <v>84</v>
      </c>
      <c r="C71" s="8" t="s">
        <v>27</v>
      </c>
      <c r="D71" s="17" t="s">
        <v>85</v>
      </c>
      <c r="E71" s="10">
        <v>4</v>
      </c>
      <c r="F71" s="11">
        <v>46066</v>
      </c>
      <c r="G71" s="10">
        <v>3310</v>
      </c>
      <c r="H71" s="12">
        <v>0.35416666666666669</v>
      </c>
      <c r="I71" s="10" t="str">
        <f>_xlfn.CONCAT(Таблица1[[#This Row],[Группа]],"_",TEXT(Таблица1[[#This Row],[Дата]],"ГГ.ММ.ДД"),"_",TEXT(Таблица1[[#This Row],[Время]],"чч:мм"))</f>
        <v xml:space="preserve"> ЭЖД-57у_26.02.13_08:30</v>
      </c>
      <c r="J7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1" s="10"/>
      <c r="L71" t="str">
        <f>IFERROR(IF(SEARCH("курс",Таблица1[[#This Row],[Форма контроля]])&gt;=1,),"Ошибка")</f>
        <v>Ошибка</v>
      </c>
      <c r="M7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Физика (6 з.е., 216 ч., 1/1, Д № 8587) ЭЖД-57уошибка</v>
      </c>
      <c r="N7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Физика (6 з.е., 216 ч., 1/1, Д № 8587)_ ЭЖД-57у_26.02.13_08:30</v>
      </c>
    </row>
    <row r="72" spans="1:14" ht="25.5" x14ac:dyDescent="0.2">
      <c r="A72" s="7"/>
      <c r="B72" s="8" t="s">
        <v>86</v>
      </c>
      <c r="C72" s="8" t="s">
        <v>16</v>
      </c>
      <c r="D72" s="9" t="s">
        <v>51</v>
      </c>
      <c r="E72" s="10">
        <v>2</v>
      </c>
      <c r="F72" s="11">
        <v>46065</v>
      </c>
      <c r="G72" s="10">
        <v>9108</v>
      </c>
      <c r="H72" s="12">
        <v>0.57986111111111116</v>
      </c>
      <c r="I72" s="10" t="str">
        <f>_xlfn.CONCAT(Таблица1[[#This Row],[Группа]],"_",TEXT(Таблица1[[#This Row],[Дата]],"ГГ.ММ.ДД"),"_",TEXT(Таблица1[[#This Row],[Время]],"чч:мм"))</f>
        <v>Эб-51_26.02.12_13:55</v>
      </c>
      <c r="J7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2" s="10"/>
      <c r="L72" t="str">
        <f>IFERROR(IF(SEARCH("курс",Таблица1[[#This Row],[Форма контроля]])&gt;=1,),"Ошибка")</f>
        <v>Ошибка</v>
      </c>
      <c r="M7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российской государственности (2 з.е., 72 ч., 1/1, Д № 7511)Эб-51ошибка</v>
      </c>
      <c r="N7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российской государственности (2 з.е., 72 ч., 1/1, Д № 7511)_Эб-51_26.02.12_13:55</v>
      </c>
    </row>
    <row r="73" spans="1:14" ht="25.5" x14ac:dyDescent="0.2">
      <c r="A73" s="7"/>
      <c r="B73" s="8" t="s">
        <v>86</v>
      </c>
      <c r="C73" s="8" t="s">
        <v>16</v>
      </c>
      <c r="D73" s="9" t="s">
        <v>53</v>
      </c>
      <c r="E73" s="10">
        <v>3</v>
      </c>
      <c r="F73" s="11">
        <v>46065</v>
      </c>
      <c r="G73" s="10">
        <v>9108</v>
      </c>
      <c r="H73" s="12">
        <v>0.57986111111111105</v>
      </c>
      <c r="I73" s="10" t="str">
        <f>_xlfn.CONCAT(Таблица1[[#This Row],[Группа]],"_",TEXT(Таблица1[[#This Row],[Дата]],"ГГ.ММ.ДД"),"_",TEXT(Таблица1[[#This Row],[Время]],"чч:мм"))</f>
        <v>Мб-51_26.02.12_13:55</v>
      </c>
      <c r="J7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3" s="10"/>
      <c r="L73" t="str">
        <f>IFERROR(IF(SEARCH("курс",Таблица1[[#This Row],[Форма контроля]])&gt;=1,),"Ошибка")</f>
        <v>Ошибка</v>
      </c>
      <c r="M7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российской государственности (2 з.е., 72 ч., 1/1, Д № 7511)Мб-51ошибка</v>
      </c>
      <c r="N7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российской государственности (2 з.е., 72 ч., 1/1, Д № 7511)_Мб-51_26.02.12_13:55</v>
      </c>
    </row>
    <row r="74" spans="1:14" ht="25.5" x14ac:dyDescent="0.2">
      <c r="A74" s="7"/>
      <c r="B74" s="8" t="s">
        <v>86</v>
      </c>
      <c r="C74" s="8" t="s">
        <v>16</v>
      </c>
      <c r="D74" s="9" t="s">
        <v>54</v>
      </c>
      <c r="E74" s="10">
        <v>4</v>
      </c>
      <c r="F74" s="11">
        <v>46065</v>
      </c>
      <c r="G74" s="10">
        <v>9108</v>
      </c>
      <c r="H74" s="12">
        <v>0.57986111111111105</v>
      </c>
      <c r="I74" s="10" t="str">
        <f>_xlfn.CONCAT(Таблица1[[#This Row],[Группа]],"_",TEXT(Таблица1[[#This Row],[Дата]],"ГГ.ММ.ДД"),"_",TEXT(Таблица1[[#This Row],[Время]],"чч:мм"))</f>
        <v>Мб-52_26.02.12_13:55</v>
      </c>
      <c r="J7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4" s="10"/>
      <c r="L74" t="str">
        <f>IFERROR(IF(SEARCH("курс",Таблица1[[#This Row],[Форма контроля]])&gt;=1,),"Ошибка")</f>
        <v>Ошибка</v>
      </c>
      <c r="M7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российской государственности (2 з.е., 72 ч., 1/1, Д № 7511)Мб-52ошибка</v>
      </c>
      <c r="N7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российской государственности (2 з.е., 72 ч., 1/1, Д № 7511)_Мб-52_26.02.12_13:55</v>
      </c>
    </row>
    <row r="75" spans="1:14" ht="25.5" x14ac:dyDescent="0.2">
      <c r="A75" s="7"/>
      <c r="B75" s="8" t="s">
        <v>86</v>
      </c>
      <c r="C75" s="8" t="s">
        <v>16</v>
      </c>
      <c r="D75" s="9" t="s">
        <v>87</v>
      </c>
      <c r="E75" s="10">
        <v>2</v>
      </c>
      <c r="F75" s="11">
        <v>46065</v>
      </c>
      <c r="G75" s="10">
        <v>9108</v>
      </c>
      <c r="H75" s="12">
        <v>0.57986111111111116</v>
      </c>
      <c r="I75" s="10" t="str">
        <f>_xlfn.CONCAT(Таблица1[[#This Row],[Группа]],"_",TEXT(Таблица1[[#This Row],[Дата]],"ГГ.ММ.ДД"),"_",TEXT(Таблица1[[#This Row],[Время]],"чч:мм"))</f>
        <v>УПб-51_26.02.12_13:55</v>
      </c>
      <c r="J7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5" s="10"/>
      <c r="L75" t="str">
        <f>IFERROR(IF(SEARCH("курс",Таблица1[[#This Row],[Форма контроля]])&gt;=1,),"Ошибка")</f>
        <v>Ошибка</v>
      </c>
      <c r="M7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российской государственности (2 з.е., 72 ч., 1/1, Д № 7511)УПб-51ошибка</v>
      </c>
      <c r="N7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российской государственности (2 з.е., 72 ч., 1/1, Д № 7511)_УПб-51_26.02.12_13:55</v>
      </c>
    </row>
    <row r="76" spans="1:14" ht="25.5" x14ac:dyDescent="0.2">
      <c r="A76" s="7"/>
      <c r="B76" s="8" t="s">
        <v>88</v>
      </c>
      <c r="C76" s="8" t="s">
        <v>16</v>
      </c>
      <c r="D76" s="9" t="s">
        <v>20</v>
      </c>
      <c r="E76" s="10">
        <v>6</v>
      </c>
      <c r="F76" s="11">
        <v>46065</v>
      </c>
      <c r="G76" s="10">
        <v>9108</v>
      </c>
      <c r="H76" s="12">
        <v>0.64930555555555558</v>
      </c>
      <c r="I76" s="10" t="str">
        <f>_xlfn.CONCAT(Таблица1[[#This Row],[Группа]],"_",TEXT(Таблица1[[#This Row],[Дата]],"ГГ.ММ.ДД"),"_",TEXT(Таблица1[[#This Row],[Время]],"чч:мм"))</f>
        <v>ЭЖД-51_26.02.12_15:35</v>
      </c>
      <c r="J7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6" s="10"/>
      <c r="L76" t="str">
        <f>IFERROR(IF(SEARCH("курс",Таблица1[[#This Row],[Форма контроля]])&gt;=1,),"Ошибка")</f>
        <v>Ошибка</v>
      </c>
      <c r="M7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российской государственности (2 з.е., 72 ч., 1/1, Д № 7394)ЭЖД-51ошибка</v>
      </c>
      <c r="N7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российской государственности (2 з.е., 72 ч., 1/1, Д № 7394)_ЭЖД-51_26.02.12_15:35</v>
      </c>
    </row>
    <row r="77" spans="1:14" ht="25.5" x14ac:dyDescent="0.2">
      <c r="A77" s="7"/>
      <c r="B77" s="8" t="s">
        <v>88</v>
      </c>
      <c r="C77" s="8" t="s">
        <v>16</v>
      </c>
      <c r="D77" s="9" t="s">
        <v>17</v>
      </c>
      <c r="E77" s="10">
        <v>3</v>
      </c>
      <c r="F77" s="11">
        <v>46065</v>
      </c>
      <c r="G77" s="10">
        <v>9108</v>
      </c>
      <c r="H77" s="12">
        <v>0.64930555555555558</v>
      </c>
      <c r="I77" s="10" t="str">
        <f>_xlfn.CONCAT(Таблица1[[#This Row],[Группа]],"_",TEXT(Таблица1[[#This Row],[Дата]],"ГГ.ММ.ДД"),"_",TEXT(Таблица1[[#This Row],[Время]],"чч:мм"))</f>
        <v>ЭЖД-52_26.02.12_15:35</v>
      </c>
      <c r="J7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7" s="10"/>
      <c r="L77" t="str">
        <f>IFERROR(IF(SEARCH("курс",Таблица1[[#This Row],[Форма контроля]])&gt;=1,),"Ошибка")</f>
        <v>Ошибка</v>
      </c>
      <c r="M7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российской государственности (2 з.е., 72 ч., 1/1, Д № 7394)ЭЖД-52ошибка</v>
      </c>
      <c r="N7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российской государственности (2 з.е., 72 ч., 1/1, Д № 7394)_ЭЖД-52_26.02.12_15:35</v>
      </c>
    </row>
    <row r="78" spans="1:14" ht="25.5" x14ac:dyDescent="0.2">
      <c r="A78" s="7"/>
      <c r="B78" s="8" t="s">
        <v>88</v>
      </c>
      <c r="C78" s="8" t="s">
        <v>16</v>
      </c>
      <c r="D78" s="9" t="s">
        <v>19</v>
      </c>
      <c r="E78" s="10">
        <v>1</v>
      </c>
      <c r="F78" s="11">
        <v>46065</v>
      </c>
      <c r="G78" s="10">
        <v>9108</v>
      </c>
      <c r="H78" s="12">
        <v>0.57986111111111105</v>
      </c>
      <c r="I78" s="10" t="str">
        <f>_xlfn.CONCAT(Таблица1[[#This Row],[Группа]],"_",TEXT(Таблица1[[#This Row],[Дата]],"ГГ.ММ.ДД"),"_",TEXT(Таблица1[[#This Row],[Время]],"чч:мм"))</f>
        <v>ЭЖД-53_26.02.12_13:55</v>
      </c>
      <c r="J7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8" s="10"/>
      <c r="L78" t="str">
        <f>IFERROR(IF(SEARCH("курс",Таблица1[[#This Row],[Форма контроля]])&gt;=1,),"Ошибка")</f>
        <v>Ошибка</v>
      </c>
      <c r="M7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российской государственности (2 з.е., 72 ч., 1/1, Д № 7394)ЭЖД-53ошибка</v>
      </c>
      <c r="N7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российской государственности (2 з.е., 72 ч., 1/1, Д № 7394)_ЭЖД-53_26.02.12_13:55</v>
      </c>
    </row>
    <row r="79" spans="1:14" ht="25.5" x14ac:dyDescent="0.2">
      <c r="A79" s="7"/>
      <c r="B79" s="8" t="s">
        <v>89</v>
      </c>
      <c r="C79" s="8" t="s">
        <v>16</v>
      </c>
      <c r="D79" s="9" t="s">
        <v>75</v>
      </c>
      <c r="E79" s="10">
        <v>1</v>
      </c>
      <c r="F79" s="11">
        <v>46065</v>
      </c>
      <c r="G79" s="10">
        <v>9108</v>
      </c>
      <c r="H79" s="12">
        <v>0.64930555555555558</v>
      </c>
      <c r="I79" s="10" t="str">
        <f>_xlfn.CONCAT(Таблица1[[#This Row],[Группа]],"_",TEXT(Таблица1[[#This Row],[Дата]],"ГГ.ММ.ДД"),"_",TEXT(Таблица1[[#This Row],[Время]],"чч:мм"))</f>
        <v>ЭЖД-55у_26.02.12_15:35</v>
      </c>
      <c r="J7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79" s="10"/>
      <c r="L79" t="str">
        <f>IFERROR(IF(SEARCH("курс",Таблица1[[#This Row],[Форма контроля]])&gt;=1,),"Ошибка")</f>
        <v>Ошибка</v>
      </c>
      <c r="M7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российской государственности (2 з.е., 72 ч., 1/1, Д № 8515)ЭЖД-55уошибка</v>
      </c>
      <c r="N7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российской государственности (2 з.е., 72 ч., 1/1, Д № 8515)_ЭЖД-55у_26.02.12_15:35</v>
      </c>
    </row>
    <row r="80" spans="1:14" ht="25.5" x14ac:dyDescent="0.2">
      <c r="A80" s="7"/>
      <c r="B80" s="8" t="s">
        <v>89</v>
      </c>
      <c r="C80" s="8" t="s">
        <v>16</v>
      </c>
      <c r="D80" s="9" t="s">
        <v>77</v>
      </c>
      <c r="E80" s="10">
        <v>1</v>
      </c>
      <c r="F80" s="11">
        <v>46065</v>
      </c>
      <c r="G80" s="10">
        <v>9108</v>
      </c>
      <c r="H80" s="12">
        <v>0.64930555555555558</v>
      </c>
      <c r="I80" s="10" t="str">
        <f>_xlfn.CONCAT(Таблица1[[#This Row],[Группа]],"_",TEXT(Таблица1[[#This Row],[Дата]],"ГГ.ММ.ДД"),"_",TEXT(Таблица1[[#This Row],[Время]],"чч:мм"))</f>
        <v>ЭЖД-54у_26.02.12_15:35</v>
      </c>
      <c r="J8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0" s="10"/>
      <c r="L80" t="str">
        <f>IFERROR(IF(SEARCH("курс",Таблица1[[#This Row],[Форма контроля]])&gt;=1,),"Ошибка")</f>
        <v>Ошибка</v>
      </c>
      <c r="M8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российской государственности (2 з.е., 72 ч., 1/1, Д № 8515)ЭЖД-54уошибка</v>
      </c>
      <c r="N8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российской государственности (2 з.е., 72 ч., 1/1, Д № 8515)_ЭЖД-54у_26.02.12_15:35</v>
      </c>
    </row>
    <row r="81" spans="1:14" ht="25.5" x14ac:dyDescent="0.2">
      <c r="A81" s="7"/>
      <c r="B81" s="8" t="s">
        <v>90</v>
      </c>
      <c r="C81" s="8" t="s">
        <v>27</v>
      </c>
      <c r="D81" s="9" t="s">
        <v>75</v>
      </c>
      <c r="E81" s="10">
        <v>1</v>
      </c>
      <c r="F81" s="11">
        <v>46063</v>
      </c>
      <c r="G81" s="10">
        <v>5101</v>
      </c>
      <c r="H81" s="12">
        <v>0.57986111111111105</v>
      </c>
      <c r="I81" s="10" t="str">
        <f>_xlfn.CONCAT(Таблица1[[#This Row],[Группа]],"_",TEXT(Таблица1[[#This Row],[Дата]],"ГГ.ММ.ДД"),"_",TEXT(Таблица1[[#This Row],[Время]],"чч:мм"))</f>
        <v>ЭЖД-55у_26.02.10_13:55</v>
      </c>
      <c r="J8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1" s="10"/>
      <c r="L81" t="str">
        <f>IFERROR(IF(SEARCH("курс",Таблица1[[#This Row],[Форма контроля]])&gt;=1,),"Ошибка")</f>
        <v>Ошибка</v>
      </c>
      <c r="M8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(5/11 з.е., 180/396 ч., 1/2, Д № 8589)ЭЖД-55уошибка</v>
      </c>
      <c r="N8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(5/11 з.е., 180/396 ч., 1/2, Д № 8589)_ЭЖД-55у_26.02.10_13:55</v>
      </c>
    </row>
    <row r="82" spans="1:14" ht="25.5" x14ac:dyDescent="0.2">
      <c r="A82" s="7"/>
      <c r="B82" s="8" t="s">
        <v>90</v>
      </c>
      <c r="C82" s="8" t="s">
        <v>27</v>
      </c>
      <c r="D82" s="9" t="s">
        <v>77</v>
      </c>
      <c r="E82" s="10">
        <v>1</v>
      </c>
      <c r="F82" s="11">
        <v>46063</v>
      </c>
      <c r="G82" s="10">
        <v>5101</v>
      </c>
      <c r="H82" s="12">
        <v>0.57986111111111105</v>
      </c>
      <c r="I82" s="10" t="str">
        <f>_xlfn.CONCAT(Таблица1[[#This Row],[Группа]],"_",TEXT(Таблица1[[#This Row],[Дата]],"ГГ.ММ.ДД"),"_",TEXT(Таблица1[[#This Row],[Время]],"чч:мм"))</f>
        <v>ЭЖД-54у_26.02.10_13:55</v>
      </c>
      <c r="J8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2" s="10"/>
      <c r="L82" t="str">
        <f>IFERROR(IF(SEARCH("курс",Таблица1[[#This Row],[Форма контроля]])&gt;=1,),"Ошибка")</f>
        <v>Ошибка</v>
      </c>
      <c r="M8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(5/11 з.е., 180/396 ч., 1/2, Д № 8589)ЭЖД-54уошибка</v>
      </c>
      <c r="N8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(5/11 з.е., 180/396 ч., 1/2, Д № 8589)_ЭЖД-54у_26.02.10_13:55</v>
      </c>
    </row>
    <row r="83" spans="1:14" ht="25.5" x14ac:dyDescent="0.2">
      <c r="A83" s="7"/>
      <c r="B83" s="8" t="s">
        <v>90</v>
      </c>
      <c r="C83" s="8" t="s">
        <v>27</v>
      </c>
      <c r="D83" s="17" t="s">
        <v>85</v>
      </c>
      <c r="E83" s="10">
        <v>2</v>
      </c>
      <c r="F83" s="11">
        <v>46063</v>
      </c>
      <c r="G83" s="10">
        <v>5101</v>
      </c>
      <c r="H83" s="12">
        <v>0.57986111111111105</v>
      </c>
      <c r="I83" s="10" t="str">
        <f>_xlfn.CONCAT(Таблица1[[#This Row],[Группа]],"_",TEXT(Таблица1[[#This Row],[Дата]],"ГГ.ММ.ДД"),"_",TEXT(Таблица1[[#This Row],[Время]],"чч:мм"))</f>
        <v xml:space="preserve"> ЭЖД-57у_26.02.10_13:55</v>
      </c>
      <c r="J8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3" s="10"/>
      <c r="L83" t="str">
        <f>IFERROR(IF(SEARCH("курс",Таблица1[[#This Row],[Форма контроля]])&gt;=1,),"Ошибка")</f>
        <v>Ошибка</v>
      </c>
      <c r="M8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(5/11 з.е., 180/396 ч., 1/2, Д № 8589) ЭЖД-57уошибка</v>
      </c>
      <c r="N8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(5/11 з.е., 180/396 ч., 1/2, Д № 8589)_ ЭЖД-57у_26.02.10_13:55</v>
      </c>
    </row>
    <row r="84" spans="1:14" ht="25.5" x14ac:dyDescent="0.2">
      <c r="A84" s="7"/>
      <c r="B84" s="8" t="s">
        <v>91</v>
      </c>
      <c r="C84" s="8" t="s">
        <v>27</v>
      </c>
      <c r="D84" s="9" t="s">
        <v>92</v>
      </c>
      <c r="E84" s="10">
        <v>1</v>
      </c>
      <c r="F84" s="11">
        <v>46065</v>
      </c>
      <c r="G84" s="10">
        <v>9203</v>
      </c>
      <c r="H84" s="12">
        <v>0.42708333333333331</v>
      </c>
      <c r="I84" s="10" t="str">
        <f>_xlfn.CONCAT(Таблица1[[#This Row],[Группа]],"_",TEXT(Таблица1[[#This Row],[Дата]],"ГГ.ММ.ДД"),"_",TEXT(Таблица1[[#This Row],[Время]],"чч:мм"))</f>
        <v>УПб-41_26.02.12_10:15</v>
      </c>
      <c r="J8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4" s="10"/>
      <c r="L84" t="str">
        <f>IFERROR(IF(SEARCH("курс",Таблица1[[#This Row],[Форма контроля]])&gt;=1,),"Ошибка")</f>
        <v>Ошибка</v>
      </c>
      <c r="M8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предприятий (организаций) (5 з.е., 180 ч., 1/1, Д № 9022)УПб-41ошибка</v>
      </c>
      <c r="N8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предприятий (организаций) (5 з.е., 180 ч., 1/1, Д № 9022)_УПб-41_26.02.12_10:15</v>
      </c>
    </row>
    <row r="85" spans="1:14" ht="25.5" x14ac:dyDescent="0.2">
      <c r="A85" s="7"/>
      <c r="B85" s="8" t="s">
        <v>93</v>
      </c>
      <c r="C85" s="8" t="s">
        <v>27</v>
      </c>
      <c r="D85" s="9" t="s">
        <v>94</v>
      </c>
      <c r="E85" s="10">
        <v>1</v>
      </c>
      <c r="F85" s="11">
        <v>46065</v>
      </c>
      <c r="G85" s="10" t="s">
        <v>38</v>
      </c>
      <c r="H85" s="12">
        <v>0.64930555555555558</v>
      </c>
      <c r="I85" s="10" t="str">
        <f>_xlfn.CONCAT(Таблица1[[#This Row],[Группа]],"_",TEXT(Таблица1[[#This Row],[Дата]],"ГГ.ММ.ДД"),"_",TEXT(Таблица1[[#This Row],[Время]],"чч:мм"))</f>
        <v>Эб-21оз_26.02.12_15:35</v>
      </c>
      <c r="J8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5" s="10"/>
      <c r="L85" t="str">
        <f>IFERROR(IF(SEARCH("курс",Таблица1[[#This Row],[Форма контроля]])&gt;=1,),"Ошибка")</f>
        <v>Ошибка</v>
      </c>
      <c r="M8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Эконометрика (5/8 з.е., 180/288 ч., 2/2, Д № 5745)Эб-21озошибка</v>
      </c>
      <c r="N8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Эконометрика (5/8 з.е., 180/288 ч., 2/2, Д № 5745)_Эб-21оз_26.02.12_15:35</v>
      </c>
    </row>
    <row r="86" spans="1:14" ht="25.5" x14ac:dyDescent="0.2">
      <c r="A86" s="7"/>
      <c r="B86" s="8" t="s">
        <v>91</v>
      </c>
      <c r="C86" s="8" t="s">
        <v>27</v>
      </c>
      <c r="D86" s="9" t="s">
        <v>28</v>
      </c>
      <c r="E86" s="10">
        <v>1</v>
      </c>
      <c r="F86" s="11">
        <v>46065</v>
      </c>
      <c r="G86" s="10">
        <v>9203</v>
      </c>
      <c r="H86" s="12">
        <v>0.42708333333333331</v>
      </c>
      <c r="I86" s="10" t="str">
        <f>_xlfn.CONCAT(Таблица1[[#This Row],[Группа]],"_",TEXT(Таблица1[[#This Row],[Дата]],"ГГ.ММ.ДД"),"_",TEXT(Таблица1[[#This Row],[Время]],"чч:мм"))</f>
        <v>ЭМб-41_26.02.12_10:15</v>
      </c>
      <c r="J8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6" s="10"/>
      <c r="L86" t="str">
        <f>IFERROR(IF(SEARCH("курс",Таблица1[[#This Row],[Форма контроля]])&gt;=1,),"Ошибка")</f>
        <v>Ошибка</v>
      </c>
      <c r="M8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предприятий (организаций) (5 з.е., 180 ч., 1/1, Д № 9022)ЭМб-41ошибка</v>
      </c>
      <c r="N8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предприятий (организаций) (5 з.е., 180 ч., 1/1, Д № 9022)_ЭМб-41_26.02.12_10:15</v>
      </c>
    </row>
    <row r="87" spans="1:14" ht="25.5" x14ac:dyDescent="0.2">
      <c r="A87" s="7"/>
      <c r="B87" s="8" t="s">
        <v>95</v>
      </c>
      <c r="C87" s="8" t="s">
        <v>27</v>
      </c>
      <c r="D87" s="9" t="s">
        <v>37</v>
      </c>
      <c r="E87" s="10">
        <v>6</v>
      </c>
      <c r="F87" s="11">
        <v>46072</v>
      </c>
      <c r="G87" s="10" t="s">
        <v>47</v>
      </c>
      <c r="H87" s="12">
        <v>0.71875</v>
      </c>
      <c r="I87" s="10" t="str">
        <f>_xlfn.CONCAT(Таблица1[[#This Row],[Группа]],"_",TEXT(Таблица1[[#This Row],[Дата]],"ГГ.ММ.ДД"),"_",TEXT(Таблица1[[#This Row],[Время]],"чч:мм"))</f>
        <v>ЭМУб-41оз_26.02.19_17:15</v>
      </c>
      <c r="J8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7" s="10"/>
      <c r="L87" t="str">
        <f>IFERROR(IF(SEARCH("курс",Таблица1[[#This Row],[Форма контроля]])&gt;=1,),"Ошибка")</f>
        <v>Ошибка</v>
      </c>
      <c r="M8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предприятий (организаций) (5 з.е., 180 ч., 1/1, Д № 8966)ЭМУб-41озошибка</v>
      </c>
      <c r="N8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предприятий (организаций) (5 з.е., 180 ч., 1/1, Д № 8966)_ЭМУб-41оз_26.02.19_17:15</v>
      </c>
    </row>
    <row r="88" spans="1:14" ht="38.25" x14ac:dyDescent="0.2">
      <c r="A88" s="7"/>
      <c r="B88" s="8" t="s">
        <v>96</v>
      </c>
      <c r="C88" s="8" t="s">
        <v>16</v>
      </c>
      <c r="D88" s="9" t="s">
        <v>51</v>
      </c>
      <c r="E88" s="10">
        <v>1</v>
      </c>
      <c r="F88" s="11">
        <v>46070</v>
      </c>
      <c r="G88" s="10">
        <v>5210</v>
      </c>
      <c r="H88" s="12">
        <v>0.50694444444444442</v>
      </c>
      <c r="I88" s="10" t="str">
        <f>_xlfn.CONCAT(Таблица1[[#This Row],[Группа]],"_",TEXT(Таблица1[[#This Row],[Дата]],"ГГ.ММ.ДД"),"_",TEXT(Таблица1[[#This Row],[Время]],"чч:мм"))</f>
        <v>Эб-51_26.02.17_12:10</v>
      </c>
      <c r="J8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8" s="10"/>
      <c r="L88" t="str">
        <f>IFERROR(IF(SEARCH("курс",Таблица1[[#This Row],[Форма контроля]])&gt;=1,),"Ошибка")</f>
        <v>Ошибка</v>
      </c>
      <c r="M8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(36/328 ч., 1/6, Д № 7528)Эб-51ошибка</v>
      </c>
      <c r="N8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(36/328 ч., 1/6, Д № 7528)_Эб-51_26.02.17_12:10</v>
      </c>
    </row>
    <row r="89" spans="1:14" ht="25.5" x14ac:dyDescent="0.2">
      <c r="A89" s="7"/>
      <c r="B89" s="8" t="s">
        <v>97</v>
      </c>
      <c r="C89" s="8" t="s">
        <v>16</v>
      </c>
      <c r="D89" s="9" t="s">
        <v>51</v>
      </c>
      <c r="E89" s="10">
        <v>1</v>
      </c>
      <c r="F89" s="11">
        <v>46070</v>
      </c>
      <c r="G89" s="10">
        <v>5210</v>
      </c>
      <c r="H89" s="12">
        <v>0.57986111111111105</v>
      </c>
      <c r="I89" s="10" t="str">
        <f>_xlfn.CONCAT(Таблица1[[#This Row],[Группа]],"_",TEXT(Таблица1[[#This Row],[Дата]],"ГГ.ММ.ДД"),"_",TEXT(Таблица1[[#This Row],[Время]],"чч:мм"))</f>
        <v>Эб-51_26.02.17_13:55</v>
      </c>
      <c r="J8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89" s="10"/>
      <c r="L89" t="str">
        <f>IFERROR(IF(SEARCH("курс",Таблица1[[#This Row],[Форма контроля]])&gt;=1,),"Ошибка")</f>
        <v>Ошибка</v>
      </c>
      <c r="M8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Физическая культура и спорт (1/2 з.е., 36/72 ч., 1/2, Д № 7508)Эб-51ошибка</v>
      </c>
      <c r="N8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Физическая культура и спорт (1/2 з.е., 36/72 ч., 1/2, Д № 7508)_Эб-51_26.02.17_13:55</v>
      </c>
    </row>
    <row r="90" spans="1:14" ht="38.25" x14ac:dyDescent="0.2">
      <c r="A90" s="7"/>
      <c r="B90" s="8" t="s">
        <v>22</v>
      </c>
      <c r="C90" s="8" t="s">
        <v>16</v>
      </c>
      <c r="D90" s="9" t="s">
        <v>17</v>
      </c>
      <c r="E90" s="10">
        <v>2</v>
      </c>
      <c r="F90" s="11">
        <v>46070</v>
      </c>
      <c r="G90" s="10">
        <v>5210</v>
      </c>
      <c r="H90" s="12">
        <v>0.42708333333333331</v>
      </c>
      <c r="I90" s="10" t="str">
        <f>_xlfn.CONCAT(Таблица1[[#This Row],[Группа]],"_",TEXT(Таблица1[[#This Row],[Дата]],"ГГ.ММ.ДД"),"_",TEXT(Таблица1[[#This Row],[Время]],"чч:мм"))</f>
        <v>ЭЖД-52_26.02.17_10:15</v>
      </c>
      <c r="J9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0" s="10"/>
      <c r="L90" t="str">
        <f>IFERROR(IF(SEARCH("курс",Таблица1[[#This Row],[Форма контроля]])&gt;=1,),"Ошибка")</f>
        <v>Ошибка</v>
      </c>
      <c r="M9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(36/328 ч., 1/6, Д № 7444)ЭЖД-52ошибка</v>
      </c>
      <c r="N9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(36/328 ч., 1/6, Д № 7444)_ЭЖД-52_26.02.17_10:15</v>
      </c>
    </row>
    <row r="91" spans="1:14" ht="25.5" x14ac:dyDescent="0.2">
      <c r="A91" s="7"/>
      <c r="B91" s="8" t="s">
        <v>21</v>
      </c>
      <c r="C91" s="8" t="s">
        <v>16</v>
      </c>
      <c r="D91" s="9" t="s">
        <v>17</v>
      </c>
      <c r="E91" s="10">
        <v>2</v>
      </c>
      <c r="F91" s="11">
        <v>46070</v>
      </c>
      <c r="G91" s="10">
        <v>5210</v>
      </c>
      <c r="H91" s="12">
        <v>0.50694444444444442</v>
      </c>
      <c r="I91" s="10" t="str">
        <f>_xlfn.CONCAT(Таблица1[[#This Row],[Группа]],"_",TEXT(Таблица1[[#This Row],[Дата]],"ГГ.ММ.ДД"),"_",TEXT(Таблица1[[#This Row],[Время]],"чч:мм"))</f>
        <v>ЭЖД-52_26.02.17_12:10</v>
      </c>
      <c r="J9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1" s="10"/>
      <c r="L91" t="str">
        <f>IFERROR(IF(SEARCH("курс",Таблица1[[#This Row],[Форма контроля]])&gt;=1,),"Ошибка")</f>
        <v>Ошибка</v>
      </c>
      <c r="M9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Физическая культура и спорт (1/2 з.е., 36/72 ч., 1/2, Д № 7393)ЭЖД-52ошибка</v>
      </c>
      <c r="N9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Физическая культура и спорт (1/2 з.е., 36/72 ч., 1/2, Д № 7393)_ЭЖД-52_26.02.17_12:10</v>
      </c>
    </row>
    <row r="92" spans="1:14" ht="38.25" x14ac:dyDescent="0.2">
      <c r="A92" s="7"/>
      <c r="B92" s="8" t="s">
        <v>98</v>
      </c>
      <c r="C92" s="8" t="s">
        <v>16</v>
      </c>
      <c r="D92" s="9" t="s">
        <v>65</v>
      </c>
      <c r="E92" s="10">
        <v>1</v>
      </c>
      <c r="F92" s="11">
        <v>46062</v>
      </c>
      <c r="G92" s="10">
        <v>9410</v>
      </c>
      <c r="H92" s="12">
        <v>0.35416666666666669</v>
      </c>
      <c r="I92" s="10" t="str">
        <f>_xlfn.CONCAT(Таблица1[[#This Row],[Группа]],"_",TEXT(Таблица1[[#This Row],[Дата]],"ГГ.ММ.ДД"),"_",TEXT(Таблица1[[#This Row],[Время]],"чч:мм"))</f>
        <v>ЭЖД-21_26.02.09_08:30</v>
      </c>
      <c r="J9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2" s="10"/>
      <c r="L92" t="str">
        <f>IFERROR(IF(SEARCH("курс",Таблица1[[#This Row],[Форма контроля]])&gt;=1,),"Ошибка")</f>
        <v>Ошибка</v>
      </c>
      <c r="M9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Лабораторный практикум "Организация движения поездов" (2/5 з.е., 72/180 ч., 1/2, Д № 4798)ЭЖД-21ошибка</v>
      </c>
      <c r="N9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Лабораторный практикум "Организация движения поездов" (2/5 з.е., 72/180 ч., 1/2, Д № 4798)_ЭЖД-21_26.02.09_08:30</v>
      </c>
    </row>
    <row r="93" spans="1:14" ht="25.5" x14ac:dyDescent="0.2">
      <c r="A93" s="7"/>
      <c r="B93" s="8" t="s">
        <v>99</v>
      </c>
      <c r="C93" s="8" t="s">
        <v>27</v>
      </c>
      <c r="D93" s="9" t="s">
        <v>51</v>
      </c>
      <c r="E93" s="10">
        <v>1</v>
      </c>
      <c r="F93" s="11">
        <v>46064</v>
      </c>
      <c r="G93" s="10">
        <v>5304</v>
      </c>
      <c r="H93" s="12">
        <v>0.64930555555555558</v>
      </c>
      <c r="I93" s="10" t="str">
        <f>_xlfn.CONCAT(Таблица1[[#This Row],[Группа]],"_",TEXT(Таблица1[[#This Row],[Дата]],"ГГ.ММ.ДД"),"_",TEXT(Таблица1[[#This Row],[Время]],"чч:мм"))</f>
        <v>Эб-51_26.02.11_15:35</v>
      </c>
      <c r="J9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3" s="10"/>
      <c r="L93" t="str">
        <f>IFERROR(IF(SEARCH("курс",Таблица1[[#This Row],[Форма контроля]])&gt;=1,),"Ошибка")</f>
        <v>Ошибка</v>
      </c>
      <c r="M9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Безопасность жизнедеятельности (4 з.е., 144 ч., 1/1, Д № 7507)Эб-51ошибка</v>
      </c>
      <c r="N9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Безопасность жизнедеятельности (4 з.е., 144 ч., 1/1, Д № 7507)_Эб-51_26.02.11_15:35</v>
      </c>
    </row>
    <row r="94" spans="1:14" ht="25.5" x14ac:dyDescent="0.2">
      <c r="A94" s="7"/>
      <c r="B94" s="8" t="s">
        <v>99</v>
      </c>
      <c r="C94" s="8" t="s">
        <v>27</v>
      </c>
      <c r="D94" s="9" t="s">
        <v>54</v>
      </c>
      <c r="E94" s="10">
        <v>2</v>
      </c>
      <c r="F94" s="11">
        <v>46064</v>
      </c>
      <c r="G94" s="10">
        <v>5304</v>
      </c>
      <c r="H94" s="12">
        <v>0.64930555555555558</v>
      </c>
      <c r="I94" s="10" t="str">
        <f>_xlfn.CONCAT(Таблица1[[#This Row],[Группа]],"_",TEXT(Таблица1[[#This Row],[Дата]],"ГГ.ММ.ДД"),"_",TEXT(Таблица1[[#This Row],[Время]],"чч:мм"))</f>
        <v>Мб-52_26.02.11_15:35</v>
      </c>
      <c r="J9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4" s="10"/>
      <c r="L94" t="str">
        <f>IFERROR(IF(SEARCH("курс",Таблица1[[#This Row],[Форма контроля]])&gt;=1,),"Ошибка")</f>
        <v>Ошибка</v>
      </c>
      <c r="M9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Безопасность жизнедеятельности (4 з.е., 144 ч., 1/1, Д № 7507)Мб-52ошибка</v>
      </c>
      <c r="N9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Безопасность жизнедеятельности (4 з.е., 144 ч., 1/1, Д № 7507)_Мб-52_26.02.11_15:35</v>
      </c>
    </row>
    <row r="95" spans="1:14" ht="25.5" x14ac:dyDescent="0.2">
      <c r="A95" s="7"/>
      <c r="B95" s="8" t="s">
        <v>99</v>
      </c>
      <c r="C95" s="8" t="s">
        <v>27</v>
      </c>
      <c r="D95" s="9" t="s">
        <v>87</v>
      </c>
      <c r="E95" s="10">
        <v>2</v>
      </c>
      <c r="F95" s="11">
        <v>46064</v>
      </c>
      <c r="G95" s="10">
        <v>5304</v>
      </c>
      <c r="H95" s="12">
        <v>0.64930555555555558</v>
      </c>
      <c r="I95" s="10" t="str">
        <f>_xlfn.CONCAT(Таблица1[[#This Row],[Группа]],"_",TEXT(Таблица1[[#This Row],[Дата]],"ГГ.ММ.ДД"),"_",TEXT(Таблица1[[#This Row],[Время]],"чч:мм"))</f>
        <v>УПб-51_26.02.11_15:35</v>
      </c>
      <c r="J9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5" s="10"/>
      <c r="L95" t="str">
        <f>IFERROR(IF(SEARCH("курс",Таблица1[[#This Row],[Форма контроля]])&gt;=1,),"Ошибка")</f>
        <v>Ошибка</v>
      </c>
      <c r="M9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Безопасность жизнедеятельности (4 з.е., 144 ч., 1/1, Д № 7507)УПб-51ошибка</v>
      </c>
      <c r="N9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Безопасность жизнедеятельности (4 з.е., 144 ч., 1/1, Д № 7507)_УПб-51_26.02.11_15:35</v>
      </c>
    </row>
    <row r="96" spans="1:14" ht="25.5" x14ac:dyDescent="0.2">
      <c r="A96" s="7"/>
      <c r="B96" s="8" t="s">
        <v>99</v>
      </c>
      <c r="C96" s="8" t="s">
        <v>27</v>
      </c>
      <c r="D96" s="9" t="s">
        <v>53</v>
      </c>
      <c r="E96" s="10">
        <v>1</v>
      </c>
      <c r="F96" s="11">
        <v>46064</v>
      </c>
      <c r="G96" s="10">
        <v>5304</v>
      </c>
      <c r="H96" s="12">
        <v>0.64930555555555558</v>
      </c>
      <c r="I96" s="10" t="str">
        <f>_xlfn.CONCAT(Таблица1[[#This Row],[Группа]],"_",TEXT(Таблица1[[#This Row],[Дата]],"ГГ.ММ.ДД"),"_",TEXT(Таблица1[[#This Row],[Время]],"чч:мм"))</f>
        <v>Мб-51_26.02.11_15:35</v>
      </c>
      <c r="J9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6" s="10"/>
      <c r="L96" t="str">
        <f>IFERROR(IF(SEARCH("курс",Таблица1[[#This Row],[Форма контроля]])&gt;=1,),"Ошибка")</f>
        <v>Ошибка</v>
      </c>
      <c r="M9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Безопасность жизнедеятельности (4 з.е., 144 ч., 1/1, Д № 7507)Мб-51ошибка</v>
      </c>
      <c r="N9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Безопасность жизнедеятельности (4 з.е., 144 ч., 1/1, Д № 7507)_Мб-51_26.02.11_15:35</v>
      </c>
    </row>
    <row r="97" spans="1:14" ht="25.5" x14ac:dyDescent="0.2">
      <c r="A97" s="7"/>
      <c r="B97" s="8" t="s">
        <v>100</v>
      </c>
      <c r="C97" s="8" t="s">
        <v>57</v>
      </c>
      <c r="D97" s="9" t="s">
        <v>25</v>
      </c>
      <c r="E97" s="10">
        <v>13</v>
      </c>
      <c r="F97" s="11">
        <v>46063</v>
      </c>
      <c r="G97" s="10">
        <v>9324</v>
      </c>
      <c r="H97" s="12">
        <v>0.50694444444444442</v>
      </c>
      <c r="I97" s="10" t="str">
        <f>_xlfn.CONCAT(Таблица1[[#This Row],[Группа]],"_",TEXT(Таблица1[[#This Row],[Дата]],"ГГ.ММ.ДД"),"_",TEXT(Таблица1[[#This Row],[Время]],"чч:мм"))</f>
        <v>ЭЖД-44у_26.02.10_12:10</v>
      </c>
      <c r="J9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7" s="10"/>
      <c r="L97">
        <f>IFERROR(IF(SEARCH("курс",Таблица1[[#This Row],[Форма контроля]])&gt;=1,),"Ошибка")</f>
        <v>0</v>
      </c>
      <c r="M9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Грузоведение (5 з.е., 180 ч., 1/1, Д № 8596)ЭЖД-44у</v>
      </c>
      <c r="N9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Грузоведение (5 з.е., 180 ч., 1/1, Д № 8596)_ЭЖД-44у_26.02.10_12:10</v>
      </c>
    </row>
    <row r="98" spans="1:14" ht="25.5" x14ac:dyDescent="0.2">
      <c r="A98" s="7"/>
      <c r="B98" s="8" t="s">
        <v>100</v>
      </c>
      <c r="C98" s="8" t="s">
        <v>27</v>
      </c>
      <c r="D98" s="9" t="s">
        <v>25</v>
      </c>
      <c r="E98" s="10">
        <v>14</v>
      </c>
      <c r="F98" s="11">
        <v>46063</v>
      </c>
      <c r="G98" s="10">
        <v>9324</v>
      </c>
      <c r="H98" s="12">
        <v>0.50694444444444442</v>
      </c>
      <c r="I98" s="10" t="str">
        <f>_xlfn.CONCAT(Таблица1[[#This Row],[Группа]],"_",TEXT(Таблица1[[#This Row],[Дата]],"ГГ.ММ.ДД"),"_",TEXT(Таблица1[[#This Row],[Время]],"чч:мм"))</f>
        <v>ЭЖД-44у_26.02.10_12:10</v>
      </c>
      <c r="J9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8" s="10"/>
      <c r="L98" t="str">
        <f>IFERROR(IF(SEARCH("курс",Таблица1[[#This Row],[Форма контроля]])&gt;=1,),"Ошибка")</f>
        <v>Ошибка</v>
      </c>
      <c r="M9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Грузоведение (5 з.е., 180 ч., 1/1, Д № 8596)ЭЖД-44уошибка</v>
      </c>
      <c r="N9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Грузоведение (5 з.е., 180 ч., 1/1, Д № 8596)_ЭЖД-44у_26.02.10_12:10</v>
      </c>
    </row>
    <row r="99" spans="1:14" ht="25.5" x14ac:dyDescent="0.2">
      <c r="A99" s="7"/>
      <c r="B99" s="8" t="s">
        <v>100</v>
      </c>
      <c r="C99" s="8" t="s">
        <v>57</v>
      </c>
      <c r="D99" s="9" t="s">
        <v>58</v>
      </c>
      <c r="E99" s="10">
        <v>16</v>
      </c>
      <c r="F99" s="11">
        <v>46063</v>
      </c>
      <c r="G99" s="10">
        <v>9324</v>
      </c>
      <c r="H99" s="12">
        <v>0.57986111111111105</v>
      </c>
      <c r="I99" s="10" t="str">
        <f>_xlfn.CONCAT(Таблица1[[#This Row],[Группа]],"_",TEXT(Таблица1[[#This Row],[Дата]],"ГГ.ММ.ДД"),"_",TEXT(Таблица1[[#This Row],[Время]],"чч:мм"))</f>
        <v>ЭЖД-45у_26.02.10_13:55</v>
      </c>
      <c r="J9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99" s="10"/>
      <c r="L99">
        <f>IFERROR(IF(SEARCH("курс",Таблица1[[#This Row],[Форма контроля]])&gt;=1,),"Ошибка")</f>
        <v>0</v>
      </c>
      <c r="M9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Грузоведение (5 з.е., 180 ч., 1/1, Д № 8596)ЭЖД-45у</v>
      </c>
      <c r="N9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Грузоведение (5 з.е., 180 ч., 1/1, Д № 8596)_ЭЖД-45у_26.02.10_13:55</v>
      </c>
    </row>
    <row r="100" spans="1:14" ht="25.5" x14ac:dyDescent="0.2">
      <c r="A100" s="7"/>
      <c r="B100" s="8" t="s">
        <v>100</v>
      </c>
      <c r="C100" s="8" t="s">
        <v>27</v>
      </c>
      <c r="D100" s="9" t="s">
        <v>58</v>
      </c>
      <c r="E100" s="10">
        <v>16</v>
      </c>
      <c r="F100" s="11">
        <v>46063</v>
      </c>
      <c r="G100" s="10">
        <v>9324</v>
      </c>
      <c r="H100" s="12">
        <v>0.57986111111111105</v>
      </c>
      <c r="I100" s="10" t="str">
        <f>_xlfn.CONCAT(Таблица1[[#This Row],[Группа]],"_",TEXT(Таблица1[[#This Row],[Дата]],"ГГ.ММ.ДД"),"_",TEXT(Таблица1[[#This Row],[Время]],"чч:мм"))</f>
        <v>ЭЖД-45у_26.02.10_13:55</v>
      </c>
      <c r="J10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0" s="10"/>
      <c r="L100" t="str">
        <f>IFERROR(IF(SEARCH("курс",Таблица1[[#This Row],[Форма контроля]])&gt;=1,),"Ошибка")</f>
        <v>Ошибка</v>
      </c>
      <c r="M10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Грузоведение (5 з.е., 180 ч., 1/1, Д № 8596)ЭЖД-45уошибка</v>
      </c>
      <c r="N10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Грузоведение (5 з.е., 180 ч., 1/1, Д № 8596)_ЭЖД-45у_26.02.10_13:55</v>
      </c>
    </row>
    <row r="101" spans="1:14" ht="25.5" x14ac:dyDescent="0.2">
      <c r="A101" s="7"/>
      <c r="B101" s="8" t="s">
        <v>100</v>
      </c>
      <c r="C101" s="8" t="s">
        <v>57</v>
      </c>
      <c r="D101" s="9" t="s">
        <v>59</v>
      </c>
      <c r="E101" s="10">
        <v>9</v>
      </c>
      <c r="F101" s="11">
        <v>46063</v>
      </c>
      <c r="G101" s="10">
        <v>9324</v>
      </c>
      <c r="H101" s="12">
        <v>0.71875</v>
      </c>
      <c r="I101" s="10" t="str">
        <f>_xlfn.CONCAT(Таблица1[[#This Row],[Группа]],"_",TEXT(Таблица1[[#This Row],[Дата]],"ГГ.ММ.ДД"),"_",TEXT(Таблица1[[#This Row],[Время]],"чч:мм"))</f>
        <v>ЭЖД-46у_26.02.10_17:15</v>
      </c>
      <c r="J10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1" s="10"/>
      <c r="L101">
        <f>IFERROR(IF(SEARCH("курс",Таблица1[[#This Row],[Форма контроля]])&gt;=1,),"Ошибка")</f>
        <v>0</v>
      </c>
      <c r="M10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Грузоведение (5 з.е., 180 ч., 1/1, Д № 8596)ЭЖД-46у</v>
      </c>
      <c r="N10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Грузоведение (5 з.е., 180 ч., 1/1, Д № 8596)_ЭЖД-46у_26.02.10_17:15</v>
      </c>
    </row>
    <row r="102" spans="1:14" ht="25.5" x14ac:dyDescent="0.2">
      <c r="A102" s="7"/>
      <c r="B102" s="8" t="s">
        <v>100</v>
      </c>
      <c r="C102" s="8" t="s">
        <v>27</v>
      </c>
      <c r="D102" s="9" t="s">
        <v>59</v>
      </c>
      <c r="E102" s="10">
        <v>9</v>
      </c>
      <c r="F102" s="11">
        <v>46063</v>
      </c>
      <c r="G102" s="10">
        <v>9324</v>
      </c>
      <c r="H102" s="12">
        <v>0.71875</v>
      </c>
      <c r="I102" s="10" t="str">
        <f>_xlfn.CONCAT(Таблица1[[#This Row],[Группа]],"_",TEXT(Таблица1[[#This Row],[Дата]],"ГГ.ММ.ДД"),"_",TEXT(Таблица1[[#This Row],[Время]],"чч:мм"))</f>
        <v>ЭЖД-46у_26.02.10_17:15</v>
      </c>
      <c r="J10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2" s="10"/>
      <c r="L102" t="str">
        <f>IFERROR(IF(SEARCH("курс",Таблица1[[#This Row],[Форма контроля]])&gt;=1,),"Ошибка")</f>
        <v>Ошибка</v>
      </c>
      <c r="M10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Грузоведение (5 з.е., 180 ч., 1/1, Д № 8596)ЭЖД-46уошибка</v>
      </c>
      <c r="N10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Грузоведение (5 з.е., 180 ч., 1/1, Д № 8596)_ЭЖД-46у_26.02.10_17:15</v>
      </c>
    </row>
    <row r="103" spans="1:14" ht="25.5" x14ac:dyDescent="0.2">
      <c r="A103" s="7"/>
      <c r="B103" s="8" t="s">
        <v>101</v>
      </c>
      <c r="C103" s="8" t="s">
        <v>27</v>
      </c>
      <c r="D103" s="9" t="s">
        <v>34</v>
      </c>
      <c r="E103" s="16" t="s">
        <v>67</v>
      </c>
      <c r="F103" s="11">
        <v>46063</v>
      </c>
      <c r="G103" s="10">
        <v>9324</v>
      </c>
      <c r="H103" s="12">
        <v>0.71875</v>
      </c>
      <c r="I103" s="10" t="str">
        <f>_xlfn.CONCAT(Таблица1[[#This Row],[Группа]],"_",TEXT(Таблица1[[#This Row],[Дата]],"ГГ.ММ.ДД"),"_",TEXT(Таблица1[[#This Row],[Время]],"чч:мм"))</f>
        <v>ЭЖД-31_26.02.10_17:15</v>
      </c>
      <c r="J10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3" s="10"/>
      <c r="L103" t="str">
        <f>IFERROR(IF(SEARCH("курс",Таблица1[[#This Row],[Форма контроля]])&gt;=1,),"Ошибка")</f>
        <v>Ошибка</v>
      </c>
      <c r="M10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Грузоведение (5 з.е., 180 ч., 1/1, Д № 8107)ЭЖД-31ошибка</v>
      </c>
      <c r="N10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Грузоведение (5 з.е., 180 ч., 1/1, Д № 8107)_ЭЖД-31_26.02.10_17:15</v>
      </c>
    </row>
    <row r="104" spans="1:14" ht="25.5" x14ac:dyDescent="0.2">
      <c r="A104" s="7"/>
      <c r="B104" s="8" t="s">
        <v>101</v>
      </c>
      <c r="C104" s="8" t="s">
        <v>57</v>
      </c>
      <c r="D104" s="9" t="s">
        <v>34</v>
      </c>
      <c r="E104" s="16" t="s">
        <v>67</v>
      </c>
      <c r="F104" s="11">
        <v>46063</v>
      </c>
      <c r="G104" s="10">
        <v>9324</v>
      </c>
      <c r="H104" s="12">
        <v>0.71875</v>
      </c>
      <c r="I104" s="10" t="str">
        <f>_xlfn.CONCAT(Таблица1[[#This Row],[Группа]],"_",TEXT(Таблица1[[#This Row],[Дата]],"ГГ.ММ.ДД"),"_",TEXT(Таблица1[[#This Row],[Время]],"чч:мм"))</f>
        <v>ЭЖД-31_26.02.10_17:15</v>
      </c>
      <c r="J10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4" s="10"/>
      <c r="L104">
        <f>IFERROR(IF(SEARCH("курс",Таблица1[[#This Row],[Форма контроля]])&gt;=1,),"Ошибка")</f>
        <v>0</v>
      </c>
      <c r="M10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Грузоведение (5 з.е., 180 ч., 1/1, Д № 8107)ЭЖД-31</v>
      </c>
      <c r="N10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Грузоведение (5 з.е., 180 ч., 1/1, Д № 8107)_ЭЖД-31_26.02.10_17:15</v>
      </c>
    </row>
    <row r="105" spans="1:14" ht="38.25" x14ac:dyDescent="0.2">
      <c r="A105" s="7"/>
      <c r="B105" s="8" t="s">
        <v>102</v>
      </c>
      <c r="C105" s="8" t="s">
        <v>24</v>
      </c>
      <c r="D105" s="9" t="s">
        <v>43</v>
      </c>
      <c r="E105" s="10">
        <v>3</v>
      </c>
      <c r="F105" s="11">
        <v>46065</v>
      </c>
      <c r="G105" s="10">
        <v>9206</v>
      </c>
      <c r="H105" s="12">
        <v>0.50694444444444442</v>
      </c>
      <c r="I105" s="10" t="str">
        <f>_xlfn.CONCAT(Таблица1[[#This Row],[Группа]],"_",TEXT(Таблица1[[#This Row],[Дата]],"ГГ.ММ.ДД"),"_",TEXT(Таблица1[[#This Row],[Время]],"чч:мм"))</f>
        <v>Мб-31_26.02.12_12:10</v>
      </c>
      <c r="J10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5" s="10"/>
      <c r="L105" t="str">
        <f>IFERROR(IF(SEARCH("курс",Таблица1[[#This Row],[Форма контроля]])&gt;=1,),"Ошибка")</f>
        <v>Ошибка</v>
      </c>
      <c r="M10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Внешнеэкономическая деятельность (4 з.е., 144 ч., 1/1, Д № 5828)Мб-31ошибка</v>
      </c>
      <c r="N10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Внешнеэкономическая деятельность (4 з.е., 144 ч., 1/1, Д № 5828)_Мб-31_26.02.12_12:10</v>
      </c>
    </row>
    <row r="106" spans="1:14" ht="38.25" x14ac:dyDescent="0.2">
      <c r="A106" s="7"/>
      <c r="B106" s="8" t="s">
        <v>103</v>
      </c>
      <c r="C106" s="8" t="s">
        <v>24</v>
      </c>
      <c r="D106" s="9" t="s">
        <v>81</v>
      </c>
      <c r="E106" s="10">
        <v>3</v>
      </c>
      <c r="F106" s="11">
        <v>46066</v>
      </c>
      <c r="G106" s="10" t="s">
        <v>47</v>
      </c>
      <c r="H106" s="12">
        <v>0.71875</v>
      </c>
      <c r="I106" s="10" t="str">
        <f>_xlfn.CONCAT(Таблица1[[#This Row],[Группа]],"_",TEXT(Таблица1[[#This Row],[Дата]],"ГГ.ММ.ДД"),"_",TEXT(Таблица1[[#This Row],[Время]],"чч:мм"))</f>
        <v>Мб-31оз_26.02.13_17:15</v>
      </c>
      <c r="J10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6" s="10"/>
      <c r="L106" t="str">
        <f>IFERROR(IF(SEARCH("курс",Таблица1[[#This Row],[Форма контроля]])&gt;=1,),"Ошибка")</f>
        <v>Ошибка</v>
      </c>
      <c r="M10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Внешнеэкономическая деятельность (4 з.е., 144 ч., 1/1, Д № 5920)Мб-31озошибка</v>
      </c>
      <c r="N10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Внешнеэкономическая деятельность (4 з.е., 144 ч., 1/1, Д № 5920)_Мб-31оз_26.02.13_17:15</v>
      </c>
    </row>
    <row r="107" spans="1:14" ht="25.5" x14ac:dyDescent="0.2">
      <c r="A107" s="7"/>
      <c r="B107" s="8" t="s">
        <v>104</v>
      </c>
      <c r="C107" s="8" t="s">
        <v>16</v>
      </c>
      <c r="D107" s="9" t="s">
        <v>25</v>
      </c>
      <c r="E107" s="10">
        <v>1</v>
      </c>
      <c r="F107" s="11">
        <v>46070</v>
      </c>
      <c r="G107" s="10">
        <v>1309</v>
      </c>
      <c r="H107" s="12">
        <v>0.35416666666666669</v>
      </c>
      <c r="I107" s="10" t="str">
        <f>_xlfn.CONCAT(Таблица1[[#This Row],[Группа]],"_",TEXT(Таблица1[[#This Row],[Дата]],"ГГ.ММ.ДД"),"_",TEXT(Таблица1[[#This Row],[Время]],"чч:мм"))</f>
        <v>ЭЖД-44у_26.02.17_08:30</v>
      </c>
      <c r="J10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7" s="10"/>
      <c r="L107" t="str">
        <f>IFERROR(IF(SEARCH("курс",Таблица1[[#This Row],[Форма контроля]])&gt;=1,),"Ошибка")</f>
        <v>Ошибка</v>
      </c>
      <c r="M10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Технологии искусственного интеллекта (2 з.е., 72 ч., 1/1, Д № 7427)ЭЖД-44уошибка</v>
      </c>
      <c r="N10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Технологии искусственного интеллекта (2 з.е., 72 ч., 1/1, Д № 7427)_ЭЖД-44у_26.02.17_08:30</v>
      </c>
    </row>
    <row r="108" spans="1:14" ht="25.5" x14ac:dyDescent="0.2">
      <c r="A108" s="7"/>
      <c r="B108" s="8" t="s">
        <v>104</v>
      </c>
      <c r="C108" s="8" t="s">
        <v>16</v>
      </c>
      <c r="D108" s="9" t="s">
        <v>58</v>
      </c>
      <c r="E108" s="10">
        <v>1</v>
      </c>
      <c r="F108" s="11">
        <v>46070</v>
      </c>
      <c r="G108" s="10">
        <v>1309</v>
      </c>
      <c r="H108" s="12">
        <v>0.42708333333333331</v>
      </c>
      <c r="I108" s="10" t="str">
        <f>_xlfn.CONCAT(Таблица1[[#This Row],[Группа]],"_",TEXT(Таблица1[[#This Row],[Дата]],"ГГ.ММ.ДД"),"_",TEXT(Таблица1[[#This Row],[Время]],"чч:мм"))</f>
        <v>ЭЖД-45у_26.02.17_10:15</v>
      </c>
      <c r="J10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8" s="10"/>
      <c r="L108" t="str">
        <f>IFERROR(IF(SEARCH("курс",Таблица1[[#This Row],[Форма контроля]])&gt;=1,),"Ошибка")</f>
        <v>Ошибка</v>
      </c>
      <c r="M10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Технологии искусственного интеллекта (2 з.е., 72 ч., 1/1, Д № 7427)ЭЖД-45уошибка</v>
      </c>
      <c r="N10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Технологии искусственного интеллекта (2 з.е., 72 ч., 1/1, Д № 7427)_ЭЖД-45у_26.02.17_10:15</v>
      </c>
    </row>
    <row r="109" spans="1:14" ht="25.5" x14ac:dyDescent="0.2">
      <c r="A109" s="7"/>
      <c r="B109" s="8" t="s">
        <v>105</v>
      </c>
      <c r="C109" s="8" t="s">
        <v>16</v>
      </c>
      <c r="D109" s="9" t="s">
        <v>71</v>
      </c>
      <c r="E109" s="10">
        <v>1</v>
      </c>
      <c r="F109" s="11">
        <v>46070</v>
      </c>
      <c r="G109" s="10">
        <v>1309</v>
      </c>
      <c r="H109" s="12">
        <v>0.50694444444444442</v>
      </c>
      <c r="I109" s="10" t="str">
        <f>_xlfn.CONCAT(Таблица1[[#This Row],[Группа]],"_",TEXT(Таблица1[[#This Row],[Дата]],"ГГ.ММ.ДД"),"_",TEXT(Таблица1[[#This Row],[Время]],"чч:мм"))</f>
        <v>ЭЖД-22_26.02.17_12:10</v>
      </c>
      <c r="J10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09" s="10"/>
      <c r="L109" t="str">
        <f>IFERROR(IF(SEARCH("курс",Таблица1[[#This Row],[Форма контроля]])&gt;=1,),"Ошибка")</f>
        <v>Ошибка</v>
      </c>
      <c r="M10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Технологии искусственного интеллекта (2 з.е., 72 ч., 1/1, Д № 4791)ЭЖД-22ошибка</v>
      </c>
      <c r="N10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Технологии искусственного интеллекта (2 з.е., 72 ч., 1/1, Д № 4791)_ЭЖД-22_26.02.17_12:10</v>
      </c>
    </row>
    <row r="110" spans="1:14" ht="25.5" x14ac:dyDescent="0.2">
      <c r="A110" s="7"/>
      <c r="B110" s="8" t="s">
        <v>105</v>
      </c>
      <c r="C110" s="8" t="s">
        <v>16</v>
      </c>
      <c r="D110" s="9" t="s">
        <v>72</v>
      </c>
      <c r="E110" s="10">
        <v>1</v>
      </c>
      <c r="F110" s="11">
        <v>46070</v>
      </c>
      <c r="G110" s="10">
        <v>1309</v>
      </c>
      <c r="H110" s="12">
        <v>0.57986111111111105</v>
      </c>
      <c r="I110" s="10" t="str">
        <f>_xlfn.CONCAT(Таблица1[[#This Row],[Группа]],"_",TEXT(Таблица1[[#This Row],[Дата]],"ГГ.ММ.ДД"),"_",TEXT(Таблица1[[#This Row],[Время]],"чч:мм"))</f>
        <v>ЭЖД-23_26.02.17_13:55</v>
      </c>
      <c r="J11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0" s="10"/>
      <c r="L110" t="str">
        <f>IFERROR(IF(SEARCH("курс",Таблица1[[#This Row],[Форма контроля]])&gt;=1,),"Ошибка")</f>
        <v>Ошибка</v>
      </c>
      <c r="M11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Технологии искусственного интеллекта (2 з.е., 72 ч., 1/1, Д № 4791)ЭЖД-23ошибка</v>
      </c>
      <c r="N11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Технологии искусственного интеллекта (2 з.е., 72 ч., 1/1, Д № 4791)_ЭЖД-23_26.02.17_13:55</v>
      </c>
    </row>
    <row r="111" spans="1:14" ht="25.5" x14ac:dyDescent="0.2">
      <c r="A111" s="7"/>
      <c r="B111" s="8" t="s">
        <v>106</v>
      </c>
      <c r="C111" s="8" t="s">
        <v>16</v>
      </c>
      <c r="D111" s="9" t="s">
        <v>94</v>
      </c>
      <c r="E111" s="10">
        <v>1</v>
      </c>
      <c r="F111" s="11">
        <v>46070</v>
      </c>
      <c r="G111" s="10">
        <v>1309</v>
      </c>
      <c r="H111" s="12">
        <v>0.64930555555555558</v>
      </c>
      <c r="I111" s="10" t="str">
        <f>_xlfn.CONCAT(Таблица1[[#This Row],[Группа]],"_",TEXT(Таблица1[[#This Row],[Дата]],"ГГ.ММ.ДД"),"_",TEXT(Таблица1[[#This Row],[Время]],"чч:мм"))</f>
        <v>Эб-21оз_26.02.17_15:35</v>
      </c>
      <c r="J11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1" s="10"/>
      <c r="L111" t="str">
        <f>IFERROR(IF(SEARCH("курс",Таблица1[[#This Row],[Форма контроля]])&gt;=1,),"Ошибка")</f>
        <v>Ошибка</v>
      </c>
      <c r="M11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Системы искусственного интеллекта (3 з.е., 108 ч., 1/1, Д № 5746)Эб-21озошибка</v>
      </c>
      <c r="N11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Системы искусственного интеллекта (3 з.е., 108 ч., 1/1, Д № 5746)_Эб-21оз_26.02.17_15:35</v>
      </c>
    </row>
    <row r="112" spans="1:14" ht="25.5" x14ac:dyDescent="0.2">
      <c r="A112" s="7"/>
      <c r="B112" s="8" t="s">
        <v>107</v>
      </c>
      <c r="C112" s="8" t="s">
        <v>16</v>
      </c>
      <c r="D112" s="9" t="s">
        <v>87</v>
      </c>
      <c r="E112" s="10">
        <v>1</v>
      </c>
      <c r="F112" s="11">
        <v>46071</v>
      </c>
      <c r="G112" s="10">
        <v>5214</v>
      </c>
      <c r="H112" s="12">
        <v>0.57986111111111105</v>
      </c>
      <c r="I112" s="10" t="str">
        <f>_xlfn.CONCAT(Таблица1[[#This Row],[Группа]],"_",TEXT(Таблица1[[#This Row],[Дата]],"ГГ.ММ.ДД"),"_",TEXT(Таблица1[[#This Row],[Время]],"чч:мм"))</f>
        <v>УПб-51_26.02.18_13:55</v>
      </c>
      <c r="J11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2" s="10"/>
      <c r="L112" t="str">
        <f>IFERROR(IF(SEARCH("курс",Таблица1[[#This Row],[Форма контроля]])&gt;=1,),"Ошибка")</f>
        <v>Ошибка</v>
      </c>
      <c r="M11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(3/9 з.е., 108/324 ч., 1/3, Д № 9323)УПб-51ошибка</v>
      </c>
      <c r="N11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(3/9 з.е., 108/324 ч., 1/3, Д № 9323)_УПб-51_26.02.18_13:55</v>
      </c>
    </row>
    <row r="113" spans="1:14" ht="25.5" x14ac:dyDescent="0.2">
      <c r="A113" s="7"/>
      <c r="B113" s="8" t="s">
        <v>26</v>
      </c>
      <c r="C113" s="8" t="s">
        <v>27</v>
      </c>
      <c r="D113" s="9" t="s">
        <v>92</v>
      </c>
      <c r="E113" s="10">
        <v>1</v>
      </c>
      <c r="F113" s="11">
        <v>46071</v>
      </c>
      <c r="G113" s="10">
        <v>5214</v>
      </c>
      <c r="H113" s="12">
        <v>0.57986111111111105</v>
      </c>
      <c r="I113" s="10" t="str">
        <f>_xlfn.CONCAT(Таблица1[[#This Row],[Группа]],"_",TEXT(Таблица1[[#This Row],[Дата]],"ГГ.ММ.ДД"),"_",TEXT(Таблица1[[#This Row],[Время]],"чч:мм"))</f>
        <v>УПб-41_26.02.18_13:55</v>
      </c>
      <c r="J11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3" s="10"/>
      <c r="L113" t="str">
        <f>IFERROR(IF(SEARCH("курс",Таблица1[[#This Row],[Форма контроля]])&gt;=1,),"Ошибка")</f>
        <v>Ошибка</v>
      </c>
      <c r="M11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(3/9 з.е., 108/324 ч., 3/3, Д № 7764)УПб-41ошибка</v>
      </c>
      <c r="N11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(3/9 з.е., 108/324 ч., 3/3, Д № 7764)_УПб-41_26.02.18_13:55</v>
      </c>
    </row>
    <row r="114" spans="1:14" ht="25.5" x14ac:dyDescent="0.2">
      <c r="A114" s="7"/>
      <c r="B114" s="8" t="s">
        <v>108</v>
      </c>
      <c r="C114" s="8" t="s">
        <v>16</v>
      </c>
      <c r="D114" s="9" t="s">
        <v>51</v>
      </c>
      <c r="E114" s="10">
        <v>1</v>
      </c>
      <c r="F114" s="11">
        <v>46071</v>
      </c>
      <c r="G114" s="10">
        <v>5214</v>
      </c>
      <c r="H114" s="12">
        <v>0.57986111111111105</v>
      </c>
      <c r="I114" s="10" t="str">
        <f>_xlfn.CONCAT(Таблица1[[#This Row],[Группа]],"_",TEXT(Таблица1[[#This Row],[Дата]],"ГГ.ММ.ДД"),"_",TEXT(Таблица1[[#This Row],[Время]],"чч:мм"))</f>
        <v>Эб-51_26.02.18_13:55</v>
      </c>
      <c r="J11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4" s="10"/>
      <c r="L114" t="str">
        <f>IFERROR(IF(SEARCH("курс",Таблица1[[#This Row],[Форма контроля]])&gt;=1,),"Ошибка")</f>
        <v>Ошибка</v>
      </c>
      <c r="M11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(3/9 з.е., 108/324 ч., 1/3, Д № 7731)Эб-51ошибка</v>
      </c>
      <c r="N11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(3/9 з.е., 108/324 ч., 1/3, Д № 7731)_Эб-51_26.02.18_13:55</v>
      </c>
    </row>
    <row r="115" spans="1:14" ht="38.25" x14ac:dyDescent="0.2">
      <c r="A115" s="7"/>
      <c r="B115" s="8" t="s">
        <v>109</v>
      </c>
      <c r="C115" s="8" t="s">
        <v>24</v>
      </c>
      <c r="D115" s="9" t="s">
        <v>75</v>
      </c>
      <c r="E115" s="10">
        <v>1</v>
      </c>
      <c r="F115" s="11">
        <v>46072</v>
      </c>
      <c r="G115" s="10">
        <v>8207</v>
      </c>
      <c r="H115" s="12">
        <v>0.64930555555555558</v>
      </c>
      <c r="I115" s="10" t="str">
        <f>_xlfn.CONCAT(Таблица1[[#This Row],[Группа]],"_",TEXT(Таблица1[[#This Row],[Дата]],"ГГ.ММ.ДД"),"_",TEXT(Таблица1[[#This Row],[Время]],"чч:мм"))</f>
        <v>ЭЖД-55у_26.02.19_15:35</v>
      </c>
      <c r="J11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5" s="10"/>
      <c r="L115" t="str">
        <f>IFERROR(IF(SEARCH("курс",Таблица1[[#This Row],[Форма контроля]])&gt;=1,),"Ошибка")</f>
        <v>Ошибка</v>
      </c>
      <c r="M11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Нетяговый подвижной состав (3 з.е., 108 ч., 1/1, Д № 8091)ЭЖД-55уошибка</v>
      </c>
      <c r="N11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Нетяговый подвижной состав (3 з.е., 108 ч., 1/1, Д № 8091)_ЭЖД-55у_26.02.19_15:35</v>
      </c>
    </row>
    <row r="116" spans="1:14" ht="38.25" x14ac:dyDescent="0.2">
      <c r="A116" s="7"/>
      <c r="B116" s="8" t="s">
        <v>109</v>
      </c>
      <c r="C116" s="8" t="s">
        <v>24</v>
      </c>
      <c r="D116" s="9" t="s">
        <v>77</v>
      </c>
      <c r="E116" s="10">
        <v>1</v>
      </c>
      <c r="F116" s="11">
        <v>46072</v>
      </c>
      <c r="G116" s="10">
        <v>8207</v>
      </c>
      <c r="H116" s="12">
        <v>0.64930555555555558</v>
      </c>
      <c r="I116" s="10" t="str">
        <f>_xlfn.CONCAT(Таблица1[[#This Row],[Группа]],"_",TEXT(Таблица1[[#This Row],[Дата]],"ГГ.ММ.ДД"),"_",TEXT(Таблица1[[#This Row],[Время]],"чч:мм"))</f>
        <v>ЭЖД-54у_26.02.19_15:35</v>
      </c>
      <c r="J11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6" s="10"/>
      <c r="L116" t="str">
        <f>IFERROR(IF(SEARCH("курс",Таблица1[[#This Row],[Форма контроля]])&gt;=1,),"Ошибка")</f>
        <v>Ошибка</v>
      </c>
      <c r="M11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Нетяговый подвижной состав (3 з.е., 108 ч., 1/1, Д № 8091)ЭЖД-54уошибка</v>
      </c>
      <c r="N11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Нетяговый подвижной состав (3 з.е., 108 ч., 1/1, Д № 8091)_ЭЖД-54у_26.02.19_15:35</v>
      </c>
    </row>
    <row r="117" spans="1:14" ht="38.25" x14ac:dyDescent="0.2">
      <c r="A117" s="7"/>
      <c r="B117" s="8" t="s">
        <v>109</v>
      </c>
      <c r="C117" s="8" t="s">
        <v>24</v>
      </c>
      <c r="D117" s="17" t="s">
        <v>85</v>
      </c>
      <c r="E117" s="10">
        <v>2</v>
      </c>
      <c r="F117" s="11">
        <v>46072</v>
      </c>
      <c r="G117" s="10">
        <v>8207</v>
      </c>
      <c r="H117" s="12">
        <v>0.64930555555555558</v>
      </c>
      <c r="I117" s="10" t="str">
        <f>_xlfn.CONCAT(Таблица1[[#This Row],[Группа]],"_",TEXT(Таблица1[[#This Row],[Дата]],"ГГ.ММ.ДД"),"_",TEXT(Таблица1[[#This Row],[Время]],"чч:мм"))</f>
        <v xml:space="preserve"> ЭЖД-57у_26.02.19_15:35</v>
      </c>
      <c r="J11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7" s="10"/>
      <c r="L117" t="str">
        <f>IFERROR(IF(SEARCH("курс",Таблица1[[#This Row],[Форма контроля]])&gt;=1,),"Ошибка")</f>
        <v>Ошибка</v>
      </c>
      <c r="M11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Нетяговый подвижной состав (3 з.е., 108 ч., 1/1, Д № 8091) ЭЖД-57уошибка</v>
      </c>
      <c r="N11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Нетяговый подвижной состав (3 з.е., 108 ч., 1/1, Д № 8091)_ ЭЖД-57у_26.02.19_15:35</v>
      </c>
    </row>
    <row r="118" spans="1:14" ht="38.25" x14ac:dyDescent="0.2">
      <c r="A118" s="7"/>
      <c r="B118" s="8" t="s">
        <v>96</v>
      </c>
      <c r="C118" s="8" t="s">
        <v>16</v>
      </c>
      <c r="D118" s="9" t="s">
        <v>87</v>
      </c>
      <c r="E118" s="10">
        <v>3</v>
      </c>
      <c r="F118" s="11">
        <v>46073</v>
      </c>
      <c r="G118" s="10">
        <v>5211</v>
      </c>
      <c r="H118" s="12">
        <v>0.57986111111111105</v>
      </c>
      <c r="I118" s="10" t="str">
        <f>_xlfn.CONCAT(Таблица1[[#This Row],[Группа]],"_",TEXT(Таблица1[[#This Row],[Дата]],"ГГ.ММ.ДД"),"_",TEXT(Таблица1[[#This Row],[Время]],"чч:мм"))</f>
        <v>УПб-51_26.02.20_13:55</v>
      </c>
      <c r="J11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8" s="10"/>
      <c r="L118" t="str">
        <f>IFERROR(IF(SEARCH("курс",Таблица1[[#This Row],[Форма контроля]])&gt;=1,),"Ошибка")</f>
        <v>Ошибка</v>
      </c>
      <c r="M11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(36/328 ч., 1/6, Д № 7528)УПб-51ошибка</v>
      </c>
      <c r="N11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(36/328 ч., 1/6, Д № 7528)_УПб-51_26.02.20_13:55</v>
      </c>
    </row>
    <row r="119" spans="1:14" ht="25.5" x14ac:dyDescent="0.2">
      <c r="A119" s="7"/>
      <c r="B119" s="8" t="s">
        <v>97</v>
      </c>
      <c r="C119" s="8" t="s">
        <v>16</v>
      </c>
      <c r="D119" s="9" t="s">
        <v>87</v>
      </c>
      <c r="E119" s="10">
        <v>3</v>
      </c>
      <c r="F119" s="11">
        <v>46073</v>
      </c>
      <c r="G119" s="10">
        <v>5211</v>
      </c>
      <c r="H119" s="12">
        <v>0.50694444444444442</v>
      </c>
      <c r="I119" s="10" t="str">
        <f>_xlfn.CONCAT(Таблица1[[#This Row],[Группа]],"_",TEXT(Таблица1[[#This Row],[Дата]],"ГГ.ММ.ДД"),"_",TEXT(Таблица1[[#This Row],[Время]],"чч:мм"))</f>
        <v>УПб-51_26.02.20_12:10</v>
      </c>
      <c r="J11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19" s="10"/>
      <c r="L119" t="str">
        <f>IFERROR(IF(SEARCH("курс",Таблица1[[#This Row],[Форма контроля]])&gt;=1,),"Ошибка")</f>
        <v>Ошибка</v>
      </c>
      <c r="M11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Физическая культура и спорт (1/2 з.е., 36/72 ч., 1/2, Д № 7508)УПб-51ошибка</v>
      </c>
      <c r="N11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Физическая культура и спорт (1/2 з.е., 36/72 ч., 1/2, Д № 7508)_УПб-51_26.02.20_12:10</v>
      </c>
    </row>
    <row r="120" spans="1:14" ht="38.25" x14ac:dyDescent="0.2">
      <c r="A120" s="7"/>
      <c r="B120" s="8" t="s">
        <v>110</v>
      </c>
      <c r="C120" s="8" t="s">
        <v>16</v>
      </c>
      <c r="D120" s="9" t="s">
        <v>37</v>
      </c>
      <c r="E120" s="10">
        <v>3</v>
      </c>
      <c r="F120" s="11">
        <v>46070</v>
      </c>
      <c r="G120" s="10" t="s">
        <v>111</v>
      </c>
      <c r="H120" s="12">
        <v>0.50694444444444442</v>
      </c>
      <c r="I120" s="10" t="str">
        <f>_xlfn.CONCAT(Таблица1[[#This Row],[Группа]],"_",TEXT(Таблица1[[#This Row],[Дата]],"ГГ.ММ.ДД"),"_",TEXT(Таблица1[[#This Row],[Время]],"чч:мм"))</f>
        <v>ЭМУб-41оз_26.02.17_12:10</v>
      </c>
      <c r="J12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0" s="10"/>
      <c r="L120" t="str">
        <f>IFERROR(IF(SEARCH("курс",Таблица1[[#This Row],[Форма контроля]])&gt;=1,),"Ошибка")</f>
        <v>Ошибка</v>
      </c>
      <c r="M12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(72/144 ч., 1/2, Д № 8644)ЭМУб-41озошибка</v>
      </c>
      <c r="N12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(72/144 ч., 1/2, Д № 8644)_ЭМУб-41оз_26.02.17_12:10</v>
      </c>
    </row>
    <row r="121" spans="1:14" ht="25.5" x14ac:dyDescent="0.2">
      <c r="A121" s="7"/>
      <c r="B121" s="8" t="s">
        <v>112</v>
      </c>
      <c r="C121" s="8" t="s">
        <v>16</v>
      </c>
      <c r="D121" s="9" t="s">
        <v>75</v>
      </c>
      <c r="E121" s="10">
        <v>2</v>
      </c>
      <c r="F121" s="11">
        <v>46073</v>
      </c>
      <c r="G121" s="10">
        <v>5211</v>
      </c>
      <c r="H121" s="12">
        <v>0.42708333333333331</v>
      </c>
      <c r="I121" s="10" t="str">
        <f>_xlfn.CONCAT(Таблица1[[#This Row],[Группа]],"_",TEXT(Таблица1[[#This Row],[Дата]],"ГГ.ММ.ДД"),"_",TEXT(Таблица1[[#This Row],[Время]],"чч:мм"))</f>
        <v>ЭЖД-55у_26.02.20_10:15</v>
      </c>
      <c r="J12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1" s="10"/>
      <c r="L121" t="str">
        <f>IFERROR(IF(SEARCH("курс",Таблица1[[#This Row],[Форма контроля]])&gt;=1,),"Ошибка")</f>
        <v>Ошибка</v>
      </c>
      <c r="M12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Физическая культура и спорт (1/2 з.е., 36/72 ч., 1/2, Д № 8514)ЭЖД-55уошибка</v>
      </c>
      <c r="N12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Физическая культура и спорт (1/2 з.е., 36/72 ч., 1/2, Д № 8514)_ЭЖД-55у_26.02.20_10:15</v>
      </c>
    </row>
    <row r="122" spans="1:14" ht="25.5" x14ac:dyDescent="0.2">
      <c r="A122" s="7"/>
      <c r="B122" s="8" t="s">
        <v>113</v>
      </c>
      <c r="C122" s="8" t="s">
        <v>16</v>
      </c>
      <c r="D122" s="9" t="s">
        <v>51</v>
      </c>
      <c r="E122" s="10">
        <v>2</v>
      </c>
      <c r="F122" s="11">
        <v>46072</v>
      </c>
      <c r="G122" s="10">
        <v>9212</v>
      </c>
      <c r="H122" s="12">
        <v>0.64930555555555558</v>
      </c>
      <c r="I122" s="10" t="str">
        <f>_xlfn.CONCAT(Таблица1[[#This Row],[Группа]],"_",TEXT(Таблица1[[#This Row],[Дата]],"ГГ.ММ.ДД"),"_",TEXT(Таблица1[[#This Row],[Время]],"чч:мм"))</f>
        <v>Эб-51_26.02.19_15:35</v>
      </c>
      <c r="J12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2" s="10"/>
      <c r="L122" t="str">
        <f>IFERROR(IF(SEARCH("курс",Таблица1[[#This Row],[Форма контроля]])&gt;=1,),"Ошибка")</f>
        <v>Ошибка</v>
      </c>
      <c r="M12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Проектный практикум (2/8 з.е., 72/288 ч., 1/4, Д № 8912)Эб-51ошибка</v>
      </c>
      <c r="N12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Проектный практикум (2/8 з.е., 72/288 ч., 1/4, Д № 8912)_Эб-51_26.02.19_15:35</v>
      </c>
    </row>
    <row r="123" spans="1:14" ht="25.5" x14ac:dyDescent="0.2">
      <c r="A123" s="7"/>
      <c r="B123" s="8" t="s">
        <v>113</v>
      </c>
      <c r="C123" s="8" t="s">
        <v>16</v>
      </c>
      <c r="D123" s="9" t="s">
        <v>54</v>
      </c>
      <c r="E123" s="10">
        <v>4</v>
      </c>
      <c r="F123" s="11">
        <v>46073</v>
      </c>
      <c r="G123" s="10">
        <v>9207</v>
      </c>
      <c r="H123" s="12">
        <v>0.50694444444444442</v>
      </c>
      <c r="I123" s="10" t="str">
        <f>_xlfn.CONCAT(Таблица1[[#This Row],[Группа]],"_",TEXT(Таблица1[[#This Row],[Дата]],"ГГ.ММ.ДД"),"_",TEXT(Таблица1[[#This Row],[Время]],"чч:мм"))</f>
        <v>Мб-52_26.02.20_12:10</v>
      </c>
      <c r="J12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3" s="10"/>
      <c r="L123" t="str">
        <f>IFERROR(IF(SEARCH("курс",Таблица1[[#This Row],[Форма контроля]])&gt;=1,),"Ошибка")</f>
        <v>Ошибка</v>
      </c>
      <c r="M12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Проектный практикум (2/8 з.е., 72/288 ч., 1/4, Д № 8912)Мб-52ошибка</v>
      </c>
      <c r="N12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Проектный практикум (2/8 з.е., 72/288 ч., 1/4, Д № 8912)_Мб-52_26.02.20_12:10</v>
      </c>
    </row>
    <row r="124" spans="1:14" ht="25.5" x14ac:dyDescent="0.2">
      <c r="A124" s="7"/>
      <c r="B124" s="8" t="s">
        <v>113</v>
      </c>
      <c r="C124" s="8" t="s">
        <v>16</v>
      </c>
      <c r="D124" s="9" t="s">
        <v>87</v>
      </c>
      <c r="E124" s="10">
        <v>5</v>
      </c>
      <c r="F124" s="11">
        <v>46072</v>
      </c>
      <c r="G124" s="10">
        <v>9219</v>
      </c>
      <c r="H124" s="12">
        <v>0.64930555555555558</v>
      </c>
      <c r="I124" s="10" t="str">
        <f>_xlfn.CONCAT(Таблица1[[#This Row],[Группа]],"_",TEXT(Таблица1[[#This Row],[Дата]],"ГГ.ММ.ДД"),"_",TEXT(Таблица1[[#This Row],[Время]],"чч:мм"))</f>
        <v>УПб-51_26.02.19_15:35</v>
      </c>
      <c r="J12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4" s="10"/>
      <c r="L124" t="str">
        <f>IFERROR(IF(SEARCH("курс",Таблица1[[#This Row],[Форма контроля]])&gt;=1,),"Ошибка")</f>
        <v>Ошибка</v>
      </c>
      <c r="M12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Проектный практикум (2/8 з.е., 72/288 ч., 1/4, Д № 8912)УПб-51ошибка</v>
      </c>
      <c r="N12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Проектный практикум (2/8 з.е., 72/288 ч., 1/4, Д № 8912)_УПб-51_26.02.19_15:35</v>
      </c>
    </row>
    <row r="125" spans="1:14" x14ac:dyDescent="0.2">
      <c r="A125" s="7"/>
      <c r="B125" s="8" t="s">
        <v>114</v>
      </c>
      <c r="C125" s="8" t="s">
        <v>27</v>
      </c>
      <c r="D125" s="9" t="s">
        <v>28</v>
      </c>
      <c r="E125" s="10">
        <v>6</v>
      </c>
      <c r="F125" s="11">
        <v>46069</v>
      </c>
      <c r="G125" s="10">
        <v>9212</v>
      </c>
      <c r="H125" s="12">
        <v>0.64930555555555558</v>
      </c>
      <c r="I125" s="10" t="str">
        <f>_xlfn.CONCAT(Таблица1[[#This Row],[Группа]],"_",TEXT(Таблица1[[#This Row],[Дата]],"ГГ.ММ.ДД"),"_",TEXT(Таблица1[[#This Row],[Время]],"чч:мм"))</f>
        <v>ЭМб-41_26.02.16_15:35</v>
      </c>
      <c r="J12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5" s="10"/>
      <c r="L125" t="str">
        <f>IFERROR(IF(SEARCH("курс",Таблица1[[#This Row],[Форма контроля]])&gt;=1,),"Ошибка")</f>
        <v>Ошибка</v>
      </c>
      <c r="M12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Маркетинг (4 з.е., 144 ч., 1/1, Д № 9024)ЭМб-41ошибка</v>
      </c>
      <c r="N12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Маркетинг (4 з.е., 144 ч., 1/1, Д № 9024)_ЭМб-41_26.02.16_15:35</v>
      </c>
    </row>
    <row r="126" spans="1:14" ht="25.5" x14ac:dyDescent="0.2">
      <c r="A126" s="7"/>
      <c r="B126" s="8" t="s">
        <v>115</v>
      </c>
      <c r="C126" s="8" t="s">
        <v>16</v>
      </c>
      <c r="D126" s="9" t="s">
        <v>28</v>
      </c>
      <c r="E126" s="10">
        <v>2</v>
      </c>
      <c r="F126" s="11">
        <v>46069</v>
      </c>
      <c r="G126" s="10">
        <v>9212</v>
      </c>
      <c r="H126" s="12">
        <v>0.71875</v>
      </c>
      <c r="I126" s="10" t="str">
        <f>_xlfn.CONCAT(Таблица1[[#This Row],[Группа]],"_",TEXT(Таблица1[[#This Row],[Дата]],"ГГ.ММ.ДД"),"_",TEXT(Таблица1[[#This Row],[Время]],"чч:мм"))</f>
        <v>ЭМб-41_26.02.16_17:15</v>
      </c>
      <c r="J12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6" s="10"/>
      <c r="L126" t="str">
        <f>IFERROR(IF(SEARCH("курс",Таблица1[[#This Row],[Форма контроля]])&gt;=1,),"Ошибка")</f>
        <v>Ошибка</v>
      </c>
      <c r="M12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Проектный практикум (2/8 з.е., 72/288 ч., 2/4, Д № 9021)ЭМб-41ошибка</v>
      </c>
      <c r="N12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Проектный практикум (2/8 з.е., 72/288 ч., 2/4, Д № 9021)_ЭМб-41_26.02.16_17:15</v>
      </c>
    </row>
    <row r="127" spans="1:14" x14ac:dyDescent="0.2">
      <c r="A127" s="7"/>
      <c r="B127" s="8" t="s">
        <v>114</v>
      </c>
      <c r="C127" s="8" t="s">
        <v>27</v>
      </c>
      <c r="D127" s="9" t="s">
        <v>92</v>
      </c>
      <c r="E127" s="10">
        <v>2</v>
      </c>
      <c r="F127" s="11">
        <v>46073</v>
      </c>
      <c r="G127" s="10">
        <v>9212</v>
      </c>
      <c r="H127" s="12">
        <v>0.42708333333333331</v>
      </c>
      <c r="I127" s="10" t="str">
        <f>_xlfn.CONCAT(Таблица1[[#This Row],[Группа]],"_",TEXT(Таблица1[[#This Row],[Дата]],"ГГ.ММ.ДД"),"_",TEXT(Таблица1[[#This Row],[Время]],"чч:мм"))</f>
        <v>УПб-41_26.02.20_10:15</v>
      </c>
      <c r="J12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7" s="10"/>
      <c r="L127" t="str">
        <f>IFERROR(IF(SEARCH("курс",Таблица1[[#This Row],[Форма контроля]])&gt;=1,),"Ошибка")</f>
        <v>Ошибка</v>
      </c>
      <c r="M12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Маркетинг (4 з.е., 144 ч., 1/1, Д № 9024)УПб-41ошибка</v>
      </c>
      <c r="N12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Маркетинг (4 з.е., 144 ч., 1/1, Д № 9024)_УПб-41_26.02.20_10:15</v>
      </c>
    </row>
    <row r="128" spans="1:14" ht="25.5" x14ac:dyDescent="0.2">
      <c r="A128" s="7"/>
      <c r="B128" s="8" t="s">
        <v>115</v>
      </c>
      <c r="C128" s="8" t="s">
        <v>16</v>
      </c>
      <c r="D128" s="9" t="s">
        <v>92</v>
      </c>
      <c r="E128" s="10">
        <v>1</v>
      </c>
      <c r="F128" s="11">
        <v>46074</v>
      </c>
      <c r="G128" s="10">
        <v>9212</v>
      </c>
      <c r="H128" s="12">
        <v>0.42708333333333331</v>
      </c>
      <c r="I128" s="10" t="str">
        <f>_xlfn.CONCAT(Таблица1[[#This Row],[Группа]],"_",TEXT(Таблица1[[#This Row],[Дата]],"ГГ.ММ.ДД"),"_",TEXT(Таблица1[[#This Row],[Время]],"чч:мм"))</f>
        <v>УПб-41_26.02.21_10:15</v>
      </c>
      <c r="J12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8" s="10"/>
      <c r="L128" t="str">
        <f>IFERROR(IF(SEARCH("курс",Таблица1[[#This Row],[Форма контроля]])&gt;=1,),"Ошибка")</f>
        <v>Ошибка</v>
      </c>
      <c r="M12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Проектный практикум (2/8 з.е., 72/288 ч., 2/4, Д № 9021)УПб-41ошибка</v>
      </c>
      <c r="N12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Проектный практикум (2/8 з.е., 72/288 ч., 2/4, Д № 9021)_УПб-41_26.02.21_10:15</v>
      </c>
    </row>
    <row r="129" spans="1:14" ht="25.5" x14ac:dyDescent="0.2">
      <c r="A129" s="7"/>
      <c r="B129" s="8" t="s">
        <v>116</v>
      </c>
      <c r="C129" s="8" t="s">
        <v>16</v>
      </c>
      <c r="D129" s="9" t="s">
        <v>37</v>
      </c>
      <c r="E129" s="10">
        <v>11</v>
      </c>
      <c r="F129" s="11">
        <v>46062</v>
      </c>
      <c r="G129" s="10" t="s">
        <v>47</v>
      </c>
      <c r="H129" s="12">
        <v>0.71875</v>
      </c>
      <c r="I129" s="10" t="str">
        <f>_xlfn.CONCAT(Таблица1[[#This Row],[Группа]],"_",TEXT(Таблица1[[#This Row],[Дата]],"ГГ.ММ.ДД"),"_",TEXT(Таблица1[[#This Row],[Время]],"чч:мм"))</f>
        <v>ЭМУб-41оз_26.02.09_17:15</v>
      </c>
      <c r="J12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29" s="10"/>
      <c r="L129" t="str">
        <f>IFERROR(IF(SEARCH("курс",Таблица1[[#This Row],[Форма контроля]])&gt;=1,),"Ошибка")</f>
        <v>Ошибка</v>
      </c>
      <c r="M12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Проектный практикум (2/8 з.е., 72/288 ч., 2/4, Д № 8965)ЭМУб-41озошибка</v>
      </c>
      <c r="N12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Проектный практикум (2/8 з.е., 72/288 ч., 2/4, Д № 8965)_ЭМУб-41оз_26.02.09_17:15</v>
      </c>
    </row>
    <row r="130" spans="1:14" x14ac:dyDescent="0.2">
      <c r="A130" s="7"/>
      <c r="B130" s="8" t="s">
        <v>117</v>
      </c>
      <c r="C130" s="8" t="s">
        <v>27</v>
      </c>
      <c r="D130" s="9" t="s">
        <v>81</v>
      </c>
      <c r="E130" s="10">
        <v>4</v>
      </c>
      <c r="F130" s="11">
        <v>46062</v>
      </c>
      <c r="G130" s="10" t="s">
        <v>47</v>
      </c>
      <c r="H130" s="12">
        <v>0.64930555555555558</v>
      </c>
      <c r="I130" s="10" t="str">
        <f>_xlfn.CONCAT(Таблица1[[#This Row],[Группа]],"_",TEXT(Таблица1[[#This Row],[Дата]],"ГГ.ММ.ДД"),"_",TEXT(Таблица1[[#This Row],[Время]],"чч:мм"))</f>
        <v>Мб-31оз_26.02.09_15:35</v>
      </c>
      <c r="J13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0" s="10"/>
      <c r="L130" t="str">
        <f>IFERROR(IF(SEARCH("курс",Таблица1[[#This Row],[Форма контроля]])&gt;=1,),"Ошибка")</f>
        <v>Ошибка</v>
      </c>
      <c r="M13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Маркетинг (4 з.е., 144 ч., 1/1, Д № 5899)Мб-31озошибка</v>
      </c>
      <c r="N13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Маркетинг (4 з.е., 144 ч., 1/1, Д № 5899)_Мб-31оз_26.02.09_15:35</v>
      </c>
    </row>
    <row r="131" spans="1:14" ht="25.5" x14ac:dyDescent="0.2">
      <c r="A131" s="7"/>
      <c r="B131" s="8" t="s">
        <v>118</v>
      </c>
      <c r="C131" s="8" t="s">
        <v>16</v>
      </c>
      <c r="D131" s="9" t="s">
        <v>49</v>
      </c>
      <c r="E131" s="10">
        <v>1</v>
      </c>
      <c r="F131" s="11">
        <v>46071</v>
      </c>
      <c r="G131" s="10">
        <v>9207</v>
      </c>
      <c r="H131" s="12">
        <v>0.71875</v>
      </c>
      <c r="I131" s="10" t="str">
        <f>_xlfn.CONCAT(Таблица1[[#This Row],[Группа]],"_",TEXT(Таблица1[[#This Row],[Дата]],"ГГ.ММ.ДД"),"_",TEXT(Таблица1[[#This Row],[Время]],"чч:мм"))</f>
        <v>Мб-21_26.02.18_17:15</v>
      </c>
      <c r="J13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1" s="10"/>
      <c r="L131" t="str">
        <f>IFERROR(IF(SEARCH("курс",Таблица1[[#This Row],[Форма контроля]])&gt;=1,),"Ошибка")</f>
        <v>Ошибка</v>
      </c>
      <c r="M13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Международная логистика (3 з.е., 108 ч., 1/1, Д № 5823)Мб-21ошибка</v>
      </c>
      <c r="N13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Международная логистика (3 з.е., 108 ч., 1/1, Д № 5823)_Мб-21_26.02.18_17:15</v>
      </c>
    </row>
    <row r="132" spans="1:14" ht="38.25" x14ac:dyDescent="0.2">
      <c r="A132" s="7"/>
      <c r="B132" s="8" t="s">
        <v>119</v>
      </c>
      <c r="C132" s="8" t="s">
        <v>24</v>
      </c>
      <c r="D132" s="9" t="s">
        <v>120</v>
      </c>
      <c r="E132" s="10">
        <v>6</v>
      </c>
      <c r="F132" s="11">
        <v>46065</v>
      </c>
      <c r="G132" s="10" t="s">
        <v>47</v>
      </c>
      <c r="H132" s="12">
        <v>0.71875</v>
      </c>
      <c r="I132" s="10" t="str">
        <f>_xlfn.CONCAT(Таблица1[[#This Row],[Группа]],"_",TEXT(Таблица1[[#This Row],[Дата]],"ГГ.ММ.ДД"),"_",TEXT(Таблица1[[#This Row],[Время]],"чч:мм"))</f>
        <v>Мб-21оз_26.02.12_17:15</v>
      </c>
      <c r="J13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2" s="10"/>
      <c r="L132" t="str">
        <f>IFERROR(IF(SEARCH("курс",Таблица1[[#This Row],[Форма контроля]])&gt;=1,),"Ошибка")</f>
        <v>Ошибка</v>
      </c>
      <c r="M13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Городская логистика (4 з.е., 144 ч., 1/1, Д № 5911)Мб-21озошибка</v>
      </c>
      <c r="N13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Городская логистика (4 з.е., 144 ч., 1/1, Д № 5911)_Мб-21оз_26.02.12_17:15</v>
      </c>
    </row>
    <row r="133" spans="1:14" ht="25.5" x14ac:dyDescent="0.2">
      <c r="A133" s="18"/>
      <c r="B133" s="8" t="s">
        <v>113</v>
      </c>
      <c r="C133" s="8" t="s">
        <v>16</v>
      </c>
      <c r="D133" s="9" t="s">
        <v>53</v>
      </c>
      <c r="E133" s="10">
        <v>1</v>
      </c>
      <c r="F133" s="11">
        <v>46070</v>
      </c>
      <c r="G133" s="10">
        <v>9214</v>
      </c>
      <c r="H133" s="12">
        <v>0.50694444444444442</v>
      </c>
      <c r="I133" s="10" t="str">
        <f>_xlfn.CONCAT(Таблица1[[#This Row],[Группа]],"_",TEXT(Таблица1[[#This Row],[Дата]],"ГГ.ММ.ДД"),"_",TEXT(Таблица1[[#This Row],[Время]],"чч:мм"))</f>
        <v>Мб-51_26.02.17_12:10</v>
      </c>
      <c r="J13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3" s="10"/>
      <c r="L133" t="str">
        <f>IFERROR(IF(SEARCH("курс",Таблица1[[#This Row],[Форма контроля]])&gt;=1,),"Ошибка")</f>
        <v>Ошибка</v>
      </c>
      <c r="M13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Проектный практикум (2/8 з.е., 72/288 ч., 1/4, Д № 8912)Мб-51ошибка</v>
      </c>
      <c r="N13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Проектный практикум (2/8 з.е., 72/288 ч., 1/4, Д № 8912)_Мб-51_26.02.17_12:10</v>
      </c>
    </row>
    <row r="134" spans="1:14" ht="38.25" x14ac:dyDescent="0.2">
      <c r="A134" s="19"/>
      <c r="B134" s="7" t="s">
        <v>121</v>
      </c>
      <c r="C134" s="8" t="s">
        <v>16</v>
      </c>
      <c r="D134" s="9" t="s">
        <v>62</v>
      </c>
      <c r="E134" s="10">
        <v>1</v>
      </c>
      <c r="F134" s="11">
        <v>46064</v>
      </c>
      <c r="G134" s="10">
        <v>9413</v>
      </c>
      <c r="H134" s="12">
        <v>0.42708333333333331</v>
      </c>
      <c r="I134" s="10" t="str">
        <f>_xlfn.CONCAT(Таблица1[[#This Row],[Группа]],"_",TEXT(Таблица1[[#This Row],[Дата]],"ГГ.ММ.ДД"),"_",TEXT(Таблица1[[#This Row],[Время]],"чч:мм"))</f>
        <v>ЭЖД-32_26.02.11_10:15</v>
      </c>
      <c r="J13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4" s="10"/>
      <c r="L134" t="str">
        <f>IFERROR(IF(SEARCH("курс",Таблица1[[#This Row],[Форма контроля]])&gt;=1,),"Ошибка")</f>
        <v>Ошибка</v>
      </c>
      <c r="M13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Математическое моделирование систем и процессов (2/6 з.е., 72/216 ч., 1/2, Д № 4789)ЭЖД-32ошибка</v>
      </c>
      <c r="N13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Математическое моделирование систем и процессов (2/6 з.е., 72/216 ч., 1/2, Д № 4789)_ЭЖД-32_26.02.11_10:15</v>
      </c>
    </row>
    <row r="135" spans="1:14" ht="38.25" x14ac:dyDescent="0.2">
      <c r="A135" s="20"/>
      <c r="B135" s="8" t="s">
        <v>121</v>
      </c>
      <c r="C135" s="8" t="s">
        <v>16</v>
      </c>
      <c r="D135" s="9" t="s">
        <v>34</v>
      </c>
      <c r="E135" s="10">
        <v>3</v>
      </c>
      <c r="F135" s="11">
        <v>46064</v>
      </c>
      <c r="G135" s="10">
        <v>9413</v>
      </c>
      <c r="H135" s="12">
        <v>0.42708333333333331</v>
      </c>
      <c r="I135" s="10" t="str">
        <f>_xlfn.CONCAT(Таблица1[[#This Row],[Группа]],"_",TEXT(Таблица1[[#This Row],[Дата]],"ГГ.ММ.ДД"),"_",TEXT(Таблица1[[#This Row],[Время]],"чч:мм"))</f>
        <v>ЭЖД-31_26.02.11_10:15</v>
      </c>
      <c r="J13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5" s="10"/>
      <c r="L135" t="str">
        <f>IFERROR(IF(SEARCH("курс",Таблица1[[#This Row],[Форма контроля]])&gt;=1,),"Ошибка")</f>
        <v>Ошибка</v>
      </c>
      <c r="M13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Математическое моделирование систем и процессов (2/6 з.е., 72/216 ч., 1/2, Д № 4789)ЭЖД-31ошибка</v>
      </c>
      <c r="N13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Математическое моделирование систем и процессов (2/6 з.е., 72/216 ч., 1/2, Д № 4789)_ЭЖД-31_26.02.11_10:15</v>
      </c>
    </row>
    <row r="136" spans="1:14" ht="38.25" x14ac:dyDescent="0.2">
      <c r="A136" s="7"/>
      <c r="B136" s="8" t="s">
        <v>121</v>
      </c>
      <c r="C136" s="8" t="s">
        <v>16</v>
      </c>
      <c r="D136" s="9" t="s">
        <v>35</v>
      </c>
      <c r="E136" s="10">
        <v>1</v>
      </c>
      <c r="F136" s="11">
        <v>46064</v>
      </c>
      <c r="G136" s="10">
        <v>9413</v>
      </c>
      <c r="H136" s="12">
        <v>0.42708333333333331</v>
      </c>
      <c r="I136" s="10" t="str">
        <f>_xlfn.CONCAT(Таблица1[[#This Row],[Группа]],"_",TEXT(Таблица1[[#This Row],[Дата]],"ГГ.ММ.ДД"),"_",TEXT(Таблица1[[#This Row],[Время]],"чч:мм"))</f>
        <v>ЭЖД-33_26.02.11_10:15</v>
      </c>
      <c r="J13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6" s="10"/>
      <c r="L136" t="str">
        <f>IFERROR(IF(SEARCH("курс",Таблица1[[#This Row],[Форма контроля]])&gt;=1,),"Ошибка")</f>
        <v>Ошибка</v>
      </c>
      <c r="M13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Математическое моделирование систем и процессов (2/6 з.е., 72/216 ч., 1/2, Д № 4789)ЭЖД-33ошибка</v>
      </c>
      <c r="N13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Математическое моделирование систем и процессов (2/6 з.е., 72/216 ч., 1/2, Д № 4789)_ЭЖД-33_26.02.11_10:15</v>
      </c>
    </row>
    <row r="137" spans="1:14" ht="38.25" x14ac:dyDescent="0.2">
      <c r="A137" s="7"/>
      <c r="B137" s="8" t="s">
        <v>122</v>
      </c>
      <c r="C137" s="8" t="s">
        <v>24</v>
      </c>
      <c r="D137" s="9" t="s">
        <v>123</v>
      </c>
      <c r="E137" s="10">
        <v>1</v>
      </c>
      <c r="F137" s="11">
        <v>46064</v>
      </c>
      <c r="G137" s="10">
        <v>9413</v>
      </c>
      <c r="H137" s="12">
        <v>0.42708333333333331</v>
      </c>
      <c r="I137" s="10" t="str">
        <f>_xlfn.CONCAT(Таблица1[[#This Row],[Группа]],"_",TEXT(Таблица1[[#This Row],[Дата]],"ГГ.ММ.ДД"),"_",TEXT(Таблица1[[#This Row],[Время]],"чч:мм"))</f>
        <v>ТТПб-21_26.02.11_10:15</v>
      </c>
      <c r="J13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7" s="10"/>
      <c r="L137" t="str">
        <f>IFERROR(IF(SEARCH("курс",Таблица1[[#This Row],[Форма контроля]])&gt;=1,),"Ошибка")</f>
        <v>Ошибка</v>
      </c>
      <c r="M13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Математическое моделирование транспортных процессов (4/8 з.е., 144/288 ч., 1/2, Д № 5283)ТТПб-21ошибка</v>
      </c>
      <c r="N13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Математическое моделирование транспортных процессов (4/8 з.е., 144/288 ч., 1/2, Д № 5283)_ТТПб-21_26.02.11_10:15</v>
      </c>
    </row>
    <row r="138" spans="1:14" ht="38.25" x14ac:dyDescent="0.2">
      <c r="A138" s="7"/>
      <c r="B138" s="8" t="s">
        <v>124</v>
      </c>
      <c r="C138" s="8" t="s">
        <v>16</v>
      </c>
      <c r="D138" s="9" t="s">
        <v>25</v>
      </c>
      <c r="E138" s="10">
        <v>4</v>
      </c>
      <c r="F138" s="11">
        <v>46064</v>
      </c>
      <c r="G138" s="10">
        <v>9413</v>
      </c>
      <c r="H138" s="12">
        <v>0.42708333333333331</v>
      </c>
      <c r="I138" s="10" t="str">
        <f>_xlfn.CONCAT(Таблица1[[#This Row],[Группа]],"_",TEXT(Таблица1[[#This Row],[Дата]],"ГГ.ММ.ДД"),"_",TEXT(Таблица1[[#This Row],[Время]],"чч:мм"))</f>
        <v>ЭЖД-44у_26.02.11_10:15</v>
      </c>
      <c r="J13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8" s="10"/>
      <c r="L138" t="str">
        <f>IFERROR(IF(SEARCH("курс",Таблица1[[#This Row],[Форма контроля]])&gt;=1,),"Ошибка")</f>
        <v>Ошибка</v>
      </c>
      <c r="M13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Математическое моделирование систем и процессов (2/6 з.е., 72/216 ч., 1/2, Д № 8591)ЭЖД-44уошибка</v>
      </c>
      <c r="N13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Математическое моделирование систем и процессов (2/6 з.е., 72/216 ч., 1/2, Д № 8591)_ЭЖД-44у_26.02.11_10:15</v>
      </c>
    </row>
    <row r="139" spans="1:14" ht="38.25" x14ac:dyDescent="0.2">
      <c r="A139" s="7"/>
      <c r="B139" s="8" t="s">
        <v>124</v>
      </c>
      <c r="C139" s="8" t="s">
        <v>16</v>
      </c>
      <c r="D139" s="9" t="s">
        <v>58</v>
      </c>
      <c r="E139" s="10">
        <v>3</v>
      </c>
      <c r="F139" s="11">
        <v>46064</v>
      </c>
      <c r="G139" s="10">
        <v>9413</v>
      </c>
      <c r="H139" s="12">
        <v>0.42708333333333331</v>
      </c>
      <c r="I139" s="10" t="str">
        <f>_xlfn.CONCAT(Таблица1[[#This Row],[Группа]],"_",TEXT(Таблица1[[#This Row],[Дата]],"ГГ.ММ.ДД"),"_",TEXT(Таблица1[[#This Row],[Время]],"чч:мм"))</f>
        <v>ЭЖД-45у_26.02.11_10:15</v>
      </c>
      <c r="J13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39" s="10"/>
      <c r="L139" t="str">
        <f>IFERROR(IF(SEARCH("курс",Таблица1[[#This Row],[Форма контроля]])&gt;=1,),"Ошибка")</f>
        <v>Ошибка</v>
      </c>
      <c r="M13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Математическое моделирование систем и процессов (2/6 з.е., 72/216 ч., 1/2, Д № 8591)ЭЖД-45уошибка</v>
      </c>
      <c r="N13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Математическое моделирование систем и процессов (2/6 з.е., 72/216 ч., 1/2, Д № 8591)_ЭЖД-45у_26.02.11_10:15</v>
      </c>
    </row>
    <row r="140" spans="1:14" ht="25.5" x14ac:dyDescent="0.2">
      <c r="A140" s="7"/>
      <c r="B140" s="8" t="s">
        <v>125</v>
      </c>
      <c r="C140" s="8" t="s">
        <v>57</v>
      </c>
      <c r="D140" s="9" t="s">
        <v>71</v>
      </c>
      <c r="E140" s="10">
        <v>1</v>
      </c>
      <c r="F140" s="11">
        <v>46066</v>
      </c>
      <c r="G140" s="10">
        <v>9412</v>
      </c>
      <c r="H140" s="12">
        <v>0.50694444444444442</v>
      </c>
      <c r="I140" s="10" t="str">
        <f>_xlfn.CONCAT(Таблица1[[#This Row],[Группа]],"_",TEXT(Таблица1[[#This Row],[Дата]],"ГГ.ММ.ДД"),"_",TEXT(Таблица1[[#This Row],[Время]],"чч:мм"))</f>
        <v>ЭЖД-22_26.02.13_12:10</v>
      </c>
      <c r="J14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0" s="10"/>
      <c r="L140">
        <f>IFERROR(IF(SEARCH("курс",Таблица1[[#This Row],[Форма контроля]])&gt;=1,),"Ошибка")</f>
        <v>0</v>
      </c>
      <c r="M14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(4/22 з.е., 144/792 ч., 3/5, Д № 6876)ЭЖД-22</v>
      </c>
      <c r="N14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(4/22 з.е., 144/792 ч., 3/5, Д № 6876)_ЭЖД-22_26.02.13_12:10</v>
      </c>
    </row>
    <row r="141" spans="1:14" ht="25.5" x14ac:dyDescent="0.2">
      <c r="A141" s="7"/>
      <c r="B141" s="8" t="s">
        <v>125</v>
      </c>
      <c r="C141" s="8" t="s">
        <v>57</v>
      </c>
      <c r="D141" s="9" t="s">
        <v>72</v>
      </c>
      <c r="E141" s="10">
        <v>6</v>
      </c>
      <c r="F141" s="11">
        <v>46066</v>
      </c>
      <c r="G141" s="10">
        <v>9412</v>
      </c>
      <c r="H141" s="12">
        <v>0.50694444444444442</v>
      </c>
      <c r="I141" s="10" t="str">
        <f>_xlfn.CONCAT(Таблица1[[#This Row],[Группа]],"_",TEXT(Таблица1[[#This Row],[Дата]],"ГГ.ММ.ДД"),"_",TEXT(Таблица1[[#This Row],[Время]],"чч:мм"))</f>
        <v>ЭЖД-23_26.02.13_12:10</v>
      </c>
      <c r="J14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1" s="10"/>
      <c r="L141">
        <f>IFERROR(IF(SEARCH("курс",Таблица1[[#This Row],[Форма контроля]])&gt;=1,),"Ошибка")</f>
        <v>0</v>
      </c>
      <c r="M14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(4/22 з.е., 144/792 ч., 3/5, Д № 6876)ЭЖД-23</v>
      </c>
      <c r="N14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(4/22 з.е., 144/792 ч., 3/5, Д № 6876)_ЭЖД-23_26.02.13_12:10</v>
      </c>
    </row>
    <row r="142" spans="1:14" ht="38.25" x14ac:dyDescent="0.2">
      <c r="A142" s="7"/>
      <c r="B142" s="8" t="s">
        <v>126</v>
      </c>
      <c r="C142" s="8" t="s">
        <v>27</v>
      </c>
      <c r="D142" s="9" t="s">
        <v>44</v>
      </c>
      <c r="E142" s="10">
        <v>2</v>
      </c>
      <c r="F142" s="11">
        <v>46062</v>
      </c>
      <c r="G142" s="10">
        <v>5410</v>
      </c>
      <c r="H142" s="12">
        <v>0.57986111111111105</v>
      </c>
      <c r="I142" s="10" t="str">
        <f>_xlfn.CONCAT(Таблица1[[#This Row],[Группа]],"_",TEXT(Таблица1[[#This Row],[Дата]],"ГГ.ММ.ДД"),"_",TEXT(Таблица1[[#This Row],[Время]],"чч:мм"))</f>
        <v>УПб-31_26.02.09_13:55</v>
      </c>
      <c r="J14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2" s="10"/>
      <c r="L142" t="str">
        <f>IFERROR(IF(SEARCH("курс",Таблица1[[#This Row],[Форма контроля]])&gt;=1,),"Ошибка")</f>
        <v>Ошибка</v>
      </c>
      <c r="M14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Мотивация и стимулирование трудовой деятельности (5 з.е., 180 ч., 1/1, Д № 6023)УПб-31ошибка</v>
      </c>
      <c r="N14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Мотивация и стимулирование трудовой деятельности (5 з.е., 180 ч., 1/1, Д № 6023)_УПб-31_26.02.09_13:55</v>
      </c>
    </row>
    <row r="143" spans="1:14" ht="38.25" x14ac:dyDescent="0.2">
      <c r="A143" s="7"/>
      <c r="B143" s="8" t="s">
        <v>127</v>
      </c>
      <c r="C143" s="8" t="s">
        <v>24</v>
      </c>
      <c r="D143" s="9" t="s">
        <v>75</v>
      </c>
      <c r="E143" s="10">
        <v>2</v>
      </c>
      <c r="F143" s="11">
        <v>46072</v>
      </c>
      <c r="G143" s="10">
        <v>5410</v>
      </c>
      <c r="H143" s="12">
        <v>0.57986111111111105</v>
      </c>
      <c r="I143" s="10" t="str">
        <f>_xlfn.CONCAT(Таблица1[[#This Row],[Группа]],"_",TEXT(Таблица1[[#This Row],[Дата]],"ГГ.ММ.ДД"),"_",TEXT(Таблица1[[#This Row],[Время]],"чч:мм"))</f>
        <v>ЭЖД-55у_26.02.19_13:55</v>
      </c>
      <c r="J14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3" s="10"/>
      <c r="L143" t="str">
        <f>IFERROR(IF(SEARCH("курс",Таблица1[[#This Row],[Форма контроля]])&gt;=1,),"Ошибка")</f>
        <v>Ошибка</v>
      </c>
      <c r="M14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персоналом (3 з.е., 108 ч., 1/1, Д № 7414)ЭЖД-55уошибка</v>
      </c>
      <c r="N14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персоналом (3 з.е., 108 ч., 1/1, Д № 7414)_ЭЖД-55у_26.02.19_13:55</v>
      </c>
    </row>
    <row r="144" spans="1:14" ht="38.25" x14ac:dyDescent="0.2">
      <c r="A144" s="7"/>
      <c r="B144" s="8" t="s">
        <v>127</v>
      </c>
      <c r="C144" s="8" t="s">
        <v>24</v>
      </c>
      <c r="D144" s="9" t="s">
        <v>77</v>
      </c>
      <c r="E144" s="10">
        <v>2</v>
      </c>
      <c r="F144" s="11">
        <v>46072</v>
      </c>
      <c r="G144" s="10">
        <v>5410</v>
      </c>
      <c r="H144" s="12">
        <v>0.57986111111111105</v>
      </c>
      <c r="I144" s="10" t="str">
        <f>_xlfn.CONCAT(Таблица1[[#This Row],[Группа]],"_",TEXT(Таблица1[[#This Row],[Дата]],"ГГ.ММ.ДД"),"_",TEXT(Таблица1[[#This Row],[Время]],"чч:мм"))</f>
        <v>ЭЖД-54у_26.02.19_13:55</v>
      </c>
      <c r="J14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4" s="10"/>
      <c r="L144" t="str">
        <f>IFERROR(IF(SEARCH("курс",Таблица1[[#This Row],[Форма контроля]])&gt;=1,),"Ошибка")</f>
        <v>Ошибка</v>
      </c>
      <c r="M14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персоналом (3 з.е., 108 ч., 1/1, Д № 7414)ЭЖД-54уошибка</v>
      </c>
      <c r="N14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персоналом (3 з.е., 108 ч., 1/1, Д № 7414)_ЭЖД-54у_26.02.19_13:55</v>
      </c>
    </row>
    <row r="145" spans="1:14" ht="38.25" x14ac:dyDescent="0.2">
      <c r="A145" s="7"/>
      <c r="B145" s="8" t="s">
        <v>127</v>
      </c>
      <c r="C145" s="8" t="s">
        <v>24</v>
      </c>
      <c r="D145" s="17" t="s">
        <v>85</v>
      </c>
      <c r="E145" s="10">
        <v>2</v>
      </c>
      <c r="F145" s="11">
        <v>46072</v>
      </c>
      <c r="G145" s="10">
        <v>5410</v>
      </c>
      <c r="H145" s="12">
        <v>0.57986111111111105</v>
      </c>
      <c r="I145" s="10" t="str">
        <f>_xlfn.CONCAT(Таблица1[[#This Row],[Группа]],"_",TEXT(Таблица1[[#This Row],[Дата]],"ГГ.ММ.ДД"),"_",TEXT(Таблица1[[#This Row],[Время]],"чч:мм"))</f>
        <v xml:space="preserve"> ЭЖД-57у_26.02.19_13:55</v>
      </c>
      <c r="J14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5" s="10"/>
      <c r="L145" t="str">
        <f>IFERROR(IF(SEARCH("курс",Таблица1[[#This Row],[Форма контроля]])&gt;=1,),"Ошибка")</f>
        <v>Ошибка</v>
      </c>
      <c r="M14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персоналом (3 з.е., 108 ч., 1/1, Д № 7414) ЭЖД-57уошибка</v>
      </c>
      <c r="N14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персоналом (3 з.е., 108 ч., 1/1, Д № 7414)_ ЭЖД-57у_26.02.19_13:55</v>
      </c>
    </row>
    <row r="146" spans="1:14" ht="25.5" x14ac:dyDescent="0.2">
      <c r="A146" s="7"/>
      <c r="B146" s="8" t="s">
        <v>21</v>
      </c>
      <c r="C146" s="8" t="s">
        <v>16</v>
      </c>
      <c r="D146" s="9" t="s">
        <v>20</v>
      </c>
      <c r="E146" s="10">
        <v>9</v>
      </c>
      <c r="F146" s="11">
        <v>46070</v>
      </c>
      <c r="G146" s="10">
        <v>5210</v>
      </c>
      <c r="H146" s="12">
        <v>0.42708333333333331</v>
      </c>
      <c r="I146" s="10" t="str">
        <f>_xlfn.CONCAT(Таблица1[[#This Row],[Группа]],"_",TEXT(Таблица1[[#This Row],[Дата]],"ГГ.ММ.ДД"),"_",TEXT(Таблица1[[#This Row],[Время]],"чч:мм"))</f>
        <v>ЭЖД-51_26.02.17_10:15</v>
      </c>
      <c r="J14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6" s="10"/>
      <c r="L146" t="str">
        <f>IFERROR(IF(SEARCH("курс",Таблица1[[#This Row],[Форма контроля]])&gt;=1,),"Ошибка")</f>
        <v>Ошибка</v>
      </c>
      <c r="M14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Физическая культура и спорт (1/2 з.е., 36/72 ч., 1/2, Д № 7393)ЭЖД-51ошибка</v>
      </c>
      <c r="N14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Физическая культура и спорт (1/2 з.е., 36/72 ч., 1/2, Д № 7393)_ЭЖД-51_26.02.17_10:15</v>
      </c>
    </row>
    <row r="147" spans="1:14" ht="38.25" x14ac:dyDescent="0.2">
      <c r="A147" s="7"/>
      <c r="B147" s="8" t="s">
        <v>22</v>
      </c>
      <c r="C147" s="8" t="s">
        <v>16</v>
      </c>
      <c r="D147" s="9" t="s">
        <v>20</v>
      </c>
      <c r="E147" s="10">
        <v>9</v>
      </c>
      <c r="F147" s="11">
        <v>46070</v>
      </c>
      <c r="G147" s="10">
        <v>5210</v>
      </c>
      <c r="H147" s="12">
        <v>0.50694444444444442</v>
      </c>
      <c r="I147" s="10" t="str">
        <f>_xlfn.CONCAT(Таблица1[[#This Row],[Группа]],"_",TEXT(Таблица1[[#This Row],[Дата]],"ГГ.ММ.ДД"),"_",TEXT(Таблица1[[#This Row],[Время]],"чч:мм"))</f>
        <v>ЭЖД-51_26.02.17_12:10</v>
      </c>
      <c r="J14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7" s="10"/>
      <c r="L147" t="str">
        <f>IFERROR(IF(SEARCH("курс",Таблица1[[#This Row],[Форма контроля]])&gt;=1,),"Ошибка")</f>
        <v>Ошибка</v>
      </c>
      <c r="M14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(36/328 ч., 1/6, Д № 7444)ЭЖД-51ошибка</v>
      </c>
      <c r="N14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(36/328 ч., 1/6, Д № 7444)_ЭЖД-51_26.02.17_12:10</v>
      </c>
    </row>
    <row r="148" spans="1:14" ht="25.5" x14ac:dyDescent="0.2">
      <c r="A148" s="7"/>
      <c r="B148" s="8" t="s">
        <v>128</v>
      </c>
      <c r="C148" s="8" t="s">
        <v>27</v>
      </c>
      <c r="D148" s="9" t="s">
        <v>31</v>
      </c>
      <c r="E148" s="10">
        <v>2</v>
      </c>
      <c r="F148" s="11">
        <v>46072</v>
      </c>
      <c r="G148" s="10">
        <v>9305</v>
      </c>
      <c r="H148" s="12">
        <v>0.57986111111111105</v>
      </c>
      <c r="I148" s="10" t="str">
        <f>_xlfn.CONCAT(Таблица1[[#This Row],[Группа]],"_",TEXT(Таблица1[[#This Row],[Дата]],"ГГ.ММ.ДД"),"_",TEXT(Таблица1[[#This Row],[Время]],"чч:мм"))</f>
        <v>ЭЖД-42_26.02.19_13:55</v>
      </c>
      <c r="J14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8" s="10"/>
      <c r="L148" t="str">
        <f>IFERROR(IF(SEARCH("курс",Таблица1[[#This Row],[Форма контроля]])&gt;=1,),"Ошибка")</f>
        <v>Ошибка</v>
      </c>
      <c r="M14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(3/8 з.е., 108/288 ч., 3/3, Д № 7456)ЭЖД-42ошибка</v>
      </c>
      <c r="N14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(3/8 з.е., 108/288 ч., 3/3, Д № 7456)_ЭЖД-42_26.02.19_13:55</v>
      </c>
    </row>
    <row r="149" spans="1:14" ht="25.5" x14ac:dyDescent="0.2">
      <c r="A149" s="7"/>
      <c r="B149" s="8" t="s">
        <v>128</v>
      </c>
      <c r="C149" s="8" t="s">
        <v>27</v>
      </c>
      <c r="D149" s="9" t="s">
        <v>30</v>
      </c>
      <c r="E149" s="10">
        <v>7</v>
      </c>
      <c r="F149" s="11">
        <v>46072</v>
      </c>
      <c r="G149" s="10">
        <v>9305</v>
      </c>
      <c r="H149" s="12">
        <v>0.57986111111111105</v>
      </c>
      <c r="I149" s="10" t="str">
        <f>_xlfn.CONCAT(Таблица1[[#This Row],[Группа]],"_",TEXT(Таблица1[[#This Row],[Дата]],"ГГ.ММ.ДД"),"_",TEXT(Таблица1[[#This Row],[Время]],"чч:мм"))</f>
        <v>ЭЖД-41_26.02.19_13:55</v>
      </c>
      <c r="J14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49" s="10"/>
      <c r="L149" t="str">
        <f>IFERROR(IF(SEARCH("курс",Таблица1[[#This Row],[Форма контроля]])&gt;=1,),"Ошибка")</f>
        <v>Ошибка</v>
      </c>
      <c r="M14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(3/8 з.е., 108/288 ч., 3/3, Д № 7456)ЭЖД-41ошибка</v>
      </c>
      <c r="N14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(3/8 з.е., 108/288 ч., 3/3, Д № 7456)_ЭЖД-41_26.02.19_13:55</v>
      </c>
    </row>
    <row r="150" spans="1:14" ht="25.5" x14ac:dyDescent="0.2">
      <c r="A150" s="7"/>
      <c r="B150" s="8" t="s">
        <v>128</v>
      </c>
      <c r="C150" s="8" t="s">
        <v>27</v>
      </c>
      <c r="D150" s="9" t="s">
        <v>32</v>
      </c>
      <c r="E150" s="10">
        <v>6</v>
      </c>
      <c r="F150" s="11">
        <v>46072</v>
      </c>
      <c r="G150" s="10">
        <v>9305</v>
      </c>
      <c r="H150" s="12">
        <v>0.64930555555555558</v>
      </c>
      <c r="I150" s="10" t="str">
        <f>_xlfn.CONCAT(Таблица1[[#This Row],[Группа]],"_",TEXT(Таблица1[[#This Row],[Дата]],"ГГ.ММ.ДД"),"_",TEXT(Таблица1[[#This Row],[Время]],"чч:мм"))</f>
        <v>ЭЖД-43_26.02.19_15:35</v>
      </c>
      <c r="J15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0" s="10"/>
      <c r="L150" t="str">
        <f>IFERROR(IF(SEARCH("курс",Таблица1[[#This Row],[Форма контроля]])&gt;=1,),"Ошибка")</f>
        <v>Ошибка</v>
      </c>
      <c r="M15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(3/8 з.е., 108/288 ч., 3/3, Д № 7456)ЭЖД-43ошибка</v>
      </c>
      <c r="N15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(3/8 з.е., 108/288 ч., 3/3, Д № 7456)_ЭЖД-43_26.02.19_15:35</v>
      </c>
    </row>
    <row r="151" spans="1:14" ht="25.5" x14ac:dyDescent="0.2">
      <c r="A151" s="7"/>
      <c r="B151" s="8" t="s">
        <v>129</v>
      </c>
      <c r="C151" s="8" t="s">
        <v>16</v>
      </c>
      <c r="D151" s="9" t="s">
        <v>20</v>
      </c>
      <c r="E151" s="10">
        <v>6</v>
      </c>
      <c r="F151" s="11">
        <v>46072</v>
      </c>
      <c r="G151" s="10">
        <v>9305</v>
      </c>
      <c r="H151" s="12">
        <v>0.64930555555555558</v>
      </c>
      <c r="I151" s="10" t="str">
        <f>_xlfn.CONCAT(Таблица1[[#This Row],[Группа]],"_",TEXT(Таблица1[[#This Row],[Дата]],"ГГ.ММ.ДД"),"_",TEXT(Таблица1[[#This Row],[Время]],"чч:мм"))</f>
        <v>ЭЖД-51_26.02.19_15:35</v>
      </c>
      <c r="J15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1" s="10"/>
      <c r="L151" t="str">
        <f>IFERROR(IF(SEARCH("курс",Таблица1[[#This Row],[Форма контроля]])&gt;=1,),"Ошибка")</f>
        <v>Ошибка</v>
      </c>
      <c r="M15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(2/8 з.е., 72/288 ч., 1/3, Д № 7456)ЭЖД-51ошибка</v>
      </c>
      <c r="N15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(2/8 з.е., 72/288 ч., 1/3, Д № 7456)_ЭЖД-51_26.02.19_15:35</v>
      </c>
    </row>
    <row r="152" spans="1:14" ht="25.5" x14ac:dyDescent="0.2">
      <c r="A152" s="7"/>
      <c r="B152" s="8" t="s">
        <v>129</v>
      </c>
      <c r="C152" s="8" t="s">
        <v>16</v>
      </c>
      <c r="D152" s="9" t="s">
        <v>19</v>
      </c>
      <c r="E152" s="10">
        <v>8</v>
      </c>
      <c r="F152" s="11">
        <v>46072</v>
      </c>
      <c r="G152" s="10">
        <v>9305</v>
      </c>
      <c r="H152" s="12">
        <v>0.57986111111111105</v>
      </c>
      <c r="I152" s="10" t="str">
        <f>_xlfn.CONCAT(Таблица1[[#This Row],[Группа]],"_",TEXT(Таблица1[[#This Row],[Дата]],"ГГ.ММ.ДД"),"_",TEXT(Таблица1[[#This Row],[Время]],"чч:мм"))</f>
        <v>ЭЖД-53_26.02.19_13:55</v>
      </c>
      <c r="J15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2" s="10"/>
      <c r="L152" t="str">
        <f>IFERROR(IF(SEARCH("курс",Таблица1[[#This Row],[Форма контроля]])&gt;=1,),"Ошибка")</f>
        <v>Ошибка</v>
      </c>
      <c r="M15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(2/8 з.е., 72/288 ч., 1/3, Д № 7456)ЭЖД-53ошибка</v>
      </c>
      <c r="N15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(2/8 з.е., 72/288 ч., 1/3, Д № 7456)_ЭЖД-53_26.02.19_13:55</v>
      </c>
    </row>
    <row r="153" spans="1:14" ht="25.5" x14ac:dyDescent="0.2">
      <c r="A153" s="7"/>
      <c r="B153" s="8" t="s">
        <v>129</v>
      </c>
      <c r="C153" s="8" t="s">
        <v>16</v>
      </c>
      <c r="D153" s="9" t="s">
        <v>17</v>
      </c>
      <c r="E153" s="10">
        <v>2</v>
      </c>
      <c r="F153" s="11">
        <v>46072</v>
      </c>
      <c r="G153" s="10">
        <v>9305</v>
      </c>
      <c r="H153" s="12">
        <v>0.57986111111111105</v>
      </c>
      <c r="I153" s="10" t="str">
        <f>_xlfn.CONCAT(Таблица1[[#This Row],[Группа]],"_",TEXT(Таблица1[[#This Row],[Дата]],"ГГ.ММ.ДД"),"_",TEXT(Таблица1[[#This Row],[Время]],"чч:мм"))</f>
        <v>ЭЖД-52_26.02.19_13:55</v>
      </c>
      <c r="J15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3" s="10"/>
      <c r="L153" t="str">
        <f>IFERROR(IF(SEARCH("курс",Таблица1[[#This Row],[Форма контроля]])&gt;=1,),"Ошибка")</f>
        <v>Ошибка</v>
      </c>
      <c r="M15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(2/8 з.е., 72/288 ч., 1/3, Д № 7456)ЭЖД-52ошибка</v>
      </c>
      <c r="N15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(2/8 з.е., 72/288 ч., 1/3, Д № 7456)_ЭЖД-52_26.02.19_13:55</v>
      </c>
    </row>
    <row r="154" spans="1:14" ht="38.25" x14ac:dyDescent="0.2">
      <c r="A154" s="7"/>
      <c r="B154" s="8" t="s">
        <v>130</v>
      </c>
      <c r="C154" s="8" t="s">
        <v>24</v>
      </c>
      <c r="D154" s="9" t="s">
        <v>30</v>
      </c>
      <c r="E154" s="10">
        <v>3</v>
      </c>
      <c r="F154" s="11">
        <v>46066</v>
      </c>
      <c r="G154" s="10">
        <v>7105</v>
      </c>
      <c r="H154" s="12">
        <v>0.35416666666666669</v>
      </c>
      <c r="I154" s="10" t="str">
        <f>_xlfn.CONCAT(Таблица1[[#This Row],[Группа]],"_",TEXT(Таблица1[[#This Row],[Дата]],"ГГ.ММ.ДД"),"_",TEXT(Таблица1[[#This Row],[Время]],"чч:мм"))</f>
        <v>ЭЖД-41_26.02.13_08:30</v>
      </c>
      <c r="J15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4" s="10"/>
      <c r="L154" t="str">
        <f>IFERROR(IF(SEARCH("курс",Таблица1[[#This Row],[Форма контроля]])&gt;=1,),"Ошибка")</f>
        <v>Ошибка</v>
      </c>
      <c r="M15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геодезии (3 з.е., 108 ч., 1/1, Д № 8090)ЭЖД-41ошибка</v>
      </c>
      <c r="N15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геодезии (3 з.е., 108 ч., 1/1, Д № 8090)_ЭЖД-41_26.02.13_08:30</v>
      </c>
    </row>
    <row r="155" spans="1:14" ht="38.25" x14ac:dyDescent="0.2">
      <c r="A155" s="7"/>
      <c r="B155" s="8" t="s">
        <v>130</v>
      </c>
      <c r="C155" s="8" t="s">
        <v>24</v>
      </c>
      <c r="D155" s="9" t="s">
        <v>31</v>
      </c>
      <c r="E155" s="10">
        <v>1</v>
      </c>
      <c r="F155" s="11">
        <v>46066</v>
      </c>
      <c r="G155" s="10">
        <v>7105</v>
      </c>
      <c r="H155" s="12">
        <v>0.35416666666666669</v>
      </c>
      <c r="I155" s="10" t="str">
        <f>_xlfn.CONCAT(Таблица1[[#This Row],[Группа]],"_",TEXT(Таблица1[[#This Row],[Дата]],"ГГ.ММ.ДД"),"_",TEXT(Таблица1[[#This Row],[Время]],"чч:мм"))</f>
        <v>ЭЖД-42_26.02.13_08:30</v>
      </c>
      <c r="J15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5" s="10"/>
      <c r="L155" t="str">
        <f>IFERROR(IF(SEARCH("курс",Таблица1[[#This Row],[Форма контроля]])&gt;=1,),"Ошибка")</f>
        <v>Ошибка</v>
      </c>
      <c r="M15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геодезии (3 з.е., 108 ч., 1/1, Д № 8090)ЭЖД-42ошибка</v>
      </c>
      <c r="N15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геодезии (3 з.е., 108 ч., 1/1, Д № 8090)_ЭЖД-42_26.02.13_08:30</v>
      </c>
    </row>
    <row r="156" spans="1:14" ht="38.25" x14ac:dyDescent="0.2">
      <c r="A156" s="7"/>
      <c r="B156" s="8" t="s">
        <v>130</v>
      </c>
      <c r="C156" s="8" t="s">
        <v>24</v>
      </c>
      <c r="D156" s="9" t="s">
        <v>32</v>
      </c>
      <c r="E156" s="10">
        <v>3</v>
      </c>
      <c r="F156" s="11">
        <v>46066</v>
      </c>
      <c r="G156" s="10">
        <v>7105</v>
      </c>
      <c r="H156" s="12">
        <v>0.35416666666666669</v>
      </c>
      <c r="I156" s="10" t="str">
        <f>_xlfn.CONCAT(Таблица1[[#This Row],[Группа]],"_",TEXT(Таблица1[[#This Row],[Дата]],"ГГ.ММ.ДД"),"_",TEXT(Таблица1[[#This Row],[Время]],"чч:мм"))</f>
        <v>ЭЖД-43_26.02.13_08:30</v>
      </c>
      <c r="J15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6" s="10"/>
      <c r="L156" t="str">
        <f>IFERROR(IF(SEARCH("курс",Таблица1[[#This Row],[Форма контроля]])&gt;=1,),"Ошибка")</f>
        <v>Ошибка</v>
      </c>
      <c r="M15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геодезии (3 з.е., 108 ч., 1/1, Д № 8090)ЭЖД-43ошибка</v>
      </c>
      <c r="N15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геодезии (3 з.е., 108 ч., 1/1, Д № 8090)_ЭЖД-43_26.02.13_08:30</v>
      </c>
    </row>
    <row r="157" spans="1:14" ht="25.5" x14ac:dyDescent="0.2">
      <c r="A157" s="7"/>
      <c r="B157" s="8" t="s">
        <v>131</v>
      </c>
      <c r="C157" s="8" t="s">
        <v>16</v>
      </c>
      <c r="D157" s="9" t="s">
        <v>92</v>
      </c>
      <c r="E157" s="10">
        <v>4</v>
      </c>
      <c r="F157" s="11">
        <v>46064</v>
      </c>
      <c r="G157" s="10">
        <v>9210</v>
      </c>
      <c r="H157" s="12">
        <v>0.50694444444444442</v>
      </c>
      <c r="I157" s="10" t="str">
        <f>_xlfn.CONCAT(Таблица1[[#This Row],[Группа]],"_",TEXT(Таблица1[[#This Row],[Дата]],"ГГ.ММ.ДД"),"_",TEXT(Таблица1[[#This Row],[Время]],"чч:мм"))</f>
        <v>УПб-41_26.02.11_12:10</v>
      </c>
      <c r="J15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7" s="10"/>
      <c r="L157" t="str">
        <f>IFERROR(IF(SEARCH("курс",Таблица1[[#This Row],[Форма контроля]])&gt;=1,),"Ошибка")</f>
        <v>Ошибка</v>
      </c>
      <c r="M15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Статистика (3/7 з.е., 108/252 ч., 1/2, Д № 9026)УПб-41ошибка</v>
      </c>
      <c r="N15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Статистика (3/7 з.е., 108/252 ч., 1/2, Д № 9026)_УПб-41_26.02.11_12:10</v>
      </c>
    </row>
    <row r="158" spans="1:14" ht="25.5" x14ac:dyDescent="0.2">
      <c r="A158" s="7"/>
      <c r="B158" s="8" t="s">
        <v>132</v>
      </c>
      <c r="C158" s="8" t="s">
        <v>16</v>
      </c>
      <c r="D158" s="9" t="s">
        <v>37</v>
      </c>
      <c r="E158" s="10">
        <v>3</v>
      </c>
      <c r="F158" s="11">
        <v>46064</v>
      </c>
      <c r="G158" s="10">
        <v>9210</v>
      </c>
      <c r="H158" s="12">
        <v>0.50694444444444442</v>
      </c>
      <c r="I158" s="10" t="str">
        <f>_xlfn.CONCAT(Таблица1[[#This Row],[Группа]],"_",TEXT(Таблица1[[#This Row],[Дата]],"ГГ.ММ.ДД"),"_",TEXT(Таблица1[[#This Row],[Время]],"чч:мм"))</f>
        <v>ЭМУб-41оз_26.02.11_12:10</v>
      </c>
      <c r="J15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8" s="10"/>
      <c r="L158" t="str">
        <f>IFERROR(IF(SEARCH("курс",Таблица1[[#This Row],[Форма контроля]])&gt;=1,),"Ошибка")</f>
        <v>Ошибка</v>
      </c>
      <c r="M15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Статистика (3/7 з.е., 108/252 ч., 1/2, Д № 8970)ЭМУб-41озошибка</v>
      </c>
      <c r="N15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Статистика (3/7 з.е., 108/252 ч., 1/2, Д № 8970)_ЭМУб-41оз_26.02.11_12:10</v>
      </c>
    </row>
    <row r="159" spans="1:14" ht="25.5" x14ac:dyDescent="0.2">
      <c r="A159" s="7"/>
      <c r="B159" s="8" t="s">
        <v>131</v>
      </c>
      <c r="C159" s="8" t="s">
        <v>16</v>
      </c>
      <c r="D159" s="9" t="s">
        <v>28</v>
      </c>
      <c r="E159" s="10">
        <v>2</v>
      </c>
      <c r="F159" s="11">
        <v>46064</v>
      </c>
      <c r="G159" s="10">
        <v>9210</v>
      </c>
      <c r="H159" s="12">
        <v>0.35416666666666669</v>
      </c>
      <c r="I159" s="10" t="str">
        <f>_xlfn.CONCAT(Таблица1[[#This Row],[Группа]],"_",TEXT(Таблица1[[#This Row],[Дата]],"ГГ.ММ.ДД"),"_",TEXT(Таблица1[[#This Row],[Время]],"чч:мм"))</f>
        <v>ЭМб-41_26.02.11_08:30</v>
      </c>
      <c r="J15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59" s="10"/>
      <c r="L159" t="str">
        <f>IFERROR(IF(SEARCH("курс",Таблица1[[#This Row],[Форма контроля]])&gt;=1,),"Ошибка")</f>
        <v>Ошибка</v>
      </c>
      <c r="M15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Статистика (3/7 з.е., 108/252 ч., 1/2, Д № 9026)ЭМб-41ошибка</v>
      </c>
      <c r="N15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Статистика (3/7 з.е., 108/252 ч., 1/2, Д № 9026)_ЭМб-41_26.02.11_08:30</v>
      </c>
    </row>
    <row r="160" spans="1:14" ht="25.5" x14ac:dyDescent="0.2">
      <c r="A160" s="7"/>
      <c r="B160" s="8" t="s">
        <v>133</v>
      </c>
      <c r="C160" s="8" t="s">
        <v>16</v>
      </c>
      <c r="D160" s="9" t="s">
        <v>51</v>
      </c>
      <c r="E160" s="10">
        <v>1</v>
      </c>
      <c r="F160" s="11">
        <v>46073</v>
      </c>
      <c r="G160" s="10">
        <v>9108</v>
      </c>
      <c r="H160" s="12">
        <v>0.71875</v>
      </c>
      <c r="I160" s="10" t="str">
        <f>_xlfn.CONCAT(Таблица1[[#This Row],[Группа]],"_",TEXT(Таблица1[[#This Row],[Дата]],"ГГ.ММ.ДД"),"_",TEXT(Таблица1[[#This Row],[Время]],"чч:мм"))</f>
        <v>Эб-51_26.02.20_17:15</v>
      </c>
      <c r="J16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0" s="10"/>
      <c r="L160" t="str">
        <f>IFERROR(IF(SEARCH("курс",Таблица1[[#This Row],[Форма контроля]])&gt;=1,),"Ошибка")</f>
        <v>Ошибка</v>
      </c>
      <c r="M16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России (2/4 з.е., 72/144 ч., 1/2, Д № 7505)Эб-51ошибка</v>
      </c>
      <c r="N16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России (2/4 з.е., 72/144 ч., 1/2, Д № 7505)_Эб-51_26.02.20_17:15</v>
      </c>
    </row>
    <row r="161" spans="1:14" ht="25.5" x14ac:dyDescent="0.2">
      <c r="A161" s="7"/>
      <c r="B161" s="8" t="s">
        <v>133</v>
      </c>
      <c r="C161" s="8" t="s">
        <v>16</v>
      </c>
      <c r="D161" s="9" t="s">
        <v>53</v>
      </c>
      <c r="E161" s="10">
        <v>2</v>
      </c>
      <c r="F161" s="11">
        <v>46073</v>
      </c>
      <c r="G161" s="10">
        <v>9108</v>
      </c>
      <c r="H161" s="12">
        <v>0.64930555555555558</v>
      </c>
      <c r="I161" s="10" t="str">
        <f>_xlfn.CONCAT(Таблица1[[#This Row],[Группа]],"_",TEXT(Таблица1[[#This Row],[Дата]],"ГГ.ММ.ДД"),"_",TEXT(Таблица1[[#This Row],[Время]],"чч:мм"))</f>
        <v>Мб-51_26.02.20_15:35</v>
      </c>
      <c r="J16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1" s="10"/>
      <c r="L161" t="str">
        <f>IFERROR(IF(SEARCH("курс",Таблица1[[#This Row],[Форма контроля]])&gt;=1,),"Ошибка")</f>
        <v>Ошибка</v>
      </c>
      <c r="M16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России (2/4 з.е., 72/144 ч., 1/2, Д № 7505)Мб-51ошибка</v>
      </c>
      <c r="N16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России (2/4 з.е., 72/144 ч., 1/2, Д № 7505)_Мб-51_26.02.20_15:35</v>
      </c>
    </row>
    <row r="162" spans="1:14" ht="25.5" x14ac:dyDescent="0.2">
      <c r="A162" s="7"/>
      <c r="B162" s="8" t="s">
        <v>133</v>
      </c>
      <c r="C162" s="8" t="s">
        <v>16</v>
      </c>
      <c r="D162" s="9" t="s">
        <v>54</v>
      </c>
      <c r="E162" s="10">
        <v>4</v>
      </c>
      <c r="F162" s="11">
        <v>46073</v>
      </c>
      <c r="G162" s="10">
        <v>9108</v>
      </c>
      <c r="H162" s="12">
        <v>0.64930555555555558</v>
      </c>
      <c r="I162" s="10" t="str">
        <f>_xlfn.CONCAT(Таблица1[[#This Row],[Группа]],"_",TEXT(Таблица1[[#This Row],[Дата]],"ГГ.ММ.ДД"),"_",TEXT(Таблица1[[#This Row],[Время]],"чч:мм"))</f>
        <v>Мб-52_26.02.20_15:35</v>
      </c>
      <c r="J16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2" s="10"/>
      <c r="L162" t="str">
        <f>IFERROR(IF(SEARCH("курс",Таблица1[[#This Row],[Форма контроля]])&gt;=1,),"Ошибка")</f>
        <v>Ошибка</v>
      </c>
      <c r="M16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России (2/4 з.е., 72/144 ч., 1/2, Д № 7505)Мб-52ошибка</v>
      </c>
      <c r="N16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России (2/4 з.е., 72/144 ч., 1/2, Д № 7505)_Мб-52_26.02.20_15:35</v>
      </c>
    </row>
    <row r="163" spans="1:14" ht="25.5" x14ac:dyDescent="0.2">
      <c r="A163" s="7"/>
      <c r="B163" s="8" t="s">
        <v>133</v>
      </c>
      <c r="C163" s="8" t="s">
        <v>16</v>
      </c>
      <c r="D163" s="9" t="s">
        <v>87</v>
      </c>
      <c r="E163" s="10">
        <v>6</v>
      </c>
      <c r="F163" s="11">
        <v>46070</v>
      </c>
      <c r="G163" s="10">
        <v>9108</v>
      </c>
      <c r="H163" s="12">
        <v>0.64930555555555558</v>
      </c>
      <c r="I163" s="10" t="str">
        <f>_xlfn.CONCAT(Таблица1[[#This Row],[Группа]],"_",TEXT(Таблица1[[#This Row],[Дата]],"ГГ.ММ.ДД"),"_",TEXT(Таблица1[[#This Row],[Время]],"чч:мм"))</f>
        <v>УПб-51_26.02.17_15:35</v>
      </c>
      <c r="J16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3" s="10"/>
      <c r="L163" t="str">
        <f>IFERROR(IF(SEARCH("курс",Таблица1[[#This Row],[Форма контроля]])&gt;=1,),"Ошибка")</f>
        <v>Ошибка</v>
      </c>
      <c r="M16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России (2/4 з.е., 72/144 ч., 1/2, Д № 7505)УПб-51ошибка</v>
      </c>
      <c r="N16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России (2/4 з.е., 72/144 ч., 1/2, Д № 7505)_УПб-51_26.02.17_15:35</v>
      </c>
    </row>
    <row r="164" spans="1:14" ht="25.5" x14ac:dyDescent="0.2">
      <c r="A164" s="7"/>
      <c r="B164" s="8" t="s">
        <v>134</v>
      </c>
      <c r="C164" s="8" t="s">
        <v>27</v>
      </c>
      <c r="D164" s="9" t="s">
        <v>120</v>
      </c>
      <c r="E164" s="10">
        <v>5</v>
      </c>
      <c r="F164" s="11">
        <v>46072</v>
      </c>
      <c r="G164" s="10" t="s">
        <v>38</v>
      </c>
      <c r="H164" s="12">
        <v>0.71875</v>
      </c>
      <c r="I164" s="10" t="str">
        <f>_xlfn.CONCAT(Таблица1[[#This Row],[Группа]],"_",TEXT(Таблица1[[#This Row],[Дата]],"ГГ.ММ.ДД"),"_",TEXT(Таблица1[[#This Row],[Время]],"чч:мм"))</f>
        <v>Мб-21оз_26.02.19_17:15</v>
      </c>
      <c r="J16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4" s="10"/>
      <c r="L164" t="str">
        <f>IFERROR(IF(SEARCH("курс",Таблица1[[#This Row],[Форма контроля]])&gt;=1,),"Ошибка")</f>
        <v>Ошибка</v>
      </c>
      <c r="M16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Производственная логистика (6/10 з.е., 216/360 ч., 2/2, Д № 5910)Мб-21озошибка</v>
      </c>
      <c r="N16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Производственная логистика (6/10 з.е., 216/360 ч., 2/2, Д № 5910)_Мб-21оз_26.02.19_17:15</v>
      </c>
    </row>
    <row r="165" spans="1:14" ht="25.5" x14ac:dyDescent="0.2">
      <c r="A165" s="7"/>
      <c r="B165" s="8" t="s">
        <v>134</v>
      </c>
      <c r="C165" s="8" t="s">
        <v>57</v>
      </c>
      <c r="D165" s="9" t="s">
        <v>120</v>
      </c>
      <c r="E165" s="10">
        <v>4</v>
      </c>
      <c r="F165" s="11">
        <v>46072</v>
      </c>
      <c r="G165" s="10" t="s">
        <v>38</v>
      </c>
      <c r="H165" s="12">
        <v>0.64930555555555558</v>
      </c>
      <c r="I165" s="10" t="str">
        <f>_xlfn.CONCAT(Таблица1[[#This Row],[Группа]],"_",TEXT(Таблица1[[#This Row],[Дата]],"ГГ.ММ.ДД"),"_",TEXT(Таблица1[[#This Row],[Время]],"чч:мм"))</f>
        <v>Мб-21оз_26.02.19_15:35</v>
      </c>
      <c r="J16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5" s="10"/>
      <c r="L165">
        <f>IFERROR(IF(SEARCH("курс",Таблица1[[#This Row],[Форма контроля]])&gt;=1,),"Ошибка")</f>
        <v>0</v>
      </c>
      <c r="M16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Производственная логистика (6/10 з.е., 216/360 ч., 2/2, Д № 5910)Мб-21оз</v>
      </c>
      <c r="N16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Производственная логистика (6/10 з.е., 216/360 ч., 2/2, Д № 5910)_Мб-21оз_26.02.19_15:35</v>
      </c>
    </row>
    <row r="166" spans="1:14" ht="38.25" x14ac:dyDescent="0.2">
      <c r="A166" s="7"/>
      <c r="B166" s="8" t="s">
        <v>135</v>
      </c>
      <c r="C166" s="8" t="s">
        <v>24</v>
      </c>
      <c r="D166" s="9" t="s">
        <v>120</v>
      </c>
      <c r="E166" s="10">
        <v>6</v>
      </c>
      <c r="F166" s="11">
        <v>46070</v>
      </c>
      <c r="G166" s="10" t="s">
        <v>38</v>
      </c>
      <c r="H166" s="12">
        <v>0.64930555555555558</v>
      </c>
      <c r="I166" s="10" t="str">
        <f>_xlfn.CONCAT(Таблица1[[#This Row],[Группа]],"_",TEXT(Таблица1[[#This Row],[Дата]],"ГГ.ММ.ДД"),"_",TEXT(Таблица1[[#This Row],[Время]],"чч:мм"))</f>
        <v>Мб-21оз_26.02.17_15:35</v>
      </c>
      <c r="J16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6" s="10"/>
      <c r="L166" t="str">
        <f>IFERROR(IF(SEARCH("курс",Таблица1[[#This Row],[Форма контроля]])&gt;=1,),"Ошибка")</f>
        <v>Ошибка</v>
      </c>
      <c r="M16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Логистика терминально-складских комплексов (4 з.е., 144 ч., 1/1, Д № 5914)Мб-21озошибка</v>
      </c>
      <c r="N16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Логистика терминально-складских комплексов (4 з.е., 144 ч., 1/1, Д № 5914)_Мб-21оз_26.02.17_15:35</v>
      </c>
    </row>
    <row r="167" spans="1:14" ht="25.5" x14ac:dyDescent="0.2">
      <c r="A167" s="7"/>
      <c r="B167" s="8" t="s">
        <v>136</v>
      </c>
      <c r="C167" s="8" t="s">
        <v>16</v>
      </c>
      <c r="D167" s="9" t="s">
        <v>49</v>
      </c>
      <c r="E167" s="10">
        <v>1</v>
      </c>
      <c r="F167" s="11">
        <v>46065</v>
      </c>
      <c r="G167" s="10">
        <v>9207</v>
      </c>
      <c r="H167" s="12">
        <v>0.50694444444444442</v>
      </c>
      <c r="I167" s="10" t="str">
        <f>_xlfn.CONCAT(Таблица1[[#This Row],[Группа]],"_",TEXT(Таблица1[[#This Row],[Дата]],"ГГ.ММ.ДД"),"_",TEXT(Таблица1[[#This Row],[Время]],"чч:мм"))</f>
        <v>Мб-21_26.02.12_12:10</v>
      </c>
      <c r="J16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7" s="10"/>
      <c r="L167" t="str">
        <f>IFERROR(IF(SEARCH("курс",Таблица1[[#This Row],[Форма контроля]])&gt;=1,),"Ошибка")</f>
        <v>Ошибка</v>
      </c>
      <c r="M16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Бизнес-планирование и страхование (4/9 з.е., 144/324 ч., 1/2, Д № 5811)Мб-21ошибка</v>
      </c>
      <c r="N16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Бизнес-планирование и страхование (4/9 з.е., 144/324 ч., 1/2, Д № 5811)_Мб-21_26.02.12_12:10</v>
      </c>
    </row>
    <row r="168" spans="1:14" ht="25.5" x14ac:dyDescent="0.2">
      <c r="A168" s="7"/>
      <c r="B168" s="8" t="s">
        <v>137</v>
      </c>
      <c r="C168" s="8" t="s">
        <v>57</v>
      </c>
      <c r="D168" s="9" t="s">
        <v>30</v>
      </c>
      <c r="E168" s="10">
        <v>6</v>
      </c>
      <c r="F168" s="11">
        <v>46063</v>
      </c>
      <c r="G168" s="10">
        <v>9404</v>
      </c>
      <c r="H168" s="12">
        <v>0.57986111111111105</v>
      </c>
      <c r="I168" s="10" t="str">
        <f>_xlfn.CONCAT(Таблица1[[#This Row],[Группа]],"_",TEXT(Таблица1[[#This Row],[Дата]],"ГГ.ММ.ДД"),"_",TEXT(Таблица1[[#This Row],[Время]],"чч:мм"))</f>
        <v>ЭЖД-41_26.02.10_13:55</v>
      </c>
      <c r="J16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8" s="10"/>
      <c r="L168">
        <f>IFERROR(IF(SEARCH("курс",Таблица1[[#This Row],[Форма контроля]])&gt;=1,),"Ошибка")</f>
        <v>0</v>
      </c>
      <c r="M16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Пути сообщения (5 з.е., 180 ч., 1/1, Д № 8105)ЭЖД-41</v>
      </c>
      <c r="N16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Пути сообщения (5 з.е., 180 ч., 1/1, Д № 8105)_ЭЖД-41_26.02.10_13:55</v>
      </c>
    </row>
    <row r="169" spans="1:14" ht="25.5" x14ac:dyDescent="0.2">
      <c r="A169" s="7"/>
      <c r="B169" s="8" t="s">
        <v>137</v>
      </c>
      <c r="C169" s="8" t="s">
        <v>27</v>
      </c>
      <c r="D169" s="9" t="s">
        <v>30</v>
      </c>
      <c r="E169" s="10">
        <v>6</v>
      </c>
      <c r="F169" s="11">
        <v>46063</v>
      </c>
      <c r="G169" s="10">
        <v>9404</v>
      </c>
      <c r="H169" s="12">
        <v>0.64930555555555558</v>
      </c>
      <c r="I169" s="10" t="str">
        <f>_xlfn.CONCAT(Таблица1[[#This Row],[Группа]],"_",TEXT(Таблица1[[#This Row],[Дата]],"ГГ.ММ.ДД"),"_",TEXT(Таблица1[[#This Row],[Время]],"чч:мм"))</f>
        <v>ЭЖД-41_26.02.10_15:35</v>
      </c>
      <c r="J16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69" s="10"/>
      <c r="L169" t="str">
        <f>IFERROR(IF(SEARCH("курс",Таблица1[[#This Row],[Форма контроля]])&gt;=1,),"Ошибка")</f>
        <v>Ошибка</v>
      </c>
      <c r="M16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Пути сообщения (5 з.е., 180 ч., 1/1, Д № 8105)ЭЖД-41ошибка</v>
      </c>
      <c r="N16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Пути сообщения (5 з.е., 180 ч., 1/1, Д № 8105)_ЭЖД-41_26.02.10_15:35</v>
      </c>
    </row>
    <row r="170" spans="1:14" ht="25.5" x14ac:dyDescent="0.2">
      <c r="A170" s="7"/>
      <c r="B170" s="8" t="s">
        <v>137</v>
      </c>
      <c r="C170" s="8" t="s">
        <v>57</v>
      </c>
      <c r="D170" s="9" t="s">
        <v>31</v>
      </c>
      <c r="E170" s="10">
        <v>5</v>
      </c>
      <c r="F170" s="11">
        <v>46065</v>
      </c>
      <c r="G170" s="10">
        <v>9404</v>
      </c>
      <c r="H170" s="12">
        <v>0.57986111111111105</v>
      </c>
      <c r="I170" s="10" t="str">
        <f>_xlfn.CONCAT(Таблица1[[#This Row],[Группа]],"_",TEXT(Таблица1[[#This Row],[Дата]],"ГГ.ММ.ДД"),"_",TEXT(Таблица1[[#This Row],[Время]],"чч:мм"))</f>
        <v>ЭЖД-42_26.02.12_13:55</v>
      </c>
      <c r="J17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0" s="10"/>
      <c r="L170">
        <f>IFERROR(IF(SEARCH("курс",Таблица1[[#This Row],[Форма контроля]])&gt;=1,),"Ошибка")</f>
        <v>0</v>
      </c>
      <c r="M17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Пути сообщения (5 з.е., 180 ч., 1/1, Д № 8105)ЭЖД-42</v>
      </c>
      <c r="N17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Пути сообщения (5 з.е., 180 ч., 1/1, Д № 8105)_ЭЖД-42_26.02.12_13:55</v>
      </c>
    </row>
    <row r="171" spans="1:14" ht="25.5" x14ac:dyDescent="0.2">
      <c r="A171" s="7"/>
      <c r="B171" s="8" t="s">
        <v>137</v>
      </c>
      <c r="C171" s="8" t="s">
        <v>27</v>
      </c>
      <c r="D171" s="9" t="s">
        <v>31</v>
      </c>
      <c r="E171" s="10">
        <v>5</v>
      </c>
      <c r="F171" s="11">
        <v>46065</v>
      </c>
      <c r="G171" s="10">
        <v>9404</v>
      </c>
      <c r="H171" s="12">
        <v>0.64930555555555558</v>
      </c>
      <c r="I171" s="10" t="str">
        <f>_xlfn.CONCAT(Таблица1[[#This Row],[Группа]],"_",TEXT(Таблица1[[#This Row],[Дата]],"ГГ.ММ.ДД"),"_",TEXT(Таблица1[[#This Row],[Время]],"чч:мм"))</f>
        <v>ЭЖД-42_26.02.12_15:35</v>
      </c>
      <c r="J17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1" s="10"/>
      <c r="L171" t="str">
        <f>IFERROR(IF(SEARCH("курс",Таблица1[[#This Row],[Форма контроля]])&gt;=1,),"Ошибка")</f>
        <v>Ошибка</v>
      </c>
      <c r="M17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Пути сообщения (5 з.е., 180 ч., 1/1, Д № 8105)ЭЖД-42ошибка</v>
      </c>
      <c r="N17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Пути сообщения (5 з.е., 180 ч., 1/1, Д № 8105)_ЭЖД-42_26.02.12_15:35</v>
      </c>
    </row>
    <row r="172" spans="1:14" ht="25.5" x14ac:dyDescent="0.2">
      <c r="A172" s="7"/>
      <c r="B172" s="8" t="s">
        <v>137</v>
      </c>
      <c r="C172" s="8" t="s">
        <v>27</v>
      </c>
      <c r="D172" s="9" t="s">
        <v>32</v>
      </c>
      <c r="E172" s="10">
        <v>3</v>
      </c>
      <c r="F172" s="11">
        <v>46066</v>
      </c>
      <c r="G172" s="10">
        <v>9404</v>
      </c>
      <c r="H172" s="12">
        <v>0.64930555555555558</v>
      </c>
      <c r="I172" s="10" t="str">
        <f>_xlfn.CONCAT(Таблица1[[#This Row],[Группа]],"_",TEXT(Таблица1[[#This Row],[Дата]],"ГГ.ММ.ДД"),"_",TEXT(Таблица1[[#This Row],[Время]],"чч:мм"))</f>
        <v>ЭЖД-43_26.02.13_15:35</v>
      </c>
      <c r="J17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2" s="10"/>
      <c r="L172" t="str">
        <f>IFERROR(IF(SEARCH("курс",Таблица1[[#This Row],[Форма контроля]])&gt;=1,),"Ошибка")</f>
        <v>Ошибка</v>
      </c>
      <c r="M17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Пути сообщения (5 з.е., 180 ч., 1/1, Д № 8105)ЭЖД-43ошибка</v>
      </c>
      <c r="N17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Пути сообщения (5 з.е., 180 ч., 1/1, Д № 8105)_ЭЖД-43_26.02.13_15:35</v>
      </c>
    </row>
    <row r="173" spans="1:14" ht="25.5" x14ac:dyDescent="0.2">
      <c r="A173" s="7"/>
      <c r="B173" s="8" t="s">
        <v>137</v>
      </c>
      <c r="C173" s="8" t="s">
        <v>57</v>
      </c>
      <c r="D173" s="9" t="s">
        <v>32</v>
      </c>
      <c r="E173" s="10">
        <v>3</v>
      </c>
      <c r="F173" s="11">
        <v>46066</v>
      </c>
      <c r="G173" s="10">
        <v>9404</v>
      </c>
      <c r="H173" s="12">
        <v>0.57986111111111105</v>
      </c>
      <c r="I173" s="10" t="str">
        <f>_xlfn.CONCAT(Таблица1[[#This Row],[Группа]],"_",TEXT(Таблица1[[#This Row],[Дата]],"ГГ.ММ.ДД"),"_",TEXT(Таблица1[[#This Row],[Время]],"чч:мм"))</f>
        <v>ЭЖД-43_26.02.13_13:55</v>
      </c>
      <c r="J17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3" s="10"/>
      <c r="L173">
        <f>IFERROR(IF(SEARCH("курс",Таблица1[[#This Row],[Форма контроля]])&gt;=1,),"Ошибка")</f>
        <v>0</v>
      </c>
      <c r="M17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Пути сообщения (5 з.е., 180 ч., 1/1, Д № 8105)ЭЖД-43</v>
      </c>
      <c r="N17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Пути сообщения (5 з.е., 180 ч., 1/1, Д № 8105)_ЭЖД-43_26.02.13_13:55</v>
      </c>
    </row>
    <row r="174" spans="1:14" ht="38.25" x14ac:dyDescent="0.2">
      <c r="A174" s="7"/>
      <c r="B174" s="8" t="s">
        <v>138</v>
      </c>
      <c r="C174" s="8" t="s">
        <v>16</v>
      </c>
      <c r="D174" s="9" t="s">
        <v>62</v>
      </c>
      <c r="E174" s="10">
        <v>8</v>
      </c>
      <c r="F174" s="11">
        <v>46063</v>
      </c>
      <c r="G174" s="10">
        <v>5209</v>
      </c>
      <c r="H174" s="12">
        <v>0.35416666666666669</v>
      </c>
      <c r="I174" s="10" t="str">
        <f>_xlfn.CONCAT(Таблица1[[#This Row],[Группа]],"_",TEXT(Таблица1[[#This Row],[Дата]],"ГГ.ММ.ДД"),"_",TEXT(Таблица1[[#This Row],[Время]],"чч:мм"))</f>
        <v>ЭЖД-32_26.02.10_08:30</v>
      </c>
      <c r="J17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4" s="10"/>
      <c r="L174" t="str">
        <f>IFERROR(IF(SEARCH("курс",Таблица1[[#This Row],[Форма контроля]])&gt;=1,),"Ошибка")</f>
        <v>Ошибка</v>
      </c>
      <c r="M17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(54/328 ч., 5/6, Д № 4754)ЭЖД-32ошибка</v>
      </c>
      <c r="N17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(54/328 ч., 5/6, Д № 4754)_ЭЖД-32_26.02.10_08:30</v>
      </c>
    </row>
    <row r="175" spans="1:14" ht="38.25" x14ac:dyDescent="0.2">
      <c r="A175" s="7"/>
      <c r="B175" s="8" t="s">
        <v>138</v>
      </c>
      <c r="C175" s="8" t="s">
        <v>16</v>
      </c>
      <c r="D175" s="9" t="s">
        <v>34</v>
      </c>
      <c r="E175" s="10">
        <v>5</v>
      </c>
      <c r="F175" s="11">
        <v>46063</v>
      </c>
      <c r="G175" s="10">
        <v>5209</v>
      </c>
      <c r="H175" s="12">
        <v>0.42708333333333331</v>
      </c>
      <c r="I175" s="10" t="str">
        <f>_xlfn.CONCAT(Таблица1[[#This Row],[Группа]],"_",TEXT(Таблица1[[#This Row],[Дата]],"ГГ.ММ.ДД"),"_",TEXT(Таблица1[[#This Row],[Время]],"чч:мм"))</f>
        <v>ЭЖД-31_26.02.10_10:15</v>
      </c>
      <c r="J17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5" s="10"/>
      <c r="L175" t="str">
        <f>IFERROR(IF(SEARCH("курс",Таблица1[[#This Row],[Форма контроля]])&gt;=1,),"Ошибка")</f>
        <v>Ошибка</v>
      </c>
      <c r="M17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(54/328 ч., 5/6, Д № 4754)ЭЖД-31ошибка</v>
      </c>
      <c r="N17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(54/328 ч., 5/6, Д № 4754)_ЭЖД-31_26.02.10_10:15</v>
      </c>
    </row>
    <row r="176" spans="1:14" ht="38.25" x14ac:dyDescent="0.2">
      <c r="A176" s="7"/>
      <c r="B176" s="8" t="s">
        <v>138</v>
      </c>
      <c r="C176" s="8" t="s">
        <v>16</v>
      </c>
      <c r="D176" s="9" t="s">
        <v>35</v>
      </c>
      <c r="E176" s="10">
        <v>7</v>
      </c>
      <c r="F176" s="11">
        <v>46063</v>
      </c>
      <c r="G176" s="10">
        <v>5209</v>
      </c>
      <c r="H176" s="12">
        <v>0.50694444444444442</v>
      </c>
      <c r="I176" s="10" t="str">
        <f>_xlfn.CONCAT(Таблица1[[#This Row],[Группа]],"_",TEXT(Таблица1[[#This Row],[Дата]],"ГГ.ММ.ДД"),"_",TEXT(Таблица1[[#This Row],[Время]],"чч:мм"))</f>
        <v>ЭЖД-33_26.02.10_12:10</v>
      </c>
      <c r="J17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6" s="10"/>
      <c r="L176" t="str">
        <f>IFERROR(IF(SEARCH("курс",Таблица1[[#This Row],[Форма контроля]])&gt;=1,),"Ошибка")</f>
        <v>Ошибка</v>
      </c>
      <c r="M17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(54/328 ч., 5/6, Д № 4754)ЭЖД-33ошибка</v>
      </c>
      <c r="N17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(54/328 ч., 5/6, Д № 4754)_ЭЖД-33_26.02.10_12:10</v>
      </c>
    </row>
    <row r="177" spans="1:14" ht="25.5" x14ac:dyDescent="0.2">
      <c r="A177" s="7"/>
      <c r="B177" s="8" t="s">
        <v>139</v>
      </c>
      <c r="C177" s="8" t="s">
        <v>16</v>
      </c>
      <c r="D177" s="9" t="s">
        <v>25</v>
      </c>
      <c r="E177" s="10">
        <v>4</v>
      </c>
      <c r="F177" s="11">
        <v>46072</v>
      </c>
      <c r="G177" s="10">
        <v>9322</v>
      </c>
      <c r="H177" s="12">
        <v>0.64930555555555558</v>
      </c>
      <c r="I177" s="10" t="str">
        <f>_xlfn.CONCAT(Таблица1[[#This Row],[Группа]],"_",TEXT(Таблица1[[#This Row],[Дата]],"ГГ.ММ.ДД"),"_",TEXT(Таблица1[[#This Row],[Время]],"чч:мм"))</f>
        <v>ЭЖД-44у_26.02.19_15:35</v>
      </c>
      <c r="J17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7" s="10"/>
      <c r="L177" t="str">
        <f>IFERROR(IF(SEARCH("курс",Таблица1[[#This Row],[Форма контроля]])&gt;=1,),"Ошибка")</f>
        <v>Ошибка</v>
      </c>
      <c r="M17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Транспортная безопасность (1 з.е., 36 ч., 1/1, Д № 8529)ЭЖД-44уошибка</v>
      </c>
      <c r="N17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Транспортная безопасность (1 з.е., 36 ч., 1/1, Д № 8529)_ЭЖД-44у_26.02.19_15:35</v>
      </c>
    </row>
    <row r="178" spans="1:14" ht="25.5" x14ac:dyDescent="0.2">
      <c r="A178" s="7"/>
      <c r="B178" s="8" t="s">
        <v>139</v>
      </c>
      <c r="C178" s="8" t="s">
        <v>16</v>
      </c>
      <c r="D178" s="9" t="s">
        <v>58</v>
      </c>
      <c r="E178" s="10">
        <v>8</v>
      </c>
      <c r="F178" s="11">
        <v>46069</v>
      </c>
      <c r="G178" s="10">
        <v>9322</v>
      </c>
      <c r="H178" s="12">
        <v>0.50694444444444442</v>
      </c>
      <c r="I178" s="10" t="str">
        <f>_xlfn.CONCAT(Таблица1[[#This Row],[Группа]],"_",TEXT(Таблица1[[#This Row],[Дата]],"ГГ.ММ.ДД"),"_",TEXT(Таблица1[[#This Row],[Время]],"чч:мм"))</f>
        <v>ЭЖД-45у_26.02.16_12:10</v>
      </c>
      <c r="J17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8" s="10"/>
      <c r="L178" t="str">
        <f>IFERROR(IF(SEARCH("курс",Таблица1[[#This Row],[Форма контроля]])&gt;=1,),"Ошибка")</f>
        <v>Ошибка</v>
      </c>
      <c r="M17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Транспортная безопасность (1 з.е., 36 ч., 1/1, Д № 8529)ЭЖД-45уошибка</v>
      </c>
      <c r="N17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Транспортная безопасность (1 з.е., 36 ч., 1/1, Д № 8529)_ЭЖД-45у_26.02.16_12:10</v>
      </c>
    </row>
    <row r="179" spans="1:14" ht="25.5" x14ac:dyDescent="0.2">
      <c r="A179" s="7"/>
      <c r="B179" s="8" t="s">
        <v>139</v>
      </c>
      <c r="C179" s="8" t="s">
        <v>16</v>
      </c>
      <c r="D179" s="9" t="s">
        <v>59</v>
      </c>
      <c r="E179" s="10">
        <v>5</v>
      </c>
      <c r="F179" s="11">
        <v>46072</v>
      </c>
      <c r="G179" s="10">
        <v>9322</v>
      </c>
      <c r="H179" s="12">
        <v>0.64930555555555558</v>
      </c>
      <c r="I179" s="10" t="str">
        <f>_xlfn.CONCAT(Таблица1[[#This Row],[Группа]],"_",TEXT(Таблица1[[#This Row],[Дата]],"ГГ.ММ.ДД"),"_",TEXT(Таблица1[[#This Row],[Время]],"чч:мм"))</f>
        <v>ЭЖД-46у_26.02.19_15:35</v>
      </c>
      <c r="J17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79" s="10"/>
      <c r="L179" t="str">
        <f>IFERROR(IF(SEARCH("курс",Таблица1[[#This Row],[Форма контроля]])&gt;=1,),"Ошибка")</f>
        <v>Ошибка</v>
      </c>
      <c r="M17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Транспортная безопасность (1 з.е., 36 ч., 1/1, Д № 8529)ЭЖД-46уошибка</v>
      </c>
      <c r="N17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Транспортная безопасность (1 з.е., 36 ч., 1/1, Д № 8529)_ЭЖД-46у_26.02.19_15:35</v>
      </c>
    </row>
    <row r="180" spans="1:14" ht="38.25" x14ac:dyDescent="0.2">
      <c r="A180" s="7"/>
      <c r="B180" s="8" t="s">
        <v>109</v>
      </c>
      <c r="C180" s="8" t="s">
        <v>24</v>
      </c>
      <c r="D180" s="9" t="s">
        <v>30</v>
      </c>
      <c r="E180" s="10">
        <v>8</v>
      </c>
      <c r="F180" s="11">
        <v>46065</v>
      </c>
      <c r="G180" s="10">
        <v>8207</v>
      </c>
      <c r="H180" s="12">
        <v>0.42708333333333331</v>
      </c>
      <c r="I180" s="10" t="str">
        <f>_xlfn.CONCAT(Таблица1[[#This Row],[Группа]],"_",TEXT(Таблица1[[#This Row],[Дата]],"ГГ.ММ.ДД"),"_",TEXT(Таблица1[[#This Row],[Время]],"чч:мм"))</f>
        <v>ЭЖД-41_26.02.12_10:15</v>
      </c>
      <c r="J18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0" s="10"/>
      <c r="L180" t="str">
        <f>IFERROR(IF(SEARCH("курс",Таблица1[[#This Row],[Форма контроля]])&gt;=1,),"Ошибка")</f>
        <v>Ошибка</v>
      </c>
      <c r="M18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Нетяговый подвижной состав (3 з.е., 108 ч., 1/1, Д № 8091)ЭЖД-41ошибка</v>
      </c>
      <c r="N18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Нетяговый подвижной состав (3 з.е., 108 ч., 1/1, Д № 8091)_ЭЖД-41_26.02.12_10:15</v>
      </c>
    </row>
    <row r="181" spans="1:14" ht="38.25" x14ac:dyDescent="0.2">
      <c r="A181" s="7"/>
      <c r="B181" s="8" t="s">
        <v>109</v>
      </c>
      <c r="C181" s="8" t="s">
        <v>24</v>
      </c>
      <c r="D181" s="9" t="s">
        <v>31</v>
      </c>
      <c r="E181" s="10">
        <v>2</v>
      </c>
      <c r="F181" s="11">
        <v>46065</v>
      </c>
      <c r="G181" s="10">
        <v>8207</v>
      </c>
      <c r="H181" s="12">
        <v>0.50694444444444442</v>
      </c>
      <c r="I181" s="10" t="str">
        <f>_xlfn.CONCAT(Таблица1[[#This Row],[Группа]],"_",TEXT(Таблица1[[#This Row],[Дата]],"ГГ.ММ.ДД"),"_",TEXT(Таблица1[[#This Row],[Время]],"чч:мм"))</f>
        <v>ЭЖД-42_26.02.12_12:10</v>
      </c>
      <c r="J18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1" s="10"/>
      <c r="L181" t="str">
        <f>IFERROR(IF(SEARCH("курс",Таблица1[[#This Row],[Форма контроля]])&gt;=1,),"Ошибка")</f>
        <v>Ошибка</v>
      </c>
      <c r="M18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Нетяговый подвижной состав (3 з.е., 108 ч., 1/1, Д № 8091)ЭЖД-42ошибка</v>
      </c>
      <c r="N18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Нетяговый подвижной состав (3 з.е., 108 ч., 1/1, Д № 8091)_ЭЖД-42_26.02.12_12:10</v>
      </c>
    </row>
    <row r="182" spans="1:14" ht="38.25" x14ac:dyDescent="0.2">
      <c r="A182" s="7"/>
      <c r="B182" s="8" t="s">
        <v>109</v>
      </c>
      <c r="C182" s="8" t="s">
        <v>24</v>
      </c>
      <c r="D182" s="9" t="s">
        <v>32</v>
      </c>
      <c r="E182" s="10">
        <v>8</v>
      </c>
      <c r="F182" s="11">
        <v>46065</v>
      </c>
      <c r="G182" s="10">
        <v>8207</v>
      </c>
      <c r="H182" s="12">
        <v>0.50694444444444442</v>
      </c>
      <c r="I182" s="10" t="str">
        <f>_xlfn.CONCAT(Таблица1[[#This Row],[Группа]],"_",TEXT(Таблица1[[#This Row],[Дата]],"ГГ.ММ.ДД"),"_",TEXT(Таблица1[[#This Row],[Время]],"чч:мм"))</f>
        <v>ЭЖД-43_26.02.12_12:10</v>
      </c>
      <c r="J18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2" s="10"/>
      <c r="L182" t="str">
        <f>IFERROR(IF(SEARCH("курс",Таблица1[[#This Row],[Форма контроля]])&gt;=1,),"Ошибка")</f>
        <v>Ошибка</v>
      </c>
      <c r="M18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Нетяговый подвижной состав (3 з.е., 108 ч., 1/1, Д № 8091)ЭЖД-43ошибка</v>
      </c>
      <c r="N18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Нетяговый подвижной состав (3 з.е., 108 ч., 1/1, Д № 8091)_ЭЖД-43_26.02.12_12:10</v>
      </c>
    </row>
    <row r="183" spans="1:14" ht="25.5" x14ac:dyDescent="0.2">
      <c r="A183" s="7"/>
      <c r="B183" s="8" t="s">
        <v>107</v>
      </c>
      <c r="C183" s="8" t="s">
        <v>16</v>
      </c>
      <c r="D183" s="9" t="s">
        <v>54</v>
      </c>
      <c r="E183" s="10">
        <v>5</v>
      </c>
      <c r="F183" s="21">
        <v>46072</v>
      </c>
      <c r="G183" s="10">
        <v>9305</v>
      </c>
      <c r="H183" s="12">
        <v>0.64930555555555558</v>
      </c>
      <c r="I183" s="10" t="str">
        <f>_xlfn.CONCAT(Таблица1[[#This Row],[Группа]],"_",TEXT(Таблица1[[#This Row],[Дата]],"ГГ.ММ.ДД"),"_",TEXT(Таблица1[[#This Row],[Время]],"чч:мм"))</f>
        <v>Мб-52_26.02.19_15:35</v>
      </c>
      <c r="J18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3" s="10"/>
      <c r="L183" t="str">
        <f>IFERROR(IF(SEARCH("курс",Таблица1[[#This Row],[Форма контроля]])&gt;=1,),"Ошибка")</f>
        <v>Ошибка</v>
      </c>
      <c r="M18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(3/9 з.е., 108/324 ч., 1/3, Д № 9323)Мб-52ошибка</v>
      </c>
      <c r="N18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(3/9 з.е., 108/324 ч., 1/3, Д № 9323)_Мб-52_26.02.19_15:35</v>
      </c>
    </row>
    <row r="184" spans="1:14" ht="25.5" x14ac:dyDescent="0.2">
      <c r="A184" s="7"/>
      <c r="B184" s="8" t="s">
        <v>107</v>
      </c>
      <c r="C184" s="8" t="s">
        <v>16</v>
      </c>
      <c r="D184" s="9" t="s">
        <v>53</v>
      </c>
      <c r="E184" s="10">
        <v>2</v>
      </c>
      <c r="F184" s="11">
        <v>46072</v>
      </c>
      <c r="G184" s="10">
        <v>9305</v>
      </c>
      <c r="H184" s="12">
        <v>0.64930555555555558</v>
      </c>
      <c r="I184" s="10" t="str">
        <f>_xlfn.CONCAT(Таблица1[[#This Row],[Группа]],"_",TEXT(Таблица1[[#This Row],[Дата]],"ГГ.ММ.ДД"),"_",TEXT(Таблица1[[#This Row],[Время]],"чч:мм"))</f>
        <v>Мб-51_26.02.19_15:35</v>
      </c>
      <c r="J18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4" s="10"/>
      <c r="L184" t="str">
        <f>IFERROR(IF(SEARCH("курс",Таблица1[[#This Row],[Форма контроля]])&gt;=1,),"Ошибка")</f>
        <v>Ошибка</v>
      </c>
      <c r="M18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Иностранный язык (3/9 з.е., 108/324 ч., 1/3, Д № 9323)Мб-51ошибка</v>
      </c>
      <c r="N18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Иностранный язык (3/9 з.е., 108/324 ч., 1/3, Д № 9323)_Мб-51_26.02.19_15:35</v>
      </c>
    </row>
    <row r="185" spans="1:14" ht="38.25" x14ac:dyDescent="0.2">
      <c r="A185" s="7"/>
      <c r="B185" s="8" t="s">
        <v>98</v>
      </c>
      <c r="C185" s="8" t="s">
        <v>16</v>
      </c>
      <c r="D185" s="9" t="s">
        <v>71</v>
      </c>
      <c r="E185" s="10">
        <v>9</v>
      </c>
      <c r="F185" s="11">
        <v>46062</v>
      </c>
      <c r="G185" s="10">
        <v>9410</v>
      </c>
      <c r="H185" s="12">
        <v>0.42708333333333331</v>
      </c>
      <c r="I185" s="10" t="str">
        <f>_xlfn.CONCAT(Таблица1[[#This Row],[Группа]],"_",TEXT(Таблица1[[#This Row],[Дата]],"ГГ.ММ.ДД"),"_",TEXT(Таблица1[[#This Row],[Время]],"чч:мм"))</f>
        <v>ЭЖД-22_26.02.09_10:15</v>
      </c>
      <c r="J18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5" s="10"/>
      <c r="L185" t="str">
        <f>IFERROR(IF(SEARCH("курс",Таблица1[[#This Row],[Форма контроля]])&gt;=1,),"Ошибка")</f>
        <v>Ошибка</v>
      </c>
      <c r="M18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Лабораторный практикум "Организация движения поездов" (2/5 з.е., 72/180 ч., 1/2, Д № 4798)ЭЖД-22ошибка</v>
      </c>
      <c r="N18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Лабораторный практикум "Организация движения поездов" (2/5 з.е., 72/180 ч., 1/2, Д № 4798)_ЭЖД-22_26.02.09_10:15</v>
      </c>
    </row>
    <row r="186" spans="1:14" ht="38.25" x14ac:dyDescent="0.2">
      <c r="A186" s="7"/>
      <c r="B186" s="8" t="s">
        <v>98</v>
      </c>
      <c r="C186" s="8" t="s">
        <v>16</v>
      </c>
      <c r="D186" s="9" t="s">
        <v>72</v>
      </c>
      <c r="E186" s="10">
        <v>7</v>
      </c>
      <c r="F186" s="11">
        <v>46062</v>
      </c>
      <c r="G186" s="10">
        <v>9410</v>
      </c>
      <c r="H186" s="12">
        <v>0.42708333333333331</v>
      </c>
      <c r="I186" s="10" t="str">
        <f>_xlfn.CONCAT(Таблица1[[#This Row],[Группа]],"_",TEXT(Таблица1[[#This Row],[Дата]],"ГГ.ММ.ДД"),"_",TEXT(Таблица1[[#This Row],[Время]],"чч:мм"))</f>
        <v>ЭЖД-23_26.02.09_10:15</v>
      </c>
      <c r="J18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6" s="10"/>
      <c r="L186" t="str">
        <f>IFERROR(IF(SEARCH("курс",Таблица1[[#This Row],[Форма контроля]])&gt;=1,),"Ошибка")</f>
        <v>Ошибка</v>
      </c>
      <c r="M18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Лабораторный практикум "Организация движения поездов" (2/5 з.е., 72/180 ч., 1/2, Д № 4798)ЭЖД-23ошибка</v>
      </c>
      <c r="N18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Лабораторный практикум "Организация движения поездов" (2/5 з.е., 72/180 ч., 1/2, Д № 4798)_ЭЖД-23_26.02.09_10:15</v>
      </c>
    </row>
    <row r="187" spans="1:14" ht="38.25" x14ac:dyDescent="0.2">
      <c r="A187" s="7"/>
      <c r="B187" s="8" t="s">
        <v>140</v>
      </c>
      <c r="C187" s="8" t="s">
        <v>16</v>
      </c>
      <c r="D187" s="9" t="s">
        <v>81</v>
      </c>
      <c r="E187" s="10">
        <v>2</v>
      </c>
      <c r="F187" s="11">
        <v>46067</v>
      </c>
      <c r="G187" s="10" t="s">
        <v>47</v>
      </c>
      <c r="H187" s="12">
        <v>0.71875</v>
      </c>
      <c r="I187" s="10" t="str">
        <f>_xlfn.CONCAT(Таблица1[[#This Row],[Группа]],"_",TEXT(Таблица1[[#This Row],[Дата]],"ГГ.ММ.ДД"),"_",TEXT(Таблица1[[#This Row],[Время]],"чч:мм"))</f>
        <v>Мб-31оз_26.02.14_17:15</v>
      </c>
      <c r="J18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7" s="10"/>
      <c r="L187" t="str">
        <f>IFERROR(IF(SEARCH("курс",Таблица1[[#This Row],[Форма контроля]])&gt;=1,),"Ошибка")</f>
        <v>Ошибка</v>
      </c>
      <c r="M18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Технологии взаимодействия видов транспорта (3 з.е., 108 ч., 1/1, Д № 5906)Мб-31озошибка</v>
      </c>
      <c r="N18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Технологии взаимодействия видов транспорта (3 з.е., 108 ч., 1/1, Д № 5906)_Мб-31оз_26.02.14_17:15</v>
      </c>
    </row>
    <row r="188" spans="1:14" ht="25.5" x14ac:dyDescent="0.2">
      <c r="A188" s="7"/>
      <c r="B188" s="8" t="s">
        <v>141</v>
      </c>
      <c r="C188" s="8" t="s">
        <v>16</v>
      </c>
      <c r="D188" s="9" t="s">
        <v>51</v>
      </c>
      <c r="E188" s="10">
        <v>2</v>
      </c>
      <c r="F188" s="11">
        <v>46065</v>
      </c>
      <c r="G188" s="10">
        <v>5101</v>
      </c>
      <c r="H188" s="12">
        <v>0.64930555555555558</v>
      </c>
      <c r="I188" s="10" t="str">
        <f>_xlfn.CONCAT(Таблица1[[#This Row],[Группа]],"_",TEXT(Таблица1[[#This Row],[Дата]],"ГГ.ММ.ДД"),"_",TEXT(Таблица1[[#This Row],[Время]],"чч:мм"))</f>
        <v>Эб-51_26.02.12_15:35</v>
      </c>
      <c r="J18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8" s="10"/>
      <c r="L188" t="str">
        <f>IFERROR(IF(SEARCH("курс",Таблица1[[#This Row],[Форма контроля]])&gt;=1,),"Ошибка")</f>
        <v>Ошибка</v>
      </c>
      <c r="M18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(4/9 з.е., 144/324 ч., 1/2, Д № 7732)Эб-51ошибка</v>
      </c>
      <c r="N18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(4/9 з.е., 144/324 ч., 1/2, Д № 7732)_Эб-51_26.02.12_15:35</v>
      </c>
    </row>
    <row r="189" spans="1:14" ht="25.5" x14ac:dyDescent="0.2">
      <c r="A189" s="7"/>
      <c r="B189" s="8" t="s">
        <v>142</v>
      </c>
      <c r="C189" s="8" t="s">
        <v>16</v>
      </c>
      <c r="D189" s="9" t="s">
        <v>53</v>
      </c>
      <c r="E189" s="10">
        <v>1</v>
      </c>
      <c r="F189" s="11">
        <v>46065</v>
      </c>
      <c r="G189" s="10">
        <v>5101</v>
      </c>
      <c r="H189" s="12">
        <v>0.64930555555555558</v>
      </c>
      <c r="I189" s="10" t="str">
        <f>_xlfn.CONCAT(Таблица1[[#This Row],[Группа]],"_",TEXT(Таблица1[[#This Row],[Дата]],"ГГ.ММ.ДД"),"_",TEXT(Таблица1[[#This Row],[Время]],"чч:мм"))</f>
        <v>Мб-51_26.02.12_15:35</v>
      </c>
      <c r="J18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89" s="10"/>
      <c r="L189" t="str">
        <f>IFERROR(IF(SEARCH("курс",Таблица1[[#This Row],[Форма контроля]])&gt;=1,),"Ошибка")</f>
        <v>Ошибка</v>
      </c>
      <c r="M18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(4/9 з.е., 144/324 ч., 1/2, Д № 7766)Мб-51ошибка</v>
      </c>
      <c r="N18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(4/9 з.е., 144/324 ч., 1/2, Д № 7766)_Мб-51_26.02.12_15:35</v>
      </c>
    </row>
    <row r="190" spans="1:14" ht="25.5" x14ac:dyDescent="0.2">
      <c r="A190" s="7"/>
      <c r="B190" s="8" t="s">
        <v>142</v>
      </c>
      <c r="C190" s="8" t="s">
        <v>16</v>
      </c>
      <c r="D190" s="9" t="s">
        <v>54</v>
      </c>
      <c r="E190" s="10">
        <v>5</v>
      </c>
      <c r="F190" s="11">
        <v>46062</v>
      </c>
      <c r="G190" s="10">
        <v>5101</v>
      </c>
      <c r="H190" s="12">
        <v>0.64930555555555558</v>
      </c>
      <c r="I190" s="10" t="str">
        <f>_xlfn.CONCAT(Таблица1[[#This Row],[Группа]],"_",TEXT(Таблица1[[#This Row],[Дата]],"ГГ.ММ.ДД"),"_",TEXT(Таблица1[[#This Row],[Время]],"чч:мм"))</f>
        <v>Мб-52_26.02.09_15:35</v>
      </c>
      <c r="J19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0" s="10"/>
      <c r="L190" t="str">
        <f>IFERROR(IF(SEARCH("курс",Таблица1[[#This Row],[Форма контроля]])&gt;=1,),"Ошибка")</f>
        <v>Ошибка</v>
      </c>
      <c r="M19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(4/9 з.е., 144/324 ч., 1/2, Д № 7766)Мб-52ошибка</v>
      </c>
      <c r="N19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(4/9 з.е., 144/324 ч., 1/2, Д № 7766)_Мб-52_26.02.09_15:35</v>
      </c>
    </row>
    <row r="191" spans="1:14" ht="25.5" x14ac:dyDescent="0.2">
      <c r="A191" s="7"/>
      <c r="B191" s="8" t="s">
        <v>143</v>
      </c>
      <c r="C191" s="8" t="s">
        <v>27</v>
      </c>
      <c r="D191" s="9" t="s">
        <v>20</v>
      </c>
      <c r="E191" s="10">
        <v>5</v>
      </c>
      <c r="F191" s="11">
        <v>46062</v>
      </c>
      <c r="G191" s="10">
        <v>5101</v>
      </c>
      <c r="H191" s="12">
        <v>0.64930555555555558</v>
      </c>
      <c r="I191" s="10" t="str">
        <f>_xlfn.CONCAT(Таблица1[[#This Row],[Группа]],"_",TEXT(Таблица1[[#This Row],[Дата]],"ГГ.ММ.ДД"),"_",TEXT(Таблица1[[#This Row],[Время]],"чч:мм"))</f>
        <v>ЭЖД-51_26.02.09_15:35</v>
      </c>
      <c r="J19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1" s="10"/>
      <c r="L191" t="str">
        <f>IFERROR(IF(SEARCH("курс",Таблица1[[#This Row],[Форма контроля]])&gt;=1,),"Ошибка")</f>
        <v>Ошибка</v>
      </c>
      <c r="M19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(5/15 з.е., 180/540 ч., 1/4, Д № 8088)ЭЖД-51ошибка</v>
      </c>
      <c r="N19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(5/15 з.е., 180/540 ч., 1/4, Д № 8088)_ЭЖД-51_26.02.09_15:35</v>
      </c>
    </row>
    <row r="192" spans="1:14" ht="25.5" x14ac:dyDescent="0.2">
      <c r="A192" s="7"/>
      <c r="B192" s="8" t="s">
        <v>143</v>
      </c>
      <c r="C192" s="8" t="s">
        <v>27</v>
      </c>
      <c r="D192" s="9" t="s">
        <v>17</v>
      </c>
      <c r="E192" s="10">
        <v>2</v>
      </c>
      <c r="F192" s="11">
        <v>46062</v>
      </c>
      <c r="G192" s="10">
        <v>5101</v>
      </c>
      <c r="H192" s="12">
        <v>0.64930555555555558</v>
      </c>
      <c r="I192" s="10" t="str">
        <f>_xlfn.CONCAT(Таблица1[[#This Row],[Группа]],"_",TEXT(Таблица1[[#This Row],[Дата]],"ГГ.ММ.ДД"),"_",TEXT(Таблица1[[#This Row],[Время]],"чч:мм"))</f>
        <v>ЭЖД-52_26.02.09_15:35</v>
      </c>
      <c r="J19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2" s="10"/>
      <c r="L192" t="str">
        <f>IFERROR(IF(SEARCH("курс",Таблица1[[#This Row],[Форма контроля]])&gt;=1,),"Ошибка")</f>
        <v>Ошибка</v>
      </c>
      <c r="M19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(5/15 з.е., 180/540 ч., 1/4, Д № 8088)ЭЖД-52ошибка</v>
      </c>
      <c r="N19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(5/15 з.е., 180/540 ч., 1/4, Д № 8088)_ЭЖД-52_26.02.09_15:35</v>
      </c>
    </row>
    <row r="193" spans="1:14" ht="25.5" x14ac:dyDescent="0.2">
      <c r="A193" s="7"/>
      <c r="B193" s="8" t="s">
        <v>143</v>
      </c>
      <c r="C193" s="8" t="s">
        <v>27</v>
      </c>
      <c r="D193" s="9" t="s">
        <v>19</v>
      </c>
      <c r="E193" s="10">
        <v>2</v>
      </c>
      <c r="F193" s="11">
        <v>46065</v>
      </c>
      <c r="G193" s="10">
        <v>5101</v>
      </c>
      <c r="H193" s="12">
        <v>0.64930555555555558</v>
      </c>
      <c r="I193" s="10" t="str">
        <f>_xlfn.CONCAT(Таблица1[[#This Row],[Группа]],"_",TEXT(Таблица1[[#This Row],[Дата]],"ГГ.ММ.ДД"),"_",TEXT(Таблица1[[#This Row],[Время]],"чч:мм"))</f>
        <v>ЭЖД-53_26.02.12_15:35</v>
      </c>
      <c r="J19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3" s="10"/>
      <c r="L193" t="str">
        <f>IFERROR(IF(SEARCH("курс",Таблица1[[#This Row],[Форма контроля]])&gt;=1,),"Ошибка")</f>
        <v>Ошибка</v>
      </c>
      <c r="M19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Математика (5/15 з.е., 180/540 ч., 1/4, Д № 8088)ЭЖД-53ошибка</v>
      </c>
      <c r="N19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Математика (5/15 з.е., 180/540 ч., 1/4, Д № 8088)_ЭЖД-53_26.02.12_15:35</v>
      </c>
    </row>
    <row r="194" spans="1:14" ht="38.25" x14ac:dyDescent="0.2">
      <c r="A194" s="7"/>
      <c r="B194" s="8" t="s">
        <v>144</v>
      </c>
      <c r="C194" s="8" t="s">
        <v>24</v>
      </c>
      <c r="D194" s="9" t="s">
        <v>46</v>
      </c>
      <c r="E194" s="10">
        <v>9</v>
      </c>
      <c r="F194" s="11">
        <v>46064</v>
      </c>
      <c r="G194" s="10" t="s">
        <v>47</v>
      </c>
      <c r="H194" s="12">
        <v>0.71875</v>
      </c>
      <c r="I194" s="10" t="str">
        <f>_xlfn.CONCAT(Таблица1[[#This Row],[Группа]],"_",TEXT(Таблица1[[#This Row],[Дата]],"ГГ.ММ.ДД"),"_",TEXT(Таблица1[[#This Row],[Время]],"чч:мм"))</f>
        <v>ТТПм-51_26.02.11_17:15</v>
      </c>
      <c r="J19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4" s="10"/>
      <c r="L194" t="str">
        <f>IFERROR(IF(SEARCH("курс",Таблица1[[#This Row],[Форма контроля]])&gt;=1,),"Ошибка")</f>
        <v>Ошибка</v>
      </c>
      <c r="M19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Стратегические решения в функциональных областях организации (5 з.е., 180 ч., 1/1, Д № 7885)ТТПм-51ошибка</v>
      </c>
      <c r="N19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Стратегические решения в функциональных областях организации (5 з.е., 180 ч., 1/1, Д № 7885)_ТТПм-51_26.02.11_17:15</v>
      </c>
    </row>
    <row r="195" spans="1:14" ht="25.5" x14ac:dyDescent="0.2">
      <c r="A195" s="7"/>
      <c r="B195" s="8" t="s">
        <v>145</v>
      </c>
      <c r="C195" s="8" t="s">
        <v>16</v>
      </c>
      <c r="D195" s="9" t="s">
        <v>43</v>
      </c>
      <c r="E195" s="10">
        <v>7</v>
      </c>
      <c r="F195" s="11">
        <v>46069</v>
      </c>
      <c r="G195" s="10">
        <v>9212</v>
      </c>
      <c r="H195" s="12">
        <v>0.35416666666666669</v>
      </c>
      <c r="I195" s="10" t="str">
        <f>_xlfn.CONCAT(Таблица1[[#This Row],[Группа]],"_",TEXT(Таблица1[[#This Row],[Дата]],"ГГ.ММ.ДД"),"_",TEXT(Таблица1[[#This Row],[Время]],"чч:мм"))</f>
        <v>Мб-31_26.02.16_08:30</v>
      </c>
      <c r="J19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5" s="10"/>
      <c r="L195" t="str">
        <f>IFERROR(IF(SEARCH("курс",Таблица1[[#This Row],[Форма контроля]])&gt;=1,),"Ошибка")</f>
        <v>Ошибка</v>
      </c>
      <c r="M19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Стратегический менеджмент (3 з.е., 108 ч., 1/1, Д № 5810)Мб-31ошибка</v>
      </c>
      <c r="N19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Стратегический менеджмент (3 з.е., 108 ч., 1/1, Д № 5810)_Мб-31_26.02.16_08:30</v>
      </c>
    </row>
    <row r="196" spans="1:14" ht="25.5" x14ac:dyDescent="0.2">
      <c r="A196" s="7"/>
      <c r="B196" s="8" t="s">
        <v>146</v>
      </c>
      <c r="C196" s="8" t="s">
        <v>57</v>
      </c>
      <c r="D196" s="9" t="s">
        <v>44</v>
      </c>
      <c r="E196" s="10">
        <v>3</v>
      </c>
      <c r="F196" s="11">
        <v>46069</v>
      </c>
      <c r="G196" s="10">
        <v>9212</v>
      </c>
      <c r="H196" s="12">
        <v>0.42708333333333331</v>
      </c>
      <c r="I196" s="10" t="str">
        <f>_xlfn.CONCAT(Таблица1[[#This Row],[Группа]],"_",TEXT(Таблица1[[#This Row],[Дата]],"ГГ.ММ.ДД"),"_",TEXT(Таблица1[[#This Row],[Время]],"чч:мм"))</f>
        <v>УПб-31_26.02.16_10:15</v>
      </c>
      <c r="J19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6" s="10"/>
      <c r="L196">
        <f>IFERROR(IF(SEARCH("курс",Таблица1[[#This Row],[Форма контроля]])&gt;=1,),"Ошибка")</f>
        <v>0</v>
      </c>
      <c r="M19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и социология труда (6 з.е., 216 ч., 1/1, Д № 6013)УПб-31</v>
      </c>
      <c r="N19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и социология труда (6 з.е., 216 ч., 1/1, Д № 6013)_УПб-31_26.02.16_10:15</v>
      </c>
    </row>
    <row r="197" spans="1:14" ht="25.5" x14ac:dyDescent="0.2">
      <c r="A197" s="7"/>
      <c r="B197" s="8" t="s">
        <v>146</v>
      </c>
      <c r="C197" s="8" t="s">
        <v>27</v>
      </c>
      <c r="D197" s="9" t="s">
        <v>44</v>
      </c>
      <c r="E197" s="10">
        <v>3</v>
      </c>
      <c r="F197" s="11">
        <v>46074</v>
      </c>
      <c r="G197" s="10">
        <v>9212</v>
      </c>
      <c r="H197" s="12">
        <v>0.42708333333333331</v>
      </c>
      <c r="I197" s="10" t="str">
        <f>_xlfn.CONCAT(Таблица1[[#This Row],[Группа]],"_",TEXT(Таблица1[[#This Row],[Дата]],"ГГ.ММ.ДД"),"_",TEXT(Таблица1[[#This Row],[Время]],"чч:мм"))</f>
        <v>УПб-31_26.02.21_10:15</v>
      </c>
      <c r="J19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7" s="10"/>
      <c r="L197" t="str">
        <f>IFERROR(IF(SEARCH("курс",Таблица1[[#This Row],[Форма контроля]])&gt;=1,),"Ошибка")</f>
        <v>Ошибка</v>
      </c>
      <c r="M19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и социология труда (6 з.е., 216 ч., 1/1, Д № 6013)УПб-31ошибка</v>
      </c>
      <c r="N19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и социология труда (6 з.е., 216 ч., 1/1, Д № 6013)_УПб-31_26.02.21_10:15</v>
      </c>
    </row>
    <row r="198" spans="1:14" ht="25.5" x14ac:dyDescent="0.2">
      <c r="A198" s="7"/>
      <c r="B198" s="8" t="s">
        <v>147</v>
      </c>
      <c r="C198" s="8" t="s">
        <v>57</v>
      </c>
      <c r="D198" s="9" t="s">
        <v>148</v>
      </c>
      <c r="E198" s="10">
        <v>4</v>
      </c>
      <c r="F198" s="11">
        <v>46062</v>
      </c>
      <c r="G198" s="10" t="s">
        <v>47</v>
      </c>
      <c r="H198" s="12">
        <v>0.71875</v>
      </c>
      <c r="I198" s="10" t="str">
        <f>_xlfn.CONCAT(Таблица1[[#This Row],[Группа]],"_",TEXT(Таблица1[[#This Row],[Дата]],"ГГ.ММ.ДД"),"_",TEXT(Таблица1[[#This Row],[Время]],"чч:мм"))</f>
        <v>УПб-21оз_26.02.09_17:15</v>
      </c>
      <c r="J19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8" s="10"/>
      <c r="L198">
        <f>IFERROR(IF(SEARCH("курс",Таблица1[[#This Row],[Форма контроля]])&gt;=1,),"Ошибка")</f>
        <v>0</v>
      </c>
      <c r="M19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и социология труда (6 з.е., 216 ч., 1/1, Д № 6162)УПб-21оз</v>
      </c>
      <c r="N19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и социология труда (6 з.е., 216 ч., 1/1, Д № 6162)_УПб-21оз_26.02.09_17:15</v>
      </c>
    </row>
    <row r="199" spans="1:14" ht="25.5" x14ac:dyDescent="0.2">
      <c r="A199" s="7"/>
      <c r="B199" s="8" t="s">
        <v>147</v>
      </c>
      <c r="C199" s="8" t="s">
        <v>27</v>
      </c>
      <c r="D199" s="9" t="s">
        <v>148</v>
      </c>
      <c r="E199" s="10">
        <v>6</v>
      </c>
      <c r="F199" s="11">
        <v>46063</v>
      </c>
      <c r="G199" s="10" t="s">
        <v>47</v>
      </c>
      <c r="H199" s="12">
        <v>0.71875</v>
      </c>
      <c r="I199" s="10" t="str">
        <f>_xlfn.CONCAT(Таблица1[[#This Row],[Группа]],"_",TEXT(Таблица1[[#This Row],[Дата]],"ГГ.ММ.ДД"),"_",TEXT(Таблица1[[#This Row],[Время]],"чч:мм"))</f>
        <v>УПб-21оз_26.02.10_17:15</v>
      </c>
      <c r="J19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199" s="10"/>
      <c r="L199" t="str">
        <f>IFERROR(IF(SEARCH("курс",Таблица1[[#This Row],[Форма контроля]])&gt;=1,),"Ошибка")</f>
        <v>Ошибка</v>
      </c>
      <c r="M19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и социология труда (6 з.е., 216 ч., 1/1, Д № 6162)УПб-21озошибка</v>
      </c>
      <c r="N19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и социология труда (6 з.е., 216 ч., 1/1, Д № 6162)_УПб-21оз_26.02.10_17:15</v>
      </c>
    </row>
    <row r="200" spans="1:14" ht="25.5" x14ac:dyDescent="0.2">
      <c r="A200" s="7"/>
      <c r="B200" s="8" t="s">
        <v>149</v>
      </c>
      <c r="C200" s="8" t="s">
        <v>16</v>
      </c>
      <c r="D200" s="9" t="s">
        <v>37</v>
      </c>
      <c r="E200" s="10">
        <v>10</v>
      </c>
      <c r="F200" s="11">
        <v>46065</v>
      </c>
      <c r="G200" s="10" t="s">
        <v>150</v>
      </c>
      <c r="H200" s="12">
        <v>0.71875</v>
      </c>
      <c r="I200" s="10" t="str">
        <f>_xlfn.CONCAT(Таблица1[[#This Row],[Группа]],"_",TEXT(Таблица1[[#This Row],[Дата]],"ГГ.ММ.ДД"),"_",TEXT(Таблица1[[#This Row],[Время]],"чч:мм"))</f>
        <v>ЭМУб-41оз_26.02.12_17:15</v>
      </c>
      <c r="J20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0" s="10"/>
      <c r="L200" t="str">
        <f>IFERROR(IF(SEARCH("курс",Таблица1[[#This Row],[Форма контроля]])&gt;=1,),"Ошибка")</f>
        <v>Ошибка</v>
      </c>
      <c r="M20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Русский язык и деловые коммуникации (2 з.е., 72 ч., 1/1, Д № 8627)ЭМУб-41озошибка</v>
      </c>
      <c r="N20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Русский язык и деловые коммуникации (2 з.е., 72 ч., 1/1, Д № 8627)_ЭМУб-41оз_26.02.12_17:15</v>
      </c>
    </row>
    <row r="201" spans="1:14" ht="25.5" x14ac:dyDescent="0.2">
      <c r="A201" s="7"/>
      <c r="B201" s="8" t="s">
        <v>151</v>
      </c>
      <c r="C201" s="8" t="s">
        <v>16</v>
      </c>
      <c r="D201" s="9" t="s">
        <v>20</v>
      </c>
      <c r="E201" s="10">
        <v>5</v>
      </c>
      <c r="F201" s="11">
        <v>46063</v>
      </c>
      <c r="G201" s="10">
        <v>5414</v>
      </c>
      <c r="H201" s="12">
        <v>0.50694444444444442</v>
      </c>
      <c r="I201" s="10" t="str">
        <f>_xlfn.CONCAT(Таблица1[[#This Row],[Группа]],"_",TEXT(Таблица1[[#This Row],[Дата]],"ГГ.ММ.ДД"),"_",TEXT(Таблица1[[#This Row],[Время]],"чч:мм"))</f>
        <v>ЭЖД-51_26.02.10_12:10</v>
      </c>
      <c r="J20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1" s="10"/>
      <c r="L201" t="str">
        <f>IFERROR(IF(SEARCH("курс",Таблица1[[#This Row],[Форма контроля]])&gt;=1,),"Ошибка")</f>
        <v>Ошибка</v>
      </c>
      <c r="M20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Русский язык и деловые коммуникации (2 з.е., 72 ч., 1/1, Д № 8085)ЭЖД-51ошибка</v>
      </c>
      <c r="N20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Русский язык и деловые коммуникации (2 з.е., 72 ч., 1/1, Д № 8085)_ЭЖД-51_26.02.10_12:10</v>
      </c>
    </row>
    <row r="202" spans="1:14" ht="25.5" x14ac:dyDescent="0.2">
      <c r="A202" s="7"/>
      <c r="B202" s="8" t="s">
        <v>151</v>
      </c>
      <c r="C202" s="8" t="s">
        <v>16</v>
      </c>
      <c r="D202" s="9" t="s">
        <v>17</v>
      </c>
      <c r="E202" s="10">
        <v>2</v>
      </c>
      <c r="F202" s="11">
        <v>46063</v>
      </c>
      <c r="G202" s="10">
        <v>5414</v>
      </c>
      <c r="H202" s="12">
        <v>0.50694444444444442</v>
      </c>
      <c r="I202" s="10" t="str">
        <f>_xlfn.CONCAT(Таблица1[[#This Row],[Группа]],"_",TEXT(Таблица1[[#This Row],[Дата]],"ГГ.ММ.ДД"),"_",TEXT(Таблица1[[#This Row],[Время]],"чч:мм"))</f>
        <v>ЭЖД-52_26.02.10_12:10</v>
      </c>
      <c r="J20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2" s="10"/>
      <c r="L202" t="str">
        <f>IFERROR(IF(SEARCH("курс",Таблица1[[#This Row],[Форма контроля]])&gt;=1,),"Ошибка")</f>
        <v>Ошибка</v>
      </c>
      <c r="M20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Русский язык и деловые коммуникации (2 з.е., 72 ч., 1/1, Д № 8085)ЭЖД-52ошибка</v>
      </c>
      <c r="N20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Русский язык и деловые коммуникации (2 з.е., 72 ч., 1/1, Д № 8085)_ЭЖД-52_26.02.10_12:10</v>
      </c>
    </row>
    <row r="203" spans="1:14" ht="25.5" x14ac:dyDescent="0.2">
      <c r="A203" s="7"/>
      <c r="B203" s="8" t="s">
        <v>151</v>
      </c>
      <c r="C203" s="8" t="s">
        <v>16</v>
      </c>
      <c r="D203" s="9" t="s">
        <v>19</v>
      </c>
      <c r="E203" s="10">
        <v>5</v>
      </c>
      <c r="F203" s="11">
        <v>46069</v>
      </c>
      <c r="G203" s="10">
        <v>5414</v>
      </c>
      <c r="H203" s="12">
        <v>0.57986111111111105</v>
      </c>
      <c r="I203" s="10" t="str">
        <f>_xlfn.CONCAT(Таблица1[[#This Row],[Группа]],"_",TEXT(Таблица1[[#This Row],[Дата]],"ГГ.ММ.ДД"),"_",TEXT(Таблица1[[#This Row],[Время]],"чч:мм"))</f>
        <v>ЭЖД-53_26.02.16_13:55</v>
      </c>
      <c r="J20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3" s="10"/>
      <c r="L203" t="str">
        <f>IFERROR(IF(SEARCH("курс",Таблица1[[#This Row],[Форма контроля]])&gt;=1,),"Ошибка")</f>
        <v>Ошибка</v>
      </c>
      <c r="M20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Русский язык и деловые коммуникации (2 з.е., 72 ч., 1/1, Д № 8085)ЭЖД-53ошибка</v>
      </c>
      <c r="N20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Русский язык и деловые коммуникации (2 з.е., 72 ч., 1/1, Д № 8085)_ЭЖД-53_26.02.16_13:55</v>
      </c>
    </row>
    <row r="204" spans="1:14" ht="25.5" x14ac:dyDescent="0.2">
      <c r="A204" s="7"/>
      <c r="B204" s="8" t="s">
        <v>152</v>
      </c>
      <c r="C204" s="8" t="s">
        <v>16</v>
      </c>
      <c r="D204" s="9" t="s">
        <v>30</v>
      </c>
      <c r="E204" s="10">
        <v>4</v>
      </c>
      <c r="F204" s="11">
        <v>46071</v>
      </c>
      <c r="G204" s="10">
        <v>5206</v>
      </c>
      <c r="H204" s="12">
        <v>0.35416666666666669</v>
      </c>
      <c r="I204" s="10" t="str">
        <f>_xlfn.CONCAT(Таблица1[[#This Row],[Группа]],"_",TEXT(Таблица1[[#This Row],[Дата]],"ГГ.ММ.ДД"),"_",TEXT(Таблица1[[#This Row],[Время]],"чч:мм"))</f>
        <v>ЭЖД-41_26.02.18_08:30</v>
      </c>
      <c r="J20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4" s="10"/>
      <c r="L204" t="str">
        <f>IFERROR(IF(SEARCH("курс",Таблица1[[#This Row],[Форма контроля]])&gt;=1,),"Ошибка")</f>
        <v>Ошибка</v>
      </c>
      <c r="M20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Инженерная экология (3 з.е., 108 ч., 1/1, Д № 9313)ЭЖД-41ошибка</v>
      </c>
      <c r="N20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Инженерная экология (3 з.е., 108 ч., 1/1, Д № 9313)_ЭЖД-41_26.02.18_08:30</v>
      </c>
    </row>
    <row r="205" spans="1:14" ht="25.5" x14ac:dyDescent="0.2">
      <c r="A205" s="7"/>
      <c r="B205" s="8" t="s">
        <v>152</v>
      </c>
      <c r="C205" s="8" t="s">
        <v>16</v>
      </c>
      <c r="D205" s="9" t="s">
        <v>31</v>
      </c>
      <c r="E205" s="10">
        <v>1</v>
      </c>
      <c r="F205" s="11">
        <v>46071</v>
      </c>
      <c r="G205" s="10">
        <v>5206</v>
      </c>
      <c r="H205" s="12">
        <v>0.35416666666666669</v>
      </c>
      <c r="I205" s="10" t="str">
        <f>_xlfn.CONCAT(Таблица1[[#This Row],[Группа]],"_",TEXT(Таблица1[[#This Row],[Дата]],"ГГ.ММ.ДД"),"_",TEXT(Таблица1[[#This Row],[Время]],"чч:мм"))</f>
        <v>ЭЖД-42_26.02.18_08:30</v>
      </c>
      <c r="J20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5" s="10"/>
      <c r="L205" t="str">
        <f>IFERROR(IF(SEARCH("курс",Таблица1[[#This Row],[Форма контроля]])&gt;=1,),"Ошибка")</f>
        <v>Ошибка</v>
      </c>
      <c r="M20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Инженерная экология (3 з.е., 108 ч., 1/1, Д № 9313)ЭЖД-42ошибка</v>
      </c>
      <c r="N20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Инженерная экология (3 з.е., 108 ч., 1/1, Д № 9313)_ЭЖД-42_26.02.18_08:30</v>
      </c>
    </row>
    <row r="206" spans="1:14" ht="25.5" x14ac:dyDescent="0.2">
      <c r="A206" s="7"/>
      <c r="B206" s="8" t="s">
        <v>152</v>
      </c>
      <c r="C206" s="8" t="s">
        <v>16</v>
      </c>
      <c r="D206" s="9" t="s">
        <v>32</v>
      </c>
      <c r="E206" s="10">
        <v>2</v>
      </c>
      <c r="F206" s="11">
        <v>46071</v>
      </c>
      <c r="G206" s="10">
        <v>5206</v>
      </c>
      <c r="H206" s="12">
        <v>0.35416666666666669</v>
      </c>
      <c r="I206" s="10" t="str">
        <f>_xlfn.CONCAT(Таблица1[[#This Row],[Группа]],"_",TEXT(Таблица1[[#This Row],[Дата]],"ГГ.ММ.ДД"),"_",TEXT(Таблица1[[#This Row],[Время]],"чч:мм"))</f>
        <v>ЭЖД-43_26.02.18_08:30</v>
      </c>
      <c r="J20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6" s="10"/>
      <c r="L206" t="str">
        <f>IFERROR(IF(SEARCH("курс",Таблица1[[#This Row],[Форма контроля]])&gt;=1,),"Ошибка")</f>
        <v>Ошибка</v>
      </c>
      <c r="M20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Инженерная экология (3 з.е., 108 ч., 1/1, Д № 9313)ЭЖД-43ошибка</v>
      </c>
      <c r="N20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Инженерная экология (3 з.е., 108 ч., 1/1, Д № 9313)_ЭЖД-43_26.02.18_08:30</v>
      </c>
    </row>
    <row r="207" spans="1:14" ht="25.5" x14ac:dyDescent="0.2">
      <c r="A207" s="7"/>
      <c r="B207" s="8" t="s">
        <v>61</v>
      </c>
      <c r="C207" s="8" t="s">
        <v>57</v>
      </c>
      <c r="D207" s="9" t="s">
        <v>62</v>
      </c>
      <c r="E207" s="10">
        <v>12</v>
      </c>
      <c r="F207" s="11">
        <v>46065</v>
      </c>
      <c r="G207" s="10">
        <v>9324</v>
      </c>
      <c r="H207" s="12">
        <v>0.57986111111111105</v>
      </c>
      <c r="I207" s="10" t="str">
        <f>_xlfn.CONCAT(Таблица1[[#This Row],[Группа]],"_",TEXT(Таблица1[[#This Row],[Дата]],"ГГ.ММ.ДД"),"_",TEXT(Таблица1[[#This Row],[Время]],"чч:мм"))</f>
        <v>ЭЖД-32_26.02.12_13:55</v>
      </c>
      <c r="J20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7" s="10"/>
      <c r="L207">
        <f>IFERROR(IF(SEARCH("курс",Таблица1[[#This Row],[Форма контроля]])&gt;=1,),"Ошибка")</f>
        <v>0</v>
      </c>
      <c r="M20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(4/13 з.е., 144/468 ч., 1/3, Д № 4795)ЭЖД-32</v>
      </c>
      <c r="N20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(4/13 з.е., 144/468 ч., 1/3, Д № 4795)_ЭЖД-32_26.02.12_13:55</v>
      </c>
    </row>
    <row r="208" spans="1:14" ht="25.5" x14ac:dyDescent="0.2">
      <c r="A208" s="7"/>
      <c r="B208" s="8" t="s">
        <v>23</v>
      </c>
      <c r="C208" s="8" t="s">
        <v>63</v>
      </c>
      <c r="D208" s="9" t="s">
        <v>25</v>
      </c>
      <c r="E208" s="10">
        <v>4</v>
      </c>
      <c r="F208" s="11">
        <v>46065</v>
      </c>
      <c r="G208" s="10">
        <v>9324</v>
      </c>
      <c r="H208" s="12">
        <v>0.57986111111111105</v>
      </c>
      <c r="I208" s="10" t="str">
        <f>_xlfn.CONCAT(Таблица1[[#This Row],[Группа]],"_",TEXT(Таблица1[[#This Row],[Дата]],"ГГ.ММ.ДД"),"_",TEXT(Таблица1[[#This Row],[Время]],"чч:мм"))</f>
        <v>ЭЖД-44у_26.02.12_13:55</v>
      </c>
      <c r="J20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8" s="10"/>
      <c r="L208">
        <f>IFERROR(IF(SEARCH("курс",Таблица1[[#This Row],[Форма контроля]])&gt;=1,),"Ошибка")</f>
        <v>0</v>
      </c>
      <c r="M20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(2/7 з.е., 72/252 ч., 2/3, Д № 8598)ЭЖД-44у</v>
      </c>
      <c r="N20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(2/7 з.е., 72/252 ч., 2/3, Д № 8598)_ЭЖД-44у_26.02.12_13:55</v>
      </c>
    </row>
    <row r="209" spans="1:14" ht="25.5" x14ac:dyDescent="0.2">
      <c r="A209" s="7"/>
      <c r="B209" s="8" t="s">
        <v>64</v>
      </c>
      <c r="C209" s="8" t="s">
        <v>63</v>
      </c>
      <c r="D209" s="9" t="s">
        <v>72</v>
      </c>
      <c r="E209" s="10">
        <v>10</v>
      </c>
      <c r="F209" s="11">
        <v>46066</v>
      </c>
      <c r="G209" s="10">
        <v>9324</v>
      </c>
      <c r="H209" s="12">
        <v>0.35416666666666669</v>
      </c>
      <c r="I209" s="10" t="str">
        <f>_xlfn.CONCAT(Таблица1[[#This Row],[Группа]],"_",TEXT(Таблица1[[#This Row],[Дата]],"ГГ.ММ.ДД"),"_",TEXT(Таблица1[[#This Row],[Время]],"чч:мм"))</f>
        <v>ЭЖД-23_26.02.13_08:30</v>
      </c>
      <c r="J20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09" s="10"/>
      <c r="L209">
        <f>IFERROR(IF(SEARCH("курс",Таблица1[[#This Row],[Форма контроля]])&gt;=1,),"Ошибка")</f>
        <v>0</v>
      </c>
      <c r="M20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(5/13 з.е., 180/468 ч., 3/3, Д № 4795)ЭЖД-23</v>
      </c>
      <c r="N20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(5/13 з.е., 180/468 ч., 3/3, Д № 4795)_ЭЖД-23_26.02.13_08:30</v>
      </c>
    </row>
    <row r="210" spans="1:14" ht="25.5" x14ac:dyDescent="0.2">
      <c r="A210" s="7"/>
      <c r="B210" s="8" t="s">
        <v>64</v>
      </c>
      <c r="C210" s="8" t="s">
        <v>63</v>
      </c>
      <c r="D210" s="9" t="s">
        <v>71</v>
      </c>
      <c r="E210" s="10">
        <v>3</v>
      </c>
      <c r="F210" s="11">
        <v>46066</v>
      </c>
      <c r="G210" s="10">
        <v>9324</v>
      </c>
      <c r="H210" s="12">
        <v>0.35416666666666669</v>
      </c>
      <c r="I210" s="10" t="str">
        <f>_xlfn.CONCAT(Таблица1[[#This Row],[Группа]],"_",TEXT(Таблица1[[#This Row],[Дата]],"ГГ.ММ.ДД"),"_",TEXT(Таблица1[[#This Row],[Время]],"чч:мм"))</f>
        <v>ЭЖД-22_26.02.13_08:30</v>
      </c>
      <c r="J21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0" s="10"/>
      <c r="L210">
        <f>IFERROR(IF(SEARCH("курс",Таблица1[[#This Row],[Форма контроля]])&gt;=1,),"Ошибка")</f>
        <v>0</v>
      </c>
      <c r="M21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(5/13 з.е., 180/468 ч., 3/3, Д № 4795)ЭЖД-22</v>
      </c>
      <c r="N21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(5/13 з.е., 180/468 ч., 3/3, Д № 4795)_ЭЖД-22_26.02.13_08:30</v>
      </c>
    </row>
    <row r="211" spans="1:14" ht="38.25" x14ac:dyDescent="0.2">
      <c r="A211" s="7"/>
      <c r="B211" s="8" t="s">
        <v>153</v>
      </c>
      <c r="C211" s="8" t="s">
        <v>24</v>
      </c>
      <c r="D211" s="9" t="s">
        <v>75</v>
      </c>
      <c r="E211" s="10">
        <v>1</v>
      </c>
      <c r="F211" s="11">
        <v>46072</v>
      </c>
      <c r="G211" s="10">
        <v>7106</v>
      </c>
      <c r="H211" s="12">
        <v>0.50694444444444442</v>
      </c>
      <c r="I211" s="10" t="str">
        <f>_xlfn.CONCAT(Таблица1[[#This Row],[Группа]],"_",TEXT(Таблица1[[#This Row],[Дата]],"ГГ.ММ.ДД"),"_",TEXT(Таблица1[[#This Row],[Время]],"чч:мм"))</f>
        <v>ЭЖД-55у_26.02.19_12:10</v>
      </c>
      <c r="J21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1" s="10"/>
      <c r="L211" t="str">
        <f>IFERROR(IF(SEARCH("курс",Таблица1[[#This Row],[Форма контроля]])&gt;=1,),"Ошибка")</f>
        <v>Ошибка</v>
      </c>
      <c r="M21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геодезии (3 з.е., 108 ч., 1/1, Д № 8590)ЭЖД-55уошибка</v>
      </c>
      <c r="N21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геодезии (3 з.е., 108 ч., 1/1, Д № 8590)_ЭЖД-55у_26.02.19_12:10</v>
      </c>
    </row>
    <row r="212" spans="1:14" ht="38.25" x14ac:dyDescent="0.2">
      <c r="A212" s="7"/>
      <c r="B212" s="8" t="s">
        <v>153</v>
      </c>
      <c r="C212" s="8" t="s">
        <v>24</v>
      </c>
      <c r="D212" s="17" t="s">
        <v>85</v>
      </c>
      <c r="E212" s="10">
        <v>1</v>
      </c>
      <c r="F212" s="11">
        <v>46072</v>
      </c>
      <c r="G212" s="10">
        <v>7106</v>
      </c>
      <c r="H212" s="12">
        <v>0.50694444444444442</v>
      </c>
      <c r="I212" s="10" t="str">
        <f>_xlfn.CONCAT(Таблица1[[#This Row],[Группа]],"_",TEXT(Таблица1[[#This Row],[Дата]],"ГГ.ММ.ДД"),"_",TEXT(Таблица1[[#This Row],[Время]],"чч:мм"))</f>
        <v xml:space="preserve"> ЭЖД-57у_26.02.19_12:10</v>
      </c>
      <c r="J21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2" s="10"/>
      <c r="L212" t="str">
        <f>IFERROR(IF(SEARCH("курс",Таблица1[[#This Row],[Форма контроля]])&gt;=1,),"Ошибка")</f>
        <v>Ошибка</v>
      </c>
      <c r="M21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геодезии (3 з.е., 108 ч., 1/1, Д № 8590) ЭЖД-57уошибка</v>
      </c>
      <c r="N21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геодезии (3 з.е., 108 ч., 1/1, Д № 8590)_ ЭЖД-57у_26.02.19_12:10</v>
      </c>
    </row>
    <row r="213" spans="1:14" ht="25.5" x14ac:dyDescent="0.2">
      <c r="A213" s="7"/>
      <c r="B213" s="8" t="s">
        <v>154</v>
      </c>
      <c r="C213" s="8" t="s">
        <v>27</v>
      </c>
      <c r="D213" s="9" t="s">
        <v>58</v>
      </c>
      <c r="E213" s="10">
        <v>1</v>
      </c>
      <c r="F213" s="11">
        <v>46069</v>
      </c>
      <c r="G213" s="10">
        <v>5206</v>
      </c>
      <c r="H213" s="12">
        <v>0.64930555555555558</v>
      </c>
      <c r="I213" s="10" t="str">
        <f>_xlfn.CONCAT(Таблица1[[#This Row],[Группа]],"_",TEXT(Таблица1[[#This Row],[Дата]],"ГГ.ММ.ДД"),"_",TEXT(Таблица1[[#This Row],[Время]],"чч:мм"))</f>
        <v>ЭЖД-45у_26.02.16_15:35</v>
      </c>
      <c r="J21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3" s="10"/>
      <c r="L213" t="str">
        <f>IFERROR(IF(SEARCH("курс",Таблица1[[#This Row],[Форма контроля]])&gt;=1,),"Ошибка")</f>
        <v>Ошибка</v>
      </c>
      <c r="M21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Экономика и управление проектами (4 з.е., 144 ч., 1/1, Д № 8577)ЭЖД-45уошибка</v>
      </c>
      <c r="N21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Экономика и управление проектами (4 з.е., 144 ч., 1/1, Д № 8577)_ЭЖД-45у_26.02.16_15:35</v>
      </c>
    </row>
    <row r="214" spans="1:14" ht="25.5" x14ac:dyDescent="0.2">
      <c r="A214" s="7"/>
      <c r="B214" s="8" t="s">
        <v>155</v>
      </c>
      <c r="C214" s="8" t="s">
        <v>27</v>
      </c>
      <c r="D214" s="9" t="s">
        <v>46</v>
      </c>
      <c r="E214" s="10">
        <v>1</v>
      </c>
      <c r="F214" s="11">
        <v>46063</v>
      </c>
      <c r="G214" s="10" t="s">
        <v>38</v>
      </c>
      <c r="H214" s="12">
        <v>0.71875</v>
      </c>
      <c r="I214" s="10" t="str">
        <f>_xlfn.CONCAT(Таблица1[[#This Row],[Группа]],"_",TEXT(Таблица1[[#This Row],[Дата]],"ГГ.ММ.ДД"),"_",TEXT(Таблица1[[#This Row],[Время]],"чч:мм"))</f>
        <v>ТТПм-51_26.02.10_17:15</v>
      </c>
      <c r="J21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4" s="10"/>
      <c r="L214" t="str">
        <f>IFERROR(IF(SEARCH("курс",Таблица1[[#This Row],[Форма контроля]])&gt;=1,),"Ошибка")</f>
        <v>Ошибка</v>
      </c>
      <c r="M21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Деловые коммуникации (билингвальный курс) (4 з.е., 144 ч., 1/1, Д № 7881)ТТПм-51ошибка</v>
      </c>
      <c r="N21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Деловые коммуникации (билингвальный курс) (4 з.е., 144 ч., 1/1, Д № 7881)_ТТПм-51_26.02.10_17:15</v>
      </c>
    </row>
    <row r="215" spans="1:14" ht="25.5" x14ac:dyDescent="0.2">
      <c r="A215" s="7"/>
      <c r="B215" s="8" t="s">
        <v>156</v>
      </c>
      <c r="C215" s="8" t="s">
        <v>16</v>
      </c>
      <c r="D215" s="9" t="s">
        <v>28</v>
      </c>
      <c r="E215" s="10">
        <v>1</v>
      </c>
      <c r="F215" s="11">
        <v>46070</v>
      </c>
      <c r="G215" s="10">
        <v>9216</v>
      </c>
      <c r="H215" s="12">
        <v>0.35416666666666669</v>
      </c>
      <c r="I215" s="10" t="str">
        <f>_xlfn.CONCAT(Таблица1[[#This Row],[Группа]],"_",TEXT(Таблица1[[#This Row],[Дата]],"ГГ.ММ.ДД"),"_",TEXT(Таблица1[[#This Row],[Время]],"чч:мм"))</f>
        <v>ЭМб-41_26.02.17_08:30</v>
      </c>
      <c r="J21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5" s="10"/>
      <c r="L215" t="str">
        <f>IFERROR(IF(SEARCH("курс",Таблица1[[#This Row],[Форма контроля]])&gt;=1,),"Ошибка")</f>
        <v>Ошибка</v>
      </c>
      <c r="M21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Организация доступной среды (2 з.е., 72 ч., 1/1, Д № 9025)ЭМб-41ошибка</v>
      </c>
      <c r="N21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Организация доступной среды (2 з.е., 72 ч., 1/1, Д № 9025)_ЭМб-41_26.02.17_08:30</v>
      </c>
    </row>
    <row r="216" spans="1:14" ht="38.25" x14ac:dyDescent="0.2">
      <c r="A216" s="7"/>
      <c r="B216" s="8" t="s">
        <v>157</v>
      </c>
      <c r="C216" s="8" t="s">
        <v>24</v>
      </c>
      <c r="D216" s="9" t="s">
        <v>94</v>
      </c>
      <c r="E216" s="10">
        <v>1</v>
      </c>
      <c r="F216" s="11">
        <v>46062</v>
      </c>
      <c r="G216" s="10" t="s">
        <v>38</v>
      </c>
      <c r="H216" s="12">
        <v>0.78819444444444453</v>
      </c>
      <c r="I216" s="10" t="str">
        <f>_xlfn.CONCAT(Таблица1[[#This Row],[Группа]],"_",TEXT(Таблица1[[#This Row],[Дата]],"ГГ.ММ.ДД"),"_",TEXT(Таблица1[[#This Row],[Время]],"чч:мм"))</f>
        <v>Эб-21оз_26.02.09_18:55</v>
      </c>
      <c r="J21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6" s="10"/>
      <c r="L216" t="str">
        <f>IFERROR(IF(SEARCH("курс",Таблица1[[#This Row],[Форма контроля]])&gt;=1,),"Ошибка")</f>
        <v>Ошибка</v>
      </c>
      <c r="M21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Маркетинговый анализ (5 з.е., 180 ч., 1/1, Д № 5756)Эб-21озошибка</v>
      </c>
      <c r="N21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Маркетинговый анализ (5 з.е., 180 ч., 1/1, Д № 5756)_Эб-21оз_26.02.09_18:55</v>
      </c>
    </row>
    <row r="217" spans="1:14" ht="25.5" x14ac:dyDescent="0.2">
      <c r="A217" s="7"/>
      <c r="B217" s="8" t="s">
        <v>157</v>
      </c>
      <c r="C217" s="8" t="s">
        <v>57</v>
      </c>
      <c r="D217" s="9" t="s">
        <v>94</v>
      </c>
      <c r="E217" s="10">
        <v>1</v>
      </c>
      <c r="F217" s="11">
        <v>46062</v>
      </c>
      <c r="G217" s="10" t="s">
        <v>38</v>
      </c>
      <c r="H217" s="12">
        <v>0.71875</v>
      </c>
      <c r="I217" s="10" t="str">
        <f>_xlfn.CONCAT(Таблица1[[#This Row],[Группа]],"_",TEXT(Таблица1[[#This Row],[Дата]],"ГГ.ММ.ДД"),"_",TEXT(Таблица1[[#This Row],[Время]],"чч:мм"))</f>
        <v>Эб-21оз_26.02.09_17:15</v>
      </c>
      <c r="J21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7" s="10"/>
      <c r="L217">
        <f>IFERROR(IF(SEARCH("курс",Таблица1[[#This Row],[Форма контроля]])&gt;=1,),"Ошибка")</f>
        <v>0</v>
      </c>
      <c r="M21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Маркетинговый анализ (5 з.е., 180 ч., 1/1, Д № 5756)Эб-21оз</v>
      </c>
      <c r="N21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Маркетинговый анализ (5 з.е., 180 ч., 1/1, Д № 5756)_Эб-21оз_26.02.09_17:15</v>
      </c>
    </row>
    <row r="218" spans="1:14" ht="25.5" x14ac:dyDescent="0.2">
      <c r="A218" s="7"/>
      <c r="B218" s="8" t="s">
        <v>156</v>
      </c>
      <c r="C218" s="8" t="s">
        <v>16</v>
      </c>
      <c r="D218" s="9" t="s">
        <v>92</v>
      </c>
      <c r="E218" s="10">
        <v>1</v>
      </c>
      <c r="F218" s="11">
        <v>46070</v>
      </c>
      <c r="G218" s="10">
        <v>9216</v>
      </c>
      <c r="H218" s="12">
        <v>0.35416666666666669</v>
      </c>
      <c r="I218" s="10" t="str">
        <f>_xlfn.CONCAT(Таблица1[[#This Row],[Группа]],"_",TEXT(Таблица1[[#This Row],[Дата]],"ГГ.ММ.ДД"),"_",TEXT(Таблица1[[#This Row],[Время]],"чч:мм"))</f>
        <v>УПб-41_26.02.17_08:30</v>
      </c>
      <c r="J21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8" s="10"/>
      <c r="L218" t="str">
        <f>IFERROR(IF(SEARCH("курс",Таблица1[[#This Row],[Форма контроля]])&gt;=1,),"Ошибка")</f>
        <v>Ошибка</v>
      </c>
      <c r="M21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Организация доступной среды (2 з.е., 72 ч., 1/1, Д № 9025)УПб-41ошибка</v>
      </c>
      <c r="N21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Организация доступной среды (2 з.е., 72 ч., 1/1, Д № 9025)_УПб-41_26.02.17_08:30</v>
      </c>
    </row>
    <row r="219" spans="1:14" ht="38.25" x14ac:dyDescent="0.2">
      <c r="A219" s="7"/>
      <c r="B219" s="8" t="s">
        <v>96</v>
      </c>
      <c r="C219" s="8" t="s">
        <v>16</v>
      </c>
      <c r="D219" s="9" t="s">
        <v>54</v>
      </c>
      <c r="E219" s="10">
        <v>5</v>
      </c>
      <c r="F219" s="11">
        <v>46069</v>
      </c>
      <c r="G219" s="10">
        <v>5210</v>
      </c>
      <c r="H219" s="12">
        <v>0.35416666666666669</v>
      </c>
      <c r="I219" s="10" t="str">
        <f>_xlfn.CONCAT(Таблица1[[#This Row],[Группа]],"_",TEXT(Таблица1[[#This Row],[Дата]],"ГГ.ММ.ДД"),"_",TEXT(Таблица1[[#This Row],[Время]],"чч:мм"))</f>
        <v>Мб-52_26.02.16_08:30</v>
      </c>
      <c r="J21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19" s="10"/>
      <c r="L219" t="str">
        <f>IFERROR(IF(SEARCH("курс",Таблица1[[#This Row],[Форма контроля]])&gt;=1,),"Ошибка")</f>
        <v>Ошибка</v>
      </c>
      <c r="M21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(36/328 ч., 1/6, Д № 7528)Мб-52ошибка</v>
      </c>
      <c r="N21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(36/328 ч., 1/6, Д № 7528)_Мб-52_26.02.16_08:30</v>
      </c>
    </row>
    <row r="220" spans="1:14" ht="25.5" x14ac:dyDescent="0.2">
      <c r="A220" s="7"/>
      <c r="B220" s="8" t="s">
        <v>97</v>
      </c>
      <c r="C220" s="8" t="s">
        <v>16</v>
      </c>
      <c r="D220" s="9" t="s">
        <v>54</v>
      </c>
      <c r="E220" s="10">
        <v>5</v>
      </c>
      <c r="F220" s="11">
        <v>46069</v>
      </c>
      <c r="G220" s="10">
        <v>5210</v>
      </c>
      <c r="H220" s="12">
        <v>0.57986111111111105</v>
      </c>
      <c r="I220" s="10" t="str">
        <f>_xlfn.CONCAT(Таблица1[[#This Row],[Группа]],"_",TEXT(Таблица1[[#This Row],[Дата]],"ГГ.ММ.ДД"),"_",TEXT(Таблица1[[#This Row],[Время]],"чч:мм"))</f>
        <v>Мб-52_26.02.16_13:55</v>
      </c>
      <c r="J22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0" s="10"/>
      <c r="L220" t="str">
        <f>IFERROR(IF(SEARCH("курс",Таблица1[[#This Row],[Форма контроля]])&gt;=1,),"Ошибка")</f>
        <v>Ошибка</v>
      </c>
      <c r="M22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Физическая культура и спорт (1/2 з.е., 36/72 ч., 1/2, Д № 7508)Мб-52ошибка</v>
      </c>
      <c r="N22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Физическая культура и спорт (1/2 з.е., 36/72 ч., 1/2, Д № 7508)_Мб-52_26.02.16_13:55</v>
      </c>
    </row>
    <row r="221" spans="1:14" ht="38.25" x14ac:dyDescent="0.2">
      <c r="A221" s="7"/>
      <c r="B221" s="8" t="s">
        <v>39</v>
      </c>
      <c r="C221" s="8" t="s">
        <v>16</v>
      </c>
      <c r="D221" s="9" t="s">
        <v>31</v>
      </c>
      <c r="E221" s="10">
        <v>1</v>
      </c>
      <c r="F221" s="11">
        <v>46070</v>
      </c>
      <c r="G221" s="10">
        <v>5210</v>
      </c>
      <c r="H221" s="12">
        <v>0.50694444444444442</v>
      </c>
      <c r="I221" s="10" t="str">
        <f>_xlfn.CONCAT(Таблица1[[#This Row],[Группа]],"_",TEXT(Таблица1[[#This Row],[Дата]],"ГГ.ММ.ДД"),"_",TEXT(Таблица1[[#This Row],[Время]],"чч:мм"))</f>
        <v>ЭЖД-42_26.02.17_12:10</v>
      </c>
      <c r="J22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1" s="10"/>
      <c r="L221" t="str">
        <f>IFERROR(IF(SEARCH("курс",Таблица1[[#This Row],[Форма контроля]])&gt;=1,),"Ошибка")</f>
        <v>Ошибка</v>
      </c>
      <c r="M22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(72/328 ч., 3/6, Д № 7444)ЭЖД-42ошибка</v>
      </c>
      <c r="N22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(72/328 ч., 3/6, Д № 7444)_ЭЖД-42_26.02.17_12:10</v>
      </c>
    </row>
    <row r="222" spans="1:14" ht="38.25" x14ac:dyDescent="0.2">
      <c r="A222" s="7"/>
      <c r="B222" s="8" t="s">
        <v>40</v>
      </c>
      <c r="C222" s="8" t="s">
        <v>16</v>
      </c>
      <c r="D222" s="9" t="s">
        <v>92</v>
      </c>
      <c r="E222" s="10">
        <v>1</v>
      </c>
      <c r="F222" s="11">
        <v>46069</v>
      </c>
      <c r="G222" s="10">
        <v>5210</v>
      </c>
      <c r="H222" s="12">
        <v>0.42708333333333331</v>
      </c>
      <c r="I222" s="10" t="str">
        <f>_xlfn.CONCAT(Таблица1[[#This Row],[Группа]],"_",TEXT(Таблица1[[#This Row],[Дата]],"ГГ.ММ.ДД"),"_",TEXT(Таблица1[[#This Row],[Время]],"чч:мм"))</f>
        <v>УПб-41_26.02.16_10:15</v>
      </c>
      <c r="J22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2" s="10"/>
      <c r="L222" t="str">
        <f>IFERROR(IF(SEARCH("курс",Таблица1[[#This Row],[Форма контроля]])&gt;=1,),"Ошибка")</f>
        <v>Ошибка</v>
      </c>
      <c r="M22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(72/328 ч., 3/6, Д № 7528)УПб-41ошибка</v>
      </c>
      <c r="N22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(72/328 ч., 3/6, Д № 7528)_УПб-41_26.02.16_10:15</v>
      </c>
    </row>
    <row r="223" spans="1:14" ht="38.25" x14ac:dyDescent="0.2">
      <c r="A223" s="7"/>
      <c r="B223" s="8" t="s">
        <v>158</v>
      </c>
      <c r="C223" s="8" t="s">
        <v>16</v>
      </c>
      <c r="D223" s="9" t="s">
        <v>17</v>
      </c>
      <c r="E223" s="10">
        <v>2</v>
      </c>
      <c r="F223" s="11">
        <v>46067</v>
      </c>
      <c r="G223" s="10">
        <v>5407</v>
      </c>
      <c r="H223" s="12">
        <v>0.50694444444444442</v>
      </c>
      <c r="I223" s="10" t="str">
        <f>_xlfn.CONCAT(Таблица1[[#This Row],[Группа]],"_",TEXT(Таблица1[[#This Row],[Дата]],"ГГ.ММ.ДД"),"_",TEXT(Таблица1[[#This Row],[Время]],"чч:мм"))</f>
        <v>ЭЖД-52_26.02.14_12:10</v>
      </c>
      <c r="J22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3" s="10"/>
      <c r="L223" t="str">
        <f>IFERROR(IF(SEARCH("курс",Таблица1[[#This Row],[Форма контроля]])&gt;=1,),"Ошибка")</f>
        <v>Ошибка</v>
      </c>
      <c r="M22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Начертательная геометрия и компьютерная графика (3/6 з.е., 108/216 ч., 1/2, Д № 8043)ЭЖД-52ошибка</v>
      </c>
      <c r="N22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Начертательная геометрия и компьютерная графика (3/6 з.е., 108/216 ч., 1/2, Д № 8043)_ЭЖД-52_26.02.14_12:10</v>
      </c>
    </row>
    <row r="224" spans="1:14" ht="38.25" x14ac:dyDescent="0.2">
      <c r="A224" s="7"/>
      <c r="B224" s="8" t="s">
        <v>158</v>
      </c>
      <c r="C224" s="8" t="s">
        <v>16</v>
      </c>
      <c r="D224" s="9" t="s">
        <v>20</v>
      </c>
      <c r="E224" s="10">
        <v>5</v>
      </c>
      <c r="F224" s="11">
        <v>46067</v>
      </c>
      <c r="G224" s="10">
        <v>5407</v>
      </c>
      <c r="H224" s="12">
        <v>0.50694444444444442</v>
      </c>
      <c r="I224" s="10" t="str">
        <f>_xlfn.CONCAT(Таблица1[[#This Row],[Группа]],"_",TEXT(Таблица1[[#This Row],[Дата]],"ГГ.ММ.ДД"),"_",TEXT(Таблица1[[#This Row],[Время]],"чч:мм"))</f>
        <v>ЭЖД-51_26.02.14_12:10</v>
      </c>
      <c r="J22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4" s="10"/>
      <c r="L224" t="str">
        <f>IFERROR(IF(SEARCH("курс",Таблица1[[#This Row],[Форма контроля]])&gt;=1,),"Ошибка")</f>
        <v>Ошибка</v>
      </c>
      <c r="M22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Начертательная геометрия и компьютерная графика (3/6 з.е., 108/216 ч., 1/2, Д № 8043)ЭЖД-51ошибка</v>
      </c>
      <c r="N22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Начертательная геометрия и компьютерная графика (3/6 з.е., 108/216 ч., 1/2, Д № 8043)_ЭЖД-51_26.02.14_12:10</v>
      </c>
    </row>
    <row r="225" spans="1:14" ht="38.25" x14ac:dyDescent="0.2">
      <c r="A225" s="7"/>
      <c r="B225" s="8" t="s">
        <v>159</v>
      </c>
      <c r="C225" s="8" t="s">
        <v>27</v>
      </c>
      <c r="D225" s="9" t="s">
        <v>77</v>
      </c>
      <c r="E225" s="10">
        <v>1</v>
      </c>
      <c r="F225" s="11">
        <v>46067</v>
      </c>
      <c r="G225" s="10">
        <v>5407</v>
      </c>
      <c r="H225" s="12">
        <v>0.50694444444444442</v>
      </c>
      <c r="I225" s="10" t="str">
        <f>_xlfn.CONCAT(Таблица1[[#This Row],[Группа]],"_",TEXT(Таблица1[[#This Row],[Дата]],"ГГ.ММ.ДД"),"_",TEXT(Таблица1[[#This Row],[Время]],"чч:мм"))</f>
        <v>ЭЖД-54у_26.02.14_12:10</v>
      </c>
      <c r="J22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5" s="10"/>
      <c r="L225" t="str">
        <f>IFERROR(IF(SEARCH("курс",Таблица1[[#This Row],[Форма контроля]])&gt;=1,),"Ошибка")</f>
        <v>Ошибка</v>
      </c>
      <c r="M22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Начертательная геометрия и компьютерная графика (2 з.е., 72 ч., 1/1, Д № 8588)ЭЖД-54уошибка</v>
      </c>
      <c r="N22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Начертательная геометрия и компьютерная графика (2 з.е., 72 ч., 1/1, Д № 8588)_ЭЖД-54у_26.02.14_12:10</v>
      </c>
    </row>
    <row r="226" spans="1:14" ht="25.5" x14ac:dyDescent="0.2">
      <c r="A226" s="7"/>
      <c r="B226" s="8" t="s">
        <v>112</v>
      </c>
      <c r="C226" s="8" t="s">
        <v>16</v>
      </c>
      <c r="D226" s="9" t="s">
        <v>77</v>
      </c>
      <c r="E226" s="10">
        <v>1</v>
      </c>
      <c r="F226" s="11">
        <v>46070</v>
      </c>
      <c r="G226" s="10">
        <v>5210</v>
      </c>
      <c r="H226" s="12">
        <v>0.42708333333333331</v>
      </c>
      <c r="I226" s="10" t="str">
        <f>_xlfn.CONCAT(Таблица1[[#This Row],[Группа]],"_",TEXT(Таблица1[[#This Row],[Дата]],"ГГ.ММ.ДД"),"_",TEXT(Таблица1[[#This Row],[Время]],"чч:мм"))</f>
        <v>ЭЖД-54у_26.02.17_10:15</v>
      </c>
      <c r="J22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6" s="10"/>
      <c r="L226" t="str">
        <f>IFERROR(IF(SEARCH("курс",Таблица1[[#This Row],[Форма контроля]])&gt;=1,),"Ошибка")</f>
        <v>Ошибка</v>
      </c>
      <c r="M22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Физическая культура и спорт (1/2 з.е., 36/72 ч., 1/2, Д № 8514)ЭЖД-54уошибка</v>
      </c>
      <c r="N22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Физическая культура и спорт (1/2 з.е., 36/72 ч., 1/2, Д № 8514)_ЭЖД-54у_26.02.17_10:15</v>
      </c>
    </row>
    <row r="227" spans="1:14" ht="38.25" x14ac:dyDescent="0.2">
      <c r="A227" s="7"/>
      <c r="B227" s="8" t="s">
        <v>160</v>
      </c>
      <c r="C227" s="8" t="s">
        <v>24</v>
      </c>
      <c r="D227" s="9" t="s">
        <v>62</v>
      </c>
      <c r="E227" s="10">
        <v>2</v>
      </c>
      <c r="F227" s="11">
        <v>46070</v>
      </c>
      <c r="G227" s="10">
        <v>9412</v>
      </c>
      <c r="H227" s="12">
        <v>0.57986111111111105</v>
      </c>
      <c r="I227" s="10" t="str">
        <f>_xlfn.CONCAT(Таблица1[[#This Row],[Группа]],"_",TEXT(Таблица1[[#This Row],[Дата]],"ГГ.ММ.ДД"),"_",TEXT(Таблица1[[#This Row],[Время]],"чч:мм"))</f>
        <v>ЭЖД-32_26.02.17_13:55</v>
      </c>
      <c r="J22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7" s="10"/>
      <c r="L227" t="str">
        <f>IFERROR(IF(SEARCH("курс",Таблица1[[#This Row],[Форма контроля]])&gt;=1,),"Ошибка")</f>
        <v>Ошибка</v>
      </c>
      <c r="M22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(4/23 з.е., 144/828 ч., 1/5, Д № 4650)ЭЖД-32ошибка</v>
      </c>
      <c r="N22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(4/23 з.е., 144/828 ч., 1/5, Д № 4650)_ЭЖД-32_26.02.17_13:55</v>
      </c>
    </row>
    <row r="228" spans="1:14" ht="38.25" x14ac:dyDescent="0.2">
      <c r="A228" s="7"/>
      <c r="B228" s="8" t="s">
        <v>160</v>
      </c>
      <c r="C228" s="8" t="s">
        <v>24</v>
      </c>
      <c r="D228" s="9" t="s">
        <v>34</v>
      </c>
      <c r="E228" s="10">
        <v>10</v>
      </c>
      <c r="F228" s="11">
        <v>46070</v>
      </c>
      <c r="G228" s="10">
        <v>9412</v>
      </c>
      <c r="H228" s="12">
        <v>0.57986111111111105</v>
      </c>
      <c r="I228" s="10" t="str">
        <f>_xlfn.CONCAT(Таблица1[[#This Row],[Группа]],"_",TEXT(Таблица1[[#This Row],[Дата]],"ГГ.ММ.ДД"),"_",TEXT(Таблица1[[#This Row],[Время]],"чч:мм"))</f>
        <v>ЭЖД-31_26.02.17_13:55</v>
      </c>
      <c r="J22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8" s="10"/>
      <c r="L228" t="str">
        <f>IFERROR(IF(SEARCH("курс",Таблица1[[#This Row],[Форма контроля]])&gt;=1,),"Ошибка")</f>
        <v>Ошибка</v>
      </c>
      <c r="M22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(4/23 з.е., 144/828 ч., 1/5, Д № 4650)ЭЖД-31ошибка</v>
      </c>
      <c r="N22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(4/23 з.е., 144/828 ч., 1/5, Д № 4650)_ЭЖД-31_26.02.17_13:55</v>
      </c>
    </row>
    <row r="229" spans="1:14" ht="38.25" x14ac:dyDescent="0.2">
      <c r="A229" s="7"/>
      <c r="B229" s="8" t="s">
        <v>160</v>
      </c>
      <c r="C229" s="8" t="s">
        <v>24</v>
      </c>
      <c r="D229" s="9" t="s">
        <v>35</v>
      </c>
      <c r="E229" s="10">
        <v>6</v>
      </c>
      <c r="F229" s="11">
        <v>46070</v>
      </c>
      <c r="G229" s="10">
        <v>9412</v>
      </c>
      <c r="H229" s="12">
        <v>0.57986111111111105</v>
      </c>
      <c r="I229" s="10" t="str">
        <f>_xlfn.CONCAT(Таблица1[[#This Row],[Группа]],"_",TEXT(Таблица1[[#This Row],[Дата]],"ГГ.ММ.ДД"),"_",TEXT(Таблица1[[#This Row],[Время]],"чч:мм"))</f>
        <v>ЭЖД-33_26.02.17_13:55</v>
      </c>
      <c r="J22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29" s="10"/>
      <c r="L229" t="str">
        <f>IFERROR(IF(SEARCH("курс",Таблица1[[#This Row],[Форма контроля]])&gt;=1,),"Ошибка")</f>
        <v>Ошибка</v>
      </c>
      <c r="M22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(4/23 з.е., 144/828 ч., 1/5, Д № 4650)ЭЖД-33ошибка</v>
      </c>
      <c r="N22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(4/23 з.е., 144/828 ч., 1/5, Д № 4650)_ЭЖД-33_26.02.17_13:55</v>
      </c>
    </row>
    <row r="230" spans="1:14" ht="51" x14ac:dyDescent="0.2">
      <c r="A230" s="7"/>
      <c r="B230" s="8" t="s">
        <v>161</v>
      </c>
      <c r="C230" s="8" t="s">
        <v>24</v>
      </c>
      <c r="D230" s="9" t="s">
        <v>65</v>
      </c>
      <c r="E230" s="10">
        <v>5</v>
      </c>
      <c r="F230" s="11">
        <v>46071</v>
      </c>
      <c r="G230" s="10">
        <v>9412</v>
      </c>
      <c r="H230" s="12">
        <v>0.57986111111111105</v>
      </c>
      <c r="I230" s="10" t="str">
        <f>_xlfn.CONCAT(Таблица1[[#This Row],[Группа]],"_",TEXT(Таблица1[[#This Row],[Дата]],"ГГ.ММ.ДД"),"_",TEXT(Таблица1[[#This Row],[Время]],"чч:мм"))</f>
        <v>ЭЖД-21_26.02.18_13:55</v>
      </c>
      <c r="J23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0" s="10"/>
      <c r="L230" t="str">
        <f>IFERROR(IF(SEARCH("курс",Таблица1[[#This Row],[Форма контроля]])&gt;=1,),"Ошибка")</f>
        <v>Ошибка</v>
      </c>
      <c r="M23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Технические средства обеспечения безопасности на железнодорожном транспорте (3 з.е., 108 ч., 1/1, Д № 4655)ЭЖД-21ошибка</v>
      </c>
      <c r="N23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Технические средства обеспечения безопасности на железнодорожном транспорте (3 з.е., 108 ч., 1/1, Д № 4655)_ЭЖД-21_26.02.18_13:55</v>
      </c>
    </row>
    <row r="231" spans="1:14" ht="51" x14ac:dyDescent="0.2">
      <c r="A231" s="7"/>
      <c r="B231" s="8" t="s">
        <v>161</v>
      </c>
      <c r="C231" s="8" t="s">
        <v>24</v>
      </c>
      <c r="D231" s="9" t="s">
        <v>72</v>
      </c>
      <c r="E231" s="10">
        <v>2</v>
      </c>
      <c r="F231" s="11">
        <v>46071</v>
      </c>
      <c r="G231" s="10">
        <v>9412</v>
      </c>
      <c r="H231" s="12">
        <v>0.57986111111111105</v>
      </c>
      <c r="I231" s="10" t="str">
        <f>_xlfn.CONCAT(Таблица1[[#This Row],[Группа]],"_",TEXT(Таблица1[[#This Row],[Дата]],"ГГ.ММ.ДД"),"_",TEXT(Таблица1[[#This Row],[Время]],"чч:мм"))</f>
        <v>ЭЖД-23_26.02.18_13:55</v>
      </c>
      <c r="J23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1" s="10"/>
      <c r="L231" t="str">
        <f>IFERROR(IF(SEARCH("курс",Таблица1[[#This Row],[Форма контроля]])&gt;=1,),"Ошибка")</f>
        <v>Ошибка</v>
      </c>
      <c r="M23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Технические средства обеспечения безопасности на железнодорожном транспорте (3 з.е., 108 ч., 1/1, Д № 4655)ЭЖД-23ошибка</v>
      </c>
      <c r="N23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Технические средства обеспечения безопасности на железнодорожном транспорте (3 з.е., 108 ч., 1/1, Д № 4655)_ЭЖД-23_26.02.18_13:55</v>
      </c>
    </row>
    <row r="232" spans="1:14" ht="25.5" x14ac:dyDescent="0.2">
      <c r="A232" s="7"/>
      <c r="B232" s="8" t="s">
        <v>162</v>
      </c>
      <c r="C232" s="8" t="s">
        <v>27</v>
      </c>
      <c r="D232" s="9" t="s">
        <v>62</v>
      </c>
      <c r="E232" s="10">
        <v>5</v>
      </c>
      <c r="F232" s="11">
        <v>46071</v>
      </c>
      <c r="G232" s="10">
        <v>9419</v>
      </c>
      <c r="H232" s="12">
        <v>0.57986111111111105</v>
      </c>
      <c r="I232" s="10" t="str">
        <f>_xlfn.CONCAT(Таблица1[[#This Row],[Группа]],"_",TEXT(Таблица1[[#This Row],[Дата]],"ГГ.ММ.ДД"),"_",TEXT(Таблица1[[#This Row],[Время]],"чч:мм"))</f>
        <v>ЭЖД-32_26.02.18_13:55</v>
      </c>
      <c r="J23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2" s="10"/>
      <c r="L232" t="str">
        <f>IFERROR(IF(SEARCH("курс",Таблица1[[#This Row],[Форма контроля]])&gt;=1,),"Ошибка")</f>
        <v>Ошибка</v>
      </c>
      <c r="M23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4663)ЭЖД-32ошибка</v>
      </c>
      <c r="N23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4663)_ЭЖД-32_26.02.18_13:55</v>
      </c>
    </row>
    <row r="233" spans="1:14" ht="25.5" x14ac:dyDescent="0.2">
      <c r="A233" s="7"/>
      <c r="B233" s="8" t="s">
        <v>162</v>
      </c>
      <c r="C233" s="8" t="s">
        <v>57</v>
      </c>
      <c r="D233" s="9" t="s">
        <v>62</v>
      </c>
      <c r="E233" s="10">
        <v>5</v>
      </c>
      <c r="F233" s="11">
        <v>46064</v>
      </c>
      <c r="G233" s="10">
        <v>9419</v>
      </c>
      <c r="H233" s="12">
        <v>0.57986111111111105</v>
      </c>
      <c r="I233" s="10" t="str">
        <f>_xlfn.CONCAT(Таблица1[[#This Row],[Группа]],"_",TEXT(Таблица1[[#This Row],[Дата]],"ГГ.ММ.ДД"),"_",TEXT(Таблица1[[#This Row],[Время]],"чч:мм"))</f>
        <v>ЭЖД-32_26.02.11_13:55</v>
      </c>
      <c r="J23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3" s="10"/>
      <c r="L233">
        <f>IFERROR(IF(SEARCH("курс",Таблица1[[#This Row],[Форма контроля]])&gt;=1,),"Ошибка")</f>
        <v>0</v>
      </c>
      <c r="M23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4663)ЭЖД-32</v>
      </c>
      <c r="N23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4663)_ЭЖД-32_26.02.11_13:55</v>
      </c>
    </row>
    <row r="234" spans="1:14" ht="25.5" x14ac:dyDescent="0.2">
      <c r="A234" s="7"/>
      <c r="B234" s="8" t="s">
        <v>163</v>
      </c>
      <c r="C234" s="8" t="s">
        <v>16</v>
      </c>
      <c r="D234" s="9" t="s">
        <v>34</v>
      </c>
      <c r="E234" s="10">
        <v>2</v>
      </c>
      <c r="F234" s="11">
        <v>46064</v>
      </c>
      <c r="G234" s="10">
        <v>9419</v>
      </c>
      <c r="H234" s="12">
        <v>0.64930555555555558</v>
      </c>
      <c r="I234" s="10" t="str">
        <f>_xlfn.CONCAT(Таблица1[[#This Row],[Группа]],"_",TEXT(Таблица1[[#This Row],[Дата]],"ГГ.ММ.ДД"),"_",TEXT(Таблица1[[#This Row],[Время]],"чч:мм"))</f>
        <v>ЭЖД-31_26.02.11_15:35</v>
      </c>
      <c r="J23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4" s="10"/>
      <c r="L234" t="str">
        <f>IFERROR(IF(SEARCH("курс",Таблица1[[#This Row],[Форма контроля]])&gt;=1,),"Ошибка")</f>
        <v>Ошибка</v>
      </c>
      <c r="M23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Терминальные системы транспорта (2 з.е., 72 ч., 1/1, Д № 4662)ЭЖД-31ошибка</v>
      </c>
      <c r="N23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Терминальные системы транспорта (2 з.е., 72 ч., 1/1, Д № 4662)_ЭЖД-31_26.02.11_15:35</v>
      </c>
    </row>
    <row r="235" spans="1:14" ht="25.5" x14ac:dyDescent="0.2">
      <c r="A235" s="7"/>
      <c r="B235" s="8" t="s">
        <v>162</v>
      </c>
      <c r="C235" s="8" t="s">
        <v>57</v>
      </c>
      <c r="D235" s="9" t="s">
        <v>34</v>
      </c>
      <c r="E235" s="10">
        <v>6</v>
      </c>
      <c r="F235" s="11">
        <v>46064</v>
      </c>
      <c r="G235" s="10">
        <v>9419</v>
      </c>
      <c r="H235" s="12">
        <v>0.57986111111111105</v>
      </c>
      <c r="I235" s="10" t="str">
        <f>_xlfn.CONCAT(Таблица1[[#This Row],[Группа]],"_",TEXT(Таблица1[[#This Row],[Дата]],"ГГ.ММ.ДД"),"_",TEXT(Таблица1[[#This Row],[Время]],"чч:мм"))</f>
        <v>ЭЖД-31_26.02.11_13:55</v>
      </c>
      <c r="J23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5" s="10"/>
      <c r="L235">
        <f>IFERROR(IF(SEARCH("курс",Таблица1[[#This Row],[Форма контроля]])&gt;=1,),"Ошибка")</f>
        <v>0</v>
      </c>
      <c r="M23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4663)ЭЖД-31</v>
      </c>
      <c r="N23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4663)_ЭЖД-31_26.02.11_13:55</v>
      </c>
    </row>
    <row r="236" spans="1:14" ht="25.5" x14ac:dyDescent="0.2">
      <c r="A236" s="7"/>
      <c r="B236" s="8" t="s">
        <v>162</v>
      </c>
      <c r="C236" s="8" t="s">
        <v>27</v>
      </c>
      <c r="D236" s="9" t="s">
        <v>34</v>
      </c>
      <c r="E236" s="10">
        <v>6</v>
      </c>
      <c r="F236" s="11">
        <v>46071</v>
      </c>
      <c r="G236" s="10">
        <v>9419</v>
      </c>
      <c r="H236" s="12">
        <v>0.57986111111111105</v>
      </c>
      <c r="I236" s="10" t="str">
        <f>_xlfn.CONCAT(Таблица1[[#This Row],[Группа]],"_",TEXT(Таблица1[[#This Row],[Дата]],"ГГ.ММ.ДД"),"_",TEXT(Таблица1[[#This Row],[Время]],"чч:мм"))</f>
        <v>ЭЖД-31_26.02.18_13:55</v>
      </c>
      <c r="J23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6" s="10"/>
      <c r="L236" t="str">
        <f>IFERROR(IF(SEARCH("курс",Таблица1[[#This Row],[Форма контроля]])&gt;=1,),"Ошибка")</f>
        <v>Ошибка</v>
      </c>
      <c r="M23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4663)ЭЖД-31ошибка</v>
      </c>
      <c r="N23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4663)_ЭЖД-31_26.02.18_13:55</v>
      </c>
    </row>
    <row r="237" spans="1:14" ht="25.5" x14ac:dyDescent="0.2">
      <c r="A237" s="7"/>
      <c r="B237" s="8" t="s">
        <v>162</v>
      </c>
      <c r="C237" s="8" t="s">
        <v>27</v>
      </c>
      <c r="D237" s="9" t="s">
        <v>35</v>
      </c>
      <c r="E237" s="10">
        <v>9</v>
      </c>
      <c r="F237" s="11">
        <v>46071</v>
      </c>
      <c r="G237" s="10">
        <v>9419</v>
      </c>
      <c r="H237" s="12">
        <v>0.57986111111111105</v>
      </c>
      <c r="I237" s="10" t="str">
        <f>_xlfn.CONCAT(Таблица1[[#This Row],[Группа]],"_",TEXT(Таблица1[[#This Row],[Дата]],"ГГ.ММ.ДД"),"_",TEXT(Таблица1[[#This Row],[Время]],"чч:мм"))</f>
        <v>ЭЖД-33_26.02.18_13:55</v>
      </c>
      <c r="J23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7" s="10"/>
      <c r="L237" t="str">
        <f>IFERROR(IF(SEARCH("курс",Таблица1[[#This Row],[Форма контроля]])&gt;=1,),"Ошибка")</f>
        <v>Ошибка</v>
      </c>
      <c r="M23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4663)ЭЖД-33ошибка</v>
      </c>
      <c r="N23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4663)_ЭЖД-33_26.02.18_13:55</v>
      </c>
    </row>
    <row r="238" spans="1:14" ht="25.5" x14ac:dyDescent="0.2">
      <c r="A238" s="7"/>
      <c r="B238" s="8" t="s">
        <v>164</v>
      </c>
      <c r="C238" s="8" t="s">
        <v>16</v>
      </c>
      <c r="D238" s="9" t="s">
        <v>25</v>
      </c>
      <c r="E238" s="10">
        <v>2</v>
      </c>
      <c r="F238" s="11">
        <v>46064</v>
      </c>
      <c r="G238" s="10">
        <v>9419</v>
      </c>
      <c r="H238" s="12">
        <v>0.64930555555555558</v>
      </c>
      <c r="I238" s="10" t="str">
        <f>_xlfn.CONCAT(Таблица1[[#This Row],[Группа]],"_",TEXT(Таблица1[[#This Row],[Дата]],"ГГ.ММ.ДД"),"_",TEXT(Таблица1[[#This Row],[Время]],"чч:мм"))</f>
        <v>ЭЖД-44у_26.02.11_15:35</v>
      </c>
      <c r="J23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8" s="10"/>
      <c r="L238" t="str">
        <f>IFERROR(IF(SEARCH("курс",Таблица1[[#This Row],[Форма контроля]])&gt;=1,),"Ошибка")</f>
        <v>Ошибка</v>
      </c>
      <c r="M23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Терминальные системы транспорта (2 з.е., 72 ч., 1/1, Д № 8108)ЭЖД-44уошибка</v>
      </c>
      <c r="N23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Терминальные системы транспорта (2 з.е., 72 ч., 1/1, Д № 8108)_ЭЖД-44у_26.02.11_15:35</v>
      </c>
    </row>
    <row r="239" spans="1:14" ht="25.5" x14ac:dyDescent="0.2">
      <c r="A239" s="7"/>
      <c r="B239" s="8" t="s">
        <v>165</v>
      </c>
      <c r="C239" s="8" t="s">
        <v>27</v>
      </c>
      <c r="D239" s="9" t="s">
        <v>25</v>
      </c>
      <c r="E239" s="10">
        <v>7</v>
      </c>
      <c r="F239" s="11">
        <v>46069</v>
      </c>
      <c r="G239" s="10">
        <v>9419</v>
      </c>
      <c r="H239" s="12">
        <v>0.57986111111111105</v>
      </c>
      <c r="I239" s="10" t="str">
        <f>_xlfn.CONCAT(Таблица1[[#This Row],[Группа]],"_",TEXT(Таблица1[[#This Row],[Дата]],"ГГ.ММ.ДД"),"_",TEXT(Таблица1[[#This Row],[Время]],"чч:мм"))</f>
        <v>ЭЖД-44у_26.02.16_13:55</v>
      </c>
      <c r="J23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39" s="10"/>
      <c r="L239" t="str">
        <f>IFERROR(IF(SEARCH("курс",Таблица1[[#This Row],[Форма контроля]])&gt;=1,),"Ошибка")</f>
        <v>Ошибка</v>
      </c>
      <c r="M23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8597)ЭЖД-44уошибка</v>
      </c>
      <c r="N23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8597)_ЭЖД-44у_26.02.16_13:55</v>
      </c>
    </row>
    <row r="240" spans="1:14" ht="25.5" x14ac:dyDescent="0.2">
      <c r="A240" s="7"/>
      <c r="B240" s="8" t="s">
        <v>164</v>
      </c>
      <c r="C240" s="8" t="s">
        <v>16</v>
      </c>
      <c r="D240" s="9" t="s">
        <v>58</v>
      </c>
      <c r="E240" s="10">
        <v>1</v>
      </c>
      <c r="F240" s="11">
        <v>46064</v>
      </c>
      <c r="G240" s="10">
        <v>9419</v>
      </c>
      <c r="H240" s="12">
        <v>0.64930555555555558</v>
      </c>
      <c r="I240" s="10" t="str">
        <f>_xlfn.CONCAT(Таблица1[[#This Row],[Группа]],"_",TEXT(Таблица1[[#This Row],[Дата]],"ГГ.ММ.ДД"),"_",TEXT(Таблица1[[#This Row],[Время]],"чч:мм"))</f>
        <v>ЭЖД-45у_26.02.11_15:35</v>
      </c>
      <c r="J24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0" s="10"/>
      <c r="L240" t="str">
        <f>IFERROR(IF(SEARCH("курс",Таблица1[[#This Row],[Форма контроля]])&gt;=1,),"Ошибка")</f>
        <v>Ошибка</v>
      </c>
      <c r="M24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Терминальные системы транспорта (2 з.е., 72 ч., 1/1, Д № 8108)ЭЖД-45уошибка</v>
      </c>
      <c r="N24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Терминальные системы транспорта (2 з.е., 72 ч., 1/1, Д № 8108)_ЭЖД-45у_26.02.11_15:35</v>
      </c>
    </row>
    <row r="241" spans="1:14" ht="25.5" x14ac:dyDescent="0.2">
      <c r="A241" s="7"/>
      <c r="B241" s="8" t="s">
        <v>165</v>
      </c>
      <c r="C241" s="8" t="s">
        <v>27</v>
      </c>
      <c r="D241" s="9" t="s">
        <v>58</v>
      </c>
      <c r="E241" s="10">
        <v>9</v>
      </c>
      <c r="F241" s="11">
        <v>46069</v>
      </c>
      <c r="G241" s="10">
        <v>9419</v>
      </c>
      <c r="H241" s="12">
        <v>0.57986111111111105</v>
      </c>
      <c r="I241" s="10" t="str">
        <f>_xlfn.CONCAT(Таблица1[[#This Row],[Группа]],"_",TEXT(Таблица1[[#This Row],[Дата]],"ГГ.ММ.ДД"),"_",TEXT(Таблица1[[#This Row],[Время]],"чч:мм"))</f>
        <v>ЭЖД-45у_26.02.16_13:55</v>
      </c>
      <c r="J24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1" s="10"/>
      <c r="L241" t="str">
        <f>IFERROR(IF(SEARCH("курс",Таблица1[[#This Row],[Форма контроля]])&gt;=1,),"Ошибка")</f>
        <v>Ошибка</v>
      </c>
      <c r="M24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8597)ЭЖД-45уошибка</v>
      </c>
      <c r="N24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8597)_ЭЖД-45у_26.02.16_13:55</v>
      </c>
    </row>
    <row r="242" spans="1:14" ht="25.5" x14ac:dyDescent="0.2">
      <c r="A242" s="7"/>
      <c r="B242" s="8" t="s">
        <v>165</v>
      </c>
      <c r="C242" s="8" t="s">
        <v>27</v>
      </c>
      <c r="D242" s="9" t="s">
        <v>59</v>
      </c>
      <c r="E242" s="10">
        <v>6</v>
      </c>
      <c r="F242" s="11">
        <v>46069</v>
      </c>
      <c r="G242" s="10">
        <v>9419</v>
      </c>
      <c r="H242" s="12">
        <v>0.57986111111111105</v>
      </c>
      <c r="I242" s="10" t="str">
        <f>_xlfn.CONCAT(Таблица1[[#This Row],[Группа]],"_",TEXT(Таблица1[[#This Row],[Дата]],"ГГ.ММ.ДД"),"_",TEXT(Таблица1[[#This Row],[Время]],"чч:мм"))</f>
        <v>ЭЖД-46у_26.02.16_13:55</v>
      </c>
      <c r="J24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2" s="10"/>
      <c r="L242" t="str">
        <f>IFERROR(IF(SEARCH("курс",Таблица1[[#This Row],[Форма контроля]])&gt;=1,),"Ошибка")</f>
        <v>Ошибка</v>
      </c>
      <c r="M24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8597)ЭЖД-46уошибка</v>
      </c>
      <c r="N24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8597)_ЭЖД-46у_26.02.16_13:55</v>
      </c>
    </row>
    <row r="243" spans="1:14" ht="25.5" x14ac:dyDescent="0.2">
      <c r="A243" s="7"/>
      <c r="B243" s="8" t="s">
        <v>165</v>
      </c>
      <c r="C243" s="8" t="s">
        <v>57</v>
      </c>
      <c r="D243" s="9" t="s">
        <v>59</v>
      </c>
      <c r="E243" s="10">
        <v>6</v>
      </c>
      <c r="F243" s="11">
        <v>46064</v>
      </c>
      <c r="G243" s="10">
        <v>9419</v>
      </c>
      <c r="H243" s="12">
        <v>0.57986111111111105</v>
      </c>
      <c r="I243" s="10" t="str">
        <f>_xlfn.CONCAT(Таблица1[[#This Row],[Группа]],"_",TEXT(Таблица1[[#This Row],[Дата]],"ГГ.ММ.ДД"),"_",TEXT(Таблица1[[#This Row],[Время]],"чч:мм"))</f>
        <v>ЭЖД-46у_26.02.11_13:55</v>
      </c>
      <c r="J24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3" s="10"/>
      <c r="L243">
        <f>IFERROR(IF(SEARCH("курс",Таблица1[[#This Row],[Форма контроля]])&gt;=1,),"Ошибка")</f>
        <v>0</v>
      </c>
      <c r="M24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8597)ЭЖД-46у</v>
      </c>
      <c r="N24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8597)_ЭЖД-46у_26.02.11_13:55</v>
      </c>
    </row>
    <row r="244" spans="1:14" ht="25.5" x14ac:dyDescent="0.2">
      <c r="A244" s="7"/>
      <c r="B244" s="8" t="s">
        <v>164</v>
      </c>
      <c r="C244" s="8" t="s">
        <v>16</v>
      </c>
      <c r="D244" s="9" t="s">
        <v>59</v>
      </c>
      <c r="E244" s="10">
        <v>1</v>
      </c>
      <c r="F244" s="11">
        <v>46064</v>
      </c>
      <c r="G244" s="10">
        <v>9419</v>
      </c>
      <c r="H244" s="12">
        <v>0.64930555555555558</v>
      </c>
      <c r="I244" s="10" t="str">
        <f>_xlfn.CONCAT(Таблица1[[#This Row],[Группа]],"_",TEXT(Таблица1[[#This Row],[Дата]],"ГГ.ММ.ДД"),"_",TEXT(Таблица1[[#This Row],[Время]],"чч:мм"))</f>
        <v>ЭЖД-46у_26.02.11_15:35</v>
      </c>
      <c r="J24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4" s="10"/>
      <c r="L244" t="str">
        <f>IFERROR(IF(SEARCH("курс",Таблица1[[#This Row],[Форма контроля]])&gt;=1,),"Ошибка")</f>
        <v>Ошибка</v>
      </c>
      <c r="M24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Терминальные системы транспорта (2 з.е., 72 ч., 1/1, Д № 8108)ЭЖД-46уошибка</v>
      </c>
      <c r="N24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Терминальные системы транспорта (2 з.е., 72 ч., 1/1, Д № 8108)_ЭЖД-46у_26.02.11_15:35</v>
      </c>
    </row>
    <row r="245" spans="1:14" ht="38.25" x14ac:dyDescent="0.2">
      <c r="A245" s="7"/>
      <c r="B245" s="8" t="s">
        <v>166</v>
      </c>
      <c r="C245" s="8" t="s">
        <v>27</v>
      </c>
      <c r="D245" s="9" t="s">
        <v>65</v>
      </c>
      <c r="E245" s="10">
        <v>10</v>
      </c>
      <c r="F245" s="11">
        <v>46073</v>
      </c>
      <c r="G245" s="10">
        <v>9419</v>
      </c>
      <c r="H245" s="12">
        <v>0.57986111111111105</v>
      </c>
      <c r="I245" s="10" t="str">
        <f>_xlfn.CONCAT(Таблица1[[#This Row],[Группа]],"_",TEXT(Таблица1[[#This Row],[Дата]],"ГГ.ММ.ДД"),"_",TEXT(Таблица1[[#This Row],[Время]],"чч:мм"))</f>
        <v>ЭЖД-21_26.02.20_13:55</v>
      </c>
      <c r="J24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5" s="10"/>
      <c r="L245" t="str">
        <f>IFERROR(IF(SEARCH("курс",Таблица1[[#This Row],[Форма контроля]])&gt;=1,),"Ошибка")</f>
        <v>Ошибка</v>
      </c>
      <c r="M24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(5/12 з.е., 180/432 ч., 3/3, Д № 4796)ЭЖД-21ошибка</v>
      </c>
      <c r="N24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(5/12 з.е., 180/432 ч., 3/3, Д № 4796)_ЭЖД-21_26.02.20_13:55</v>
      </c>
    </row>
    <row r="246" spans="1:14" ht="38.25" x14ac:dyDescent="0.2">
      <c r="A246" s="7"/>
      <c r="B246" s="8" t="s">
        <v>166</v>
      </c>
      <c r="C246" s="8" t="s">
        <v>63</v>
      </c>
      <c r="D246" s="9" t="s">
        <v>65</v>
      </c>
      <c r="E246" s="10">
        <v>1</v>
      </c>
      <c r="F246" s="11">
        <v>46066</v>
      </c>
      <c r="G246" s="10">
        <v>9419</v>
      </c>
      <c r="H246" s="12">
        <v>0.64930555555555558</v>
      </c>
      <c r="I246" s="10" t="str">
        <f>_xlfn.CONCAT(Таблица1[[#This Row],[Группа]],"_",TEXT(Таблица1[[#This Row],[Дата]],"ГГ.ММ.ДД"),"_",TEXT(Таблица1[[#This Row],[Время]],"чч:мм"))</f>
        <v>ЭЖД-21_26.02.13_15:35</v>
      </c>
      <c r="J24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6" s="10"/>
      <c r="L246">
        <f>IFERROR(IF(SEARCH("курс",Таблица1[[#This Row],[Форма контроля]])&gt;=1,),"Ошибка")</f>
        <v>0</v>
      </c>
      <c r="M24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(5/12 з.е., 180/432 ч., 3/3, Д № 4796)ЭЖД-21</v>
      </c>
      <c r="N24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(5/12 з.е., 180/432 ч., 3/3, Д № 4796)_ЭЖД-21_26.02.13_15:35</v>
      </c>
    </row>
    <row r="247" spans="1:14" ht="38.25" x14ac:dyDescent="0.2">
      <c r="A247" s="7"/>
      <c r="B247" s="8" t="s">
        <v>166</v>
      </c>
      <c r="C247" s="8" t="s">
        <v>63</v>
      </c>
      <c r="D247" s="9" t="s">
        <v>71</v>
      </c>
      <c r="E247" s="10">
        <v>7</v>
      </c>
      <c r="F247" s="11">
        <v>46066</v>
      </c>
      <c r="G247" s="10">
        <v>9419</v>
      </c>
      <c r="H247" s="12">
        <v>0.64930555555555558</v>
      </c>
      <c r="I247" s="10" t="str">
        <f>_xlfn.CONCAT(Таблица1[[#This Row],[Группа]],"_",TEXT(Таблица1[[#This Row],[Дата]],"ГГ.ММ.ДД"),"_",TEXT(Таблица1[[#This Row],[Время]],"чч:мм"))</f>
        <v>ЭЖД-22_26.02.13_15:35</v>
      </c>
      <c r="J24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7" s="10"/>
      <c r="L247">
        <f>IFERROR(IF(SEARCH("курс",Таблица1[[#This Row],[Форма контроля]])&gt;=1,),"Ошибка")</f>
        <v>0</v>
      </c>
      <c r="M24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(5/12 з.е., 180/432 ч., 3/3, Д № 4796)ЭЖД-22</v>
      </c>
      <c r="N24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(5/12 з.е., 180/432 ч., 3/3, Д № 4796)_ЭЖД-22_26.02.13_15:35</v>
      </c>
    </row>
    <row r="248" spans="1:14" ht="38.25" x14ac:dyDescent="0.2">
      <c r="A248" s="7"/>
      <c r="B248" s="8" t="s">
        <v>166</v>
      </c>
      <c r="C248" s="8" t="s">
        <v>27</v>
      </c>
      <c r="D248" s="9" t="s">
        <v>72</v>
      </c>
      <c r="E248" s="10">
        <v>11</v>
      </c>
      <c r="F248" s="11">
        <v>46073</v>
      </c>
      <c r="G248" s="10">
        <v>9419</v>
      </c>
      <c r="H248" s="12">
        <v>0.57986111111111105</v>
      </c>
      <c r="I248" s="10" t="str">
        <f>_xlfn.CONCAT(Таблица1[[#This Row],[Группа]],"_",TEXT(Таблица1[[#This Row],[Дата]],"ГГ.ММ.ДД"),"_",TEXT(Таблица1[[#This Row],[Время]],"чч:мм"))</f>
        <v>ЭЖД-23_26.02.20_13:55</v>
      </c>
      <c r="J24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8" s="10"/>
      <c r="L248" t="str">
        <f>IFERROR(IF(SEARCH("курс",Таблица1[[#This Row],[Форма контроля]])&gt;=1,),"Ошибка")</f>
        <v>Ошибка</v>
      </c>
      <c r="M24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(5/12 з.е., 180/432 ч., 3/3, Д № 4796)ЭЖД-23ошибка</v>
      </c>
      <c r="N24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(5/12 з.е., 180/432 ч., 3/3, Д № 4796)_ЭЖД-23_26.02.20_13:55</v>
      </c>
    </row>
    <row r="249" spans="1:14" ht="38.25" x14ac:dyDescent="0.2">
      <c r="A249" s="7"/>
      <c r="B249" s="8" t="s">
        <v>166</v>
      </c>
      <c r="C249" s="8" t="s">
        <v>63</v>
      </c>
      <c r="D249" s="9" t="s">
        <v>72</v>
      </c>
      <c r="E249" s="10">
        <v>8</v>
      </c>
      <c r="F249" s="11">
        <v>46066</v>
      </c>
      <c r="G249" s="10">
        <v>9419</v>
      </c>
      <c r="H249" s="12">
        <v>0.64930555555555558</v>
      </c>
      <c r="I249" s="10" t="str">
        <f>_xlfn.CONCAT(Таблица1[[#This Row],[Группа]],"_",TEXT(Таблица1[[#This Row],[Дата]],"ГГ.ММ.ДД"),"_",TEXT(Таблица1[[#This Row],[Время]],"чч:мм"))</f>
        <v>ЭЖД-23_26.02.13_15:35</v>
      </c>
      <c r="J24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49" s="10"/>
      <c r="L249">
        <f>IFERROR(IF(SEARCH("курс",Таблица1[[#This Row],[Форма контроля]])&gt;=1,),"Ошибка")</f>
        <v>0</v>
      </c>
      <c r="M24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(5/12 з.е., 180/432 ч., 3/3, Д № 4796)ЭЖД-23</v>
      </c>
      <c r="N24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(5/12 з.е., 180/432 ч., 3/3, Д № 4796)_ЭЖД-23_26.02.13_15:35</v>
      </c>
    </row>
    <row r="250" spans="1:14" ht="38.25" x14ac:dyDescent="0.2">
      <c r="A250" s="7"/>
      <c r="B250" s="8" t="s">
        <v>166</v>
      </c>
      <c r="C250" s="8" t="s">
        <v>27</v>
      </c>
      <c r="D250" s="9" t="s">
        <v>71</v>
      </c>
      <c r="E250" s="10">
        <v>7</v>
      </c>
      <c r="F250" s="11">
        <v>46073</v>
      </c>
      <c r="G250" s="10">
        <v>9419</v>
      </c>
      <c r="H250" s="12">
        <v>0.57986111111111105</v>
      </c>
      <c r="I250" s="10" t="str">
        <f>_xlfn.CONCAT(Таблица1[[#This Row],[Группа]],"_",TEXT(Таблица1[[#This Row],[Дата]],"ГГ.ММ.ДД"),"_",TEXT(Таблица1[[#This Row],[Время]],"чч:мм"))</f>
        <v>ЭЖД-22_26.02.20_13:55</v>
      </c>
      <c r="J25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0" s="10"/>
      <c r="L250" t="str">
        <f>IFERROR(IF(SEARCH("курс",Таблица1[[#This Row],[Форма контроля]])&gt;=1,),"Ошибка")</f>
        <v>Ошибка</v>
      </c>
      <c r="M25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(5/12 з.е., 180/432 ч., 3/3, Д № 4796)ЭЖД-22ошибка</v>
      </c>
      <c r="N25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(5/12 з.е., 180/432 ч., 3/3, Д № 4796)_ЭЖД-22_26.02.20_13:55</v>
      </c>
    </row>
    <row r="251" spans="1:14" ht="25.5" x14ac:dyDescent="0.2">
      <c r="A251" s="7"/>
      <c r="B251" s="8" t="s">
        <v>164</v>
      </c>
      <c r="C251" s="8" t="s">
        <v>16</v>
      </c>
      <c r="D251" s="9" t="s">
        <v>34</v>
      </c>
      <c r="E251" s="16" t="s">
        <v>67</v>
      </c>
      <c r="F251" s="11">
        <v>46064</v>
      </c>
      <c r="G251" s="10">
        <v>9419</v>
      </c>
      <c r="H251" s="12">
        <v>0.64930555555555558</v>
      </c>
      <c r="I251" s="10" t="str">
        <f>_xlfn.CONCAT(Таблица1[[#This Row],[Группа]],"_",TEXT(Таблица1[[#This Row],[Дата]],"ГГ.ММ.ДД"),"_",TEXT(Таблица1[[#This Row],[Время]],"чч:мм"))</f>
        <v>ЭЖД-31_26.02.11_15:35</v>
      </c>
      <c r="J25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1" s="10"/>
      <c r="L251" t="str">
        <f>IFERROR(IF(SEARCH("курс",Таблица1[[#This Row],[Форма контроля]])&gt;=1,),"Ошибка")</f>
        <v>Ошибка</v>
      </c>
      <c r="M25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Терминальные системы транспорта (2 з.е., 72 ч., 1/1, Д № 8108)ЭЖД-31ошибка</v>
      </c>
      <c r="N25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Терминальные системы транспорта (2 з.е., 72 ч., 1/1, Д № 8108)_ЭЖД-31_26.02.11_15:35</v>
      </c>
    </row>
    <row r="252" spans="1:14" ht="25.5" x14ac:dyDescent="0.2">
      <c r="A252" s="7"/>
      <c r="B252" s="8" t="s">
        <v>167</v>
      </c>
      <c r="C252" s="8" t="s">
        <v>27</v>
      </c>
      <c r="D252" s="9" t="s">
        <v>34</v>
      </c>
      <c r="E252" s="16" t="s">
        <v>67</v>
      </c>
      <c r="F252" s="11">
        <v>46071</v>
      </c>
      <c r="G252" s="10">
        <v>9419</v>
      </c>
      <c r="H252" s="12">
        <v>0.57986111111111105</v>
      </c>
      <c r="I252" s="10" t="str">
        <f>_xlfn.CONCAT(Таблица1[[#This Row],[Группа]],"_",TEXT(Таблица1[[#This Row],[Дата]],"ГГ.ММ.ДД"),"_",TEXT(Таблица1[[#This Row],[Время]],"чч:мм"))</f>
        <v>ЭЖД-31_26.02.18_13:55</v>
      </c>
      <c r="J25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2" s="10"/>
      <c r="L252" t="str">
        <f>IFERROR(IF(SEARCH("курс",Таблица1[[#This Row],[Форма контроля]])&gt;=1,),"Ошибка")</f>
        <v>Ошибка</v>
      </c>
      <c r="M25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8109)ЭЖД-31ошибка</v>
      </c>
      <c r="N25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8109)_ЭЖД-31_26.02.18_13:55</v>
      </c>
    </row>
    <row r="253" spans="1:14" ht="51" x14ac:dyDescent="0.2">
      <c r="A253" s="7"/>
      <c r="B253" s="8" t="s">
        <v>168</v>
      </c>
      <c r="C253" s="8" t="s">
        <v>24</v>
      </c>
      <c r="D253" s="9" t="s">
        <v>46</v>
      </c>
      <c r="E253" s="10">
        <v>1</v>
      </c>
      <c r="F253" s="11">
        <v>46070</v>
      </c>
      <c r="G253" s="10" t="s">
        <v>169</v>
      </c>
      <c r="H253" s="12">
        <v>0.71875</v>
      </c>
      <c r="I253" s="10" t="str">
        <f>_xlfn.CONCAT(Таблица1[[#This Row],[Группа]],"_",TEXT(Таблица1[[#This Row],[Дата]],"ГГ.ММ.ДД"),"_",TEXT(Таблица1[[#This Row],[Время]],"чч:мм"))</f>
        <v>ТТПм-51_26.02.17_17:15</v>
      </c>
      <c r="J25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3" s="10"/>
      <c r="L253" t="str">
        <f>IFERROR(IF(SEARCH("курс",Таблица1[[#This Row],[Форма контроля]])&gt;=1,),"Ошибка")</f>
        <v>Ошибка</v>
      </c>
      <c r="M25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Научно-техническое обеспечение технологических процессов на транспорте (5/9 з.е., 180/324 ч., 1/2, Д № 7886)ТТПм-51ошибка</v>
      </c>
      <c r="N25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Научно-техническое обеспечение технологических процессов на транспорте (5/9 з.е., 180/324 ч., 1/2, Д № 7886)_ТТПм-51_26.02.17_17:15</v>
      </c>
    </row>
    <row r="254" spans="1:14" ht="25.5" x14ac:dyDescent="0.2">
      <c r="A254" s="7"/>
      <c r="B254" s="8" t="s">
        <v>170</v>
      </c>
      <c r="C254" s="8" t="s">
        <v>27</v>
      </c>
      <c r="D254" s="9" t="s">
        <v>30</v>
      </c>
      <c r="E254" s="10">
        <v>2</v>
      </c>
      <c r="F254" s="11">
        <v>46062</v>
      </c>
      <c r="G254" s="10">
        <v>5404</v>
      </c>
      <c r="H254" s="12">
        <v>0.64930555555555558</v>
      </c>
      <c r="I254" s="10" t="str">
        <f>_xlfn.CONCAT(Таблица1[[#This Row],[Группа]],"_",TEXT(Таблица1[[#This Row],[Дата]],"ГГ.ММ.ДД"),"_",TEXT(Таблица1[[#This Row],[Время]],"чч:мм"))</f>
        <v>ЭЖД-41_26.02.09_15:35</v>
      </c>
      <c r="J25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4" s="10"/>
      <c r="L254" t="str">
        <f>IFERROR(IF(SEARCH("курс",Таблица1[[#This Row],[Форма контроля]])&gt;=1,),"Ошибка")</f>
        <v>Ошибка</v>
      </c>
      <c r="M25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Теоретическая механика (4 з.е., 144 ч., 1/1, Д № 8089)ЭЖД-41ошибка</v>
      </c>
      <c r="N25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Теоретическая механика (4 з.е., 144 ч., 1/1, Д № 8089)_ЭЖД-41_26.02.09_15:35</v>
      </c>
    </row>
    <row r="255" spans="1:14" ht="25.5" x14ac:dyDescent="0.2">
      <c r="A255" s="7"/>
      <c r="B255" s="8" t="s">
        <v>170</v>
      </c>
      <c r="C255" s="8" t="s">
        <v>27</v>
      </c>
      <c r="D255" s="9" t="s">
        <v>32</v>
      </c>
      <c r="E255" s="10">
        <v>1</v>
      </c>
      <c r="F255" s="11">
        <v>46062</v>
      </c>
      <c r="G255" s="10">
        <v>5404</v>
      </c>
      <c r="H255" s="12">
        <v>0.64930555555555558</v>
      </c>
      <c r="I255" s="10" t="str">
        <f>_xlfn.CONCAT(Таблица1[[#This Row],[Группа]],"_",TEXT(Таблица1[[#This Row],[Дата]],"ГГ.ММ.ДД"),"_",TEXT(Таблица1[[#This Row],[Время]],"чч:мм"))</f>
        <v>ЭЖД-43_26.02.09_15:35</v>
      </c>
      <c r="J25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5" s="10"/>
      <c r="L255" t="str">
        <f>IFERROR(IF(SEARCH("курс",Таблица1[[#This Row],[Форма контроля]])&gt;=1,),"Ошибка")</f>
        <v>Ошибка</v>
      </c>
      <c r="M25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Теоретическая механика (4 з.е., 144 ч., 1/1, Д № 8089)ЭЖД-43ошибка</v>
      </c>
      <c r="N25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Теоретическая механика (4 з.е., 144 ч., 1/1, Д № 8089)_ЭЖД-43_26.02.09_15:35</v>
      </c>
    </row>
    <row r="256" spans="1:14" ht="38.25" x14ac:dyDescent="0.2">
      <c r="A256" s="7"/>
      <c r="B256" s="8" t="s">
        <v>171</v>
      </c>
      <c r="C256" s="8" t="s">
        <v>24</v>
      </c>
      <c r="D256" s="9" t="s">
        <v>46</v>
      </c>
      <c r="E256" s="10">
        <v>1</v>
      </c>
      <c r="F256" s="11">
        <v>46063</v>
      </c>
      <c r="G256" s="10">
        <v>5308</v>
      </c>
      <c r="H256" s="12">
        <v>0.42708333333333331</v>
      </c>
      <c r="I256" s="10" t="str">
        <f>_xlfn.CONCAT(Таблица1[[#This Row],[Группа]],"_",TEXT(Таблица1[[#This Row],[Дата]],"ГГ.ММ.ДД"),"_",TEXT(Таблица1[[#This Row],[Время]],"чч:мм"))</f>
        <v>ТТПм-51_26.02.10_10:15</v>
      </c>
      <c r="J25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6" s="10"/>
      <c r="L256" t="str">
        <f>IFERROR(IF(SEARCH("курс",Таблица1[[#This Row],[Форма контроля]])&gt;=1,),"Ошибка")</f>
        <v>Ошибка</v>
      </c>
      <c r="M25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Психологические основы интеллектуально-личностного развития (4 з.е., 144 ч., 1/1, Д № 7882)ТТПм-51ошибка</v>
      </c>
      <c r="N25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Психологические основы интеллектуально-личностного развития (4 з.е., 144 ч., 1/1, Д № 7882)_ТТПм-51_26.02.10_10:15</v>
      </c>
    </row>
    <row r="257" spans="1:14" ht="25.5" x14ac:dyDescent="0.2">
      <c r="A257" s="7"/>
      <c r="B257" s="8" t="s">
        <v>172</v>
      </c>
      <c r="C257" s="8" t="s">
        <v>27</v>
      </c>
      <c r="D257" s="9" t="s">
        <v>123</v>
      </c>
      <c r="E257" s="10">
        <v>1</v>
      </c>
      <c r="F257" s="11">
        <v>46072</v>
      </c>
      <c r="G257" s="10">
        <v>9408</v>
      </c>
      <c r="H257" s="12">
        <v>0.57986111111111105</v>
      </c>
      <c r="I257" s="10" t="str">
        <f>_xlfn.CONCAT(Таблица1[[#This Row],[Группа]],"_",TEXT(Таблица1[[#This Row],[Дата]],"ГГ.ММ.ДД"),"_",TEXT(Таблица1[[#This Row],[Время]],"чч:мм"))</f>
        <v>ТТПб-21_26.02.19_13:55</v>
      </c>
      <c r="J25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7" s="10"/>
      <c r="L257" t="str">
        <f>IFERROR(IF(SEARCH("курс",Таблица1[[#This Row],[Форма контроля]])&gt;=1,),"Ошибка")</f>
        <v>Ошибка</v>
      </c>
      <c r="M25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(4/18 з.е., 144/648 ч., 3/4, Д № 6830)ТТПб-21ошибка</v>
      </c>
      <c r="N25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(4/18 з.е., 144/648 ч., 3/4, Д № 6830)_ТТПб-21_26.02.19_13:55</v>
      </c>
    </row>
    <row r="258" spans="1:14" ht="25.5" x14ac:dyDescent="0.2">
      <c r="A258" s="7"/>
      <c r="B258" s="8" t="s">
        <v>173</v>
      </c>
      <c r="C258" s="8" t="s">
        <v>16</v>
      </c>
      <c r="D258" s="9" t="s">
        <v>30</v>
      </c>
      <c r="E258" s="10">
        <v>3</v>
      </c>
      <c r="F258" s="11">
        <v>46063</v>
      </c>
      <c r="G258" s="10">
        <v>9408</v>
      </c>
      <c r="H258" s="12">
        <v>0.50694444444444442</v>
      </c>
      <c r="I258" s="10" t="str">
        <f>_xlfn.CONCAT(Таблица1[[#This Row],[Группа]],"_",TEXT(Таблица1[[#This Row],[Дата]],"ГГ.ММ.ДД"),"_",TEXT(Таблица1[[#This Row],[Время]],"чч:мм"))</f>
        <v>ЭЖД-41_26.02.10_12:10</v>
      </c>
      <c r="J25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8" s="10"/>
      <c r="L258" t="str">
        <f>IFERROR(IF(SEARCH("курс",Таблица1[[#This Row],[Форма контроля]])&gt;=1,),"Ошибка")</f>
        <v>Ошибка</v>
      </c>
      <c r="M25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Организация доступной среды на транспорте (2 з.е., 72 ч., 1/1, Д № 8092)ЭЖД-41ошибка</v>
      </c>
      <c r="N25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Организация доступной среды на транспорте (2 з.е., 72 ч., 1/1, Д № 8092)_ЭЖД-41_26.02.10_12:10</v>
      </c>
    </row>
    <row r="259" spans="1:14" ht="25.5" x14ac:dyDescent="0.2">
      <c r="A259" s="7"/>
      <c r="B259" s="8" t="s">
        <v>173</v>
      </c>
      <c r="C259" s="8" t="s">
        <v>16</v>
      </c>
      <c r="D259" s="9" t="s">
        <v>32</v>
      </c>
      <c r="E259" s="10">
        <v>3</v>
      </c>
      <c r="F259" s="11">
        <v>46063</v>
      </c>
      <c r="G259" s="10">
        <v>9408</v>
      </c>
      <c r="H259" s="12">
        <v>0.50694444444444442</v>
      </c>
      <c r="I259" s="10" t="str">
        <f>_xlfn.CONCAT(Таблица1[[#This Row],[Группа]],"_",TEXT(Таблица1[[#This Row],[Дата]],"ГГ.ММ.ДД"),"_",TEXT(Таблица1[[#This Row],[Время]],"чч:мм"))</f>
        <v>ЭЖД-43_26.02.10_12:10</v>
      </c>
      <c r="J25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59" s="10"/>
      <c r="L259" t="str">
        <f>IFERROR(IF(SEARCH("курс",Таблица1[[#This Row],[Форма контроля]])&gt;=1,),"Ошибка")</f>
        <v>Ошибка</v>
      </c>
      <c r="M25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Организация доступной среды на транспорте (2 з.е., 72 ч., 1/1, Д № 8092)ЭЖД-43ошибка</v>
      </c>
      <c r="N25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Организация доступной среды на транспорте (2 з.е., 72 ч., 1/1, Д № 8092)_ЭЖД-43_26.02.10_12:10</v>
      </c>
    </row>
    <row r="260" spans="1:14" ht="25.5" x14ac:dyDescent="0.2">
      <c r="A260" s="7"/>
      <c r="B260" s="8" t="s">
        <v>125</v>
      </c>
      <c r="C260" s="8" t="s">
        <v>27</v>
      </c>
      <c r="D260" s="9" t="s">
        <v>71</v>
      </c>
      <c r="E260" s="10">
        <v>1</v>
      </c>
      <c r="F260" s="11">
        <v>46072</v>
      </c>
      <c r="G260" s="10">
        <v>9408</v>
      </c>
      <c r="H260" s="12">
        <v>0.57986111111111105</v>
      </c>
      <c r="I260" s="10" t="str">
        <f>_xlfn.CONCAT(Таблица1[[#This Row],[Группа]],"_",TEXT(Таблица1[[#This Row],[Дата]],"ГГ.ММ.ДД"),"_",TEXT(Таблица1[[#This Row],[Время]],"чч:мм"))</f>
        <v>ЭЖД-22_26.02.19_13:55</v>
      </c>
      <c r="J26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0" s="10"/>
      <c r="L260" t="str">
        <f>IFERROR(IF(SEARCH("курс",Таблица1[[#This Row],[Форма контроля]])&gt;=1,),"Ошибка")</f>
        <v>Ошибка</v>
      </c>
      <c r="M26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(4/22 з.е., 144/792 ч., 3/5, Д № 6876)ЭЖД-22ошибка</v>
      </c>
      <c r="N26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(4/22 з.е., 144/792 ч., 3/5, Д № 6876)_ЭЖД-22_26.02.19_13:55</v>
      </c>
    </row>
    <row r="261" spans="1:14" ht="25.5" x14ac:dyDescent="0.2">
      <c r="A261" s="7"/>
      <c r="B261" s="8" t="s">
        <v>125</v>
      </c>
      <c r="C261" s="8" t="s">
        <v>27</v>
      </c>
      <c r="D261" s="9" t="s">
        <v>72</v>
      </c>
      <c r="E261" s="10">
        <v>8</v>
      </c>
      <c r="F261" s="11">
        <v>46072</v>
      </c>
      <c r="G261" s="10">
        <v>9408</v>
      </c>
      <c r="H261" s="12">
        <v>0.57986111111111105</v>
      </c>
      <c r="I261" s="10" t="str">
        <f>_xlfn.CONCAT(Таблица1[[#This Row],[Группа]],"_",TEXT(Таблица1[[#This Row],[Дата]],"ГГ.ММ.ДД"),"_",TEXT(Таблица1[[#This Row],[Время]],"чч:мм"))</f>
        <v>ЭЖД-23_26.02.19_13:55</v>
      </c>
      <c r="J26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1" s="10"/>
      <c r="L261" t="str">
        <f>IFERROR(IF(SEARCH("курс",Таблица1[[#This Row],[Форма контроля]])&gt;=1,),"Ошибка")</f>
        <v>Ошибка</v>
      </c>
      <c r="M26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эксплуатационной работой (4/22 з.е., 144/792 ч., 3/5, Д № 6876)ЭЖД-23ошибка</v>
      </c>
      <c r="N26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эксплуатационной работой (4/22 з.е., 144/792 ч., 3/5, Д № 6876)_ЭЖД-23_26.02.19_13:55</v>
      </c>
    </row>
    <row r="262" spans="1:14" ht="25.5" x14ac:dyDescent="0.2">
      <c r="A262" s="7"/>
      <c r="B262" s="8" t="s">
        <v>162</v>
      </c>
      <c r="C262" s="8" t="s">
        <v>57</v>
      </c>
      <c r="D262" s="9" t="s">
        <v>35</v>
      </c>
      <c r="E262" s="10">
        <v>8</v>
      </c>
      <c r="F262" s="11">
        <v>46062</v>
      </c>
      <c r="G262" s="10">
        <v>9321</v>
      </c>
      <c r="H262" s="12">
        <v>0.42708333333333331</v>
      </c>
      <c r="I262" s="10" t="str">
        <f>_xlfn.CONCAT(Таблица1[[#This Row],[Группа]],"_",TEXT(Таблица1[[#This Row],[Дата]],"ГГ.ММ.ДД"),"_",TEXT(Таблица1[[#This Row],[Время]],"чч:мм"))</f>
        <v>ЭЖД-33_26.02.09_10:15</v>
      </c>
      <c r="J26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2" s="10"/>
      <c r="L262">
        <f>IFERROR(IF(SEARCH("курс",Таблица1[[#This Row],[Форма контроля]])&gt;=1,),"Ошибка")</f>
        <v>0</v>
      </c>
      <c r="M26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4663)ЭЖД-33</v>
      </c>
      <c r="N26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4663)_ЭЖД-33_26.02.09_10:15</v>
      </c>
    </row>
    <row r="263" spans="1:14" ht="25.5" x14ac:dyDescent="0.2">
      <c r="A263" s="7"/>
      <c r="B263" s="8" t="s">
        <v>165</v>
      </c>
      <c r="C263" s="8" t="s">
        <v>57</v>
      </c>
      <c r="D263" s="9" t="s">
        <v>58</v>
      </c>
      <c r="E263" s="10">
        <v>7</v>
      </c>
      <c r="F263" s="11">
        <v>46062</v>
      </c>
      <c r="G263" s="10">
        <v>9321</v>
      </c>
      <c r="H263" s="12">
        <v>0.42708333333333331</v>
      </c>
      <c r="I263" s="10" t="str">
        <f>_xlfn.CONCAT(Таблица1[[#This Row],[Группа]],"_",TEXT(Таблица1[[#This Row],[Дата]],"ГГ.ММ.ДД"),"_",TEXT(Таблица1[[#This Row],[Время]],"чч:мм"))</f>
        <v>ЭЖД-45у_26.02.09_10:15</v>
      </c>
      <c r="J26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3" s="10"/>
      <c r="L263">
        <f>IFERROR(IF(SEARCH("курс",Таблица1[[#This Row],[Форма контроля]])&gt;=1,),"Ошибка")</f>
        <v>0</v>
      </c>
      <c r="M26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8597)ЭЖД-45у</v>
      </c>
      <c r="N26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8597)_ЭЖД-45у_26.02.09_10:15</v>
      </c>
    </row>
    <row r="264" spans="1:14" ht="25.5" x14ac:dyDescent="0.2">
      <c r="A264" s="7"/>
      <c r="B264" s="8" t="s">
        <v>174</v>
      </c>
      <c r="C264" s="8" t="s">
        <v>16</v>
      </c>
      <c r="D264" s="9" t="s">
        <v>65</v>
      </c>
      <c r="E264" s="10">
        <v>5</v>
      </c>
      <c r="F264" s="11">
        <v>46066</v>
      </c>
      <c r="G264" s="10">
        <v>9321</v>
      </c>
      <c r="H264" s="12">
        <v>0.57986111111111105</v>
      </c>
      <c r="I264" s="10" t="str">
        <f>_xlfn.CONCAT(Таблица1[[#This Row],[Группа]],"_",TEXT(Таблица1[[#This Row],[Дата]],"ГГ.ММ.ДД"),"_",TEXT(Таблица1[[#This Row],[Время]],"чч:мм"))</f>
        <v>ЭЖД-21_26.02.13_13:55</v>
      </c>
      <c r="J26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4" s="10"/>
      <c r="L264" t="str">
        <f>IFERROR(IF(SEARCH("курс",Таблица1[[#This Row],[Форма контроля]])&gt;=1,),"Ошибка")</f>
        <v>Ошибка</v>
      </c>
      <c r="M26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Сервис на транспорте (3 з.е., 108 ч., 1/1, Д № 4797)ЭЖД-21ошибка</v>
      </c>
      <c r="N26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Сервис на транспорте (3 з.е., 108 ч., 1/1, Д № 4797)_ЭЖД-21_26.02.13_13:55</v>
      </c>
    </row>
    <row r="265" spans="1:14" ht="25.5" x14ac:dyDescent="0.2">
      <c r="A265" s="7"/>
      <c r="B265" s="8" t="s">
        <v>174</v>
      </c>
      <c r="C265" s="8" t="s">
        <v>16</v>
      </c>
      <c r="D265" s="9" t="s">
        <v>71</v>
      </c>
      <c r="E265" s="10">
        <v>6</v>
      </c>
      <c r="F265" s="11">
        <v>46062</v>
      </c>
      <c r="G265" s="10">
        <v>9321</v>
      </c>
      <c r="H265" s="12">
        <v>0.50694444444444442</v>
      </c>
      <c r="I265" s="10" t="str">
        <f>_xlfn.CONCAT(Таблица1[[#This Row],[Группа]],"_",TEXT(Таблица1[[#This Row],[Дата]],"ГГ.ММ.ДД"),"_",TEXT(Таблица1[[#This Row],[Время]],"чч:мм"))</f>
        <v>ЭЖД-22_26.02.09_12:10</v>
      </c>
      <c r="J26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5" s="10"/>
      <c r="L265" t="str">
        <f>IFERROR(IF(SEARCH("курс",Таблица1[[#This Row],[Форма контроля]])&gt;=1,),"Ошибка")</f>
        <v>Ошибка</v>
      </c>
      <c r="M26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Сервис на транспорте (3 з.е., 108 ч., 1/1, Д № 4797)ЭЖД-22ошибка</v>
      </c>
      <c r="N26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Сервис на транспорте (3 з.е., 108 ч., 1/1, Д № 4797)_ЭЖД-22_26.02.09_12:10</v>
      </c>
    </row>
    <row r="266" spans="1:14" ht="25.5" x14ac:dyDescent="0.2">
      <c r="A266" s="7"/>
      <c r="B266" s="8" t="s">
        <v>174</v>
      </c>
      <c r="C266" s="8" t="s">
        <v>16</v>
      </c>
      <c r="D266" s="9" t="s">
        <v>72</v>
      </c>
      <c r="E266" s="10">
        <v>6</v>
      </c>
      <c r="F266" s="11">
        <v>46062</v>
      </c>
      <c r="G266" s="10">
        <v>9321</v>
      </c>
      <c r="H266" s="12">
        <v>0.50694444444444442</v>
      </c>
      <c r="I266" s="10" t="str">
        <f>_xlfn.CONCAT(Таблица1[[#This Row],[Группа]],"_",TEXT(Таблица1[[#This Row],[Дата]],"ГГ.ММ.ДД"),"_",TEXT(Таблица1[[#This Row],[Время]],"чч:мм"))</f>
        <v>ЭЖД-23_26.02.09_12:10</v>
      </c>
      <c r="J26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6" s="10"/>
      <c r="L266" t="str">
        <f>IFERROR(IF(SEARCH("курс",Таблица1[[#This Row],[Форма контроля]])&gt;=1,),"Ошибка")</f>
        <v>Ошибка</v>
      </c>
      <c r="M26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Сервис на транспорте (3 з.е., 108 ч., 1/1, Д № 4797)ЭЖД-23ошибка</v>
      </c>
      <c r="N26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Сервис на транспорте (3 з.е., 108 ч., 1/1, Д № 4797)_ЭЖД-23_26.02.09_12:10</v>
      </c>
    </row>
    <row r="267" spans="1:14" ht="38.25" x14ac:dyDescent="0.2">
      <c r="A267" s="7"/>
      <c r="B267" s="8" t="s">
        <v>159</v>
      </c>
      <c r="C267" s="8" t="s">
        <v>27</v>
      </c>
      <c r="D267" s="9" t="s">
        <v>75</v>
      </c>
      <c r="E267" s="10">
        <v>1</v>
      </c>
      <c r="F267" s="11">
        <v>46064</v>
      </c>
      <c r="G267" s="10">
        <v>5413</v>
      </c>
      <c r="H267" s="12">
        <v>0.50694444444444442</v>
      </c>
      <c r="I267" s="10" t="str">
        <f>_xlfn.CONCAT(Таблица1[[#This Row],[Группа]],"_",TEXT(Таблица1[[#This Row],[Дата]],"ГГ.ММ.ДД"),"_",TEXT(Таблица1[[#This Row],[Время]],"чч:мм"))</f>
        <v>ЭЖД-55у_26.02.11_12:10</v>
      </c>
      <c r="J26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7" s="10"/>
      <c r="L267" t="str">
        <f>IFERROR(IF(SEARCH("курс",Таблица1[[#This Row],[Форма контроля]])&gt;=1,),"Ошибка")</f>
        <v>Ошибка</v>
      </c>
      <c r="M26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Начертательная геометрия и компьютерная графика (2 з.е., 72 ч., 1/1, Д № 8588)ЭЖД-55уошибка</v>
      </c>
      <c r="N26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Начертательная геометрия и компьютерная графика (2 з.е., 72 ч., 1/1, Д № 8588)_ЭЖД-55у_26.02.11_12:10</v>
      </c>
    </row>
    <row r="268" spans="1:14" ht="25.5" x14ac:dyDescent="0.2">
      <c r="A268" s="7"/>
      <c r="B268" s="8" t="s">
        <v>175</v>
      </c>
      <c r="C268" s="8" t="s">
        <v>16</v>
      </c>
      <c r="D268" s="9" t="s">
        <v>51</v>
      </c>
      <c r="E268" s="10">
        <v>3</v>
      </c>
      <c r="F268" s="11">
        <v>46063</v>
      </c>
      <c r="G268" s="10" t="s">
        <v>18</v>
      </c>
      <c r="H268" s="12">
        <v>0.71875</v>
      </c>
      <c r="I268" s="10" t="str">
        <f>_xlfn.CONCAT(Таблица1[[#This Row],[Группа]],"_",TEXT(Таблица1[[#This Row],[Дата]],"ГГ.ММ.ДД"),"_",TEXT(Таблица1[[#This Row],[Время]],"чч:мм"))</f>
        <v>Эб-51_26.02.10_17:15</v>
      </c>
      <c r="J26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8" s="10"/>
      <c r="L268" t="str">
        <f>IFERROR(IF(SEARCH("курс",Таблица1[[#This Row],[Форма контроля]])&gt;=1,),"Ошибка")</f>
        <v>Ошибка</v>
      </c>
      <c r="M26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Цифровые технологии самообразования (2 з.е., 72 ч., 1/1, Д № 7601)Эб-51ошибка</v>
      </c>
      <c r="N26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Цифровые технологии самообразования (2 з.е., 72 ч., 1/1, Д № 7601)_Эб-51_26.02.10_17:15</v>
      </c>
    </row>
    <row r="269" spans="1:14" ht="25.5" x14ac:dyDescent="0.2">
      <c r="A269" s="7"/>
      <c r="B269" s="8" t="s">
        <v>175</v>
      </c>
      <c r="C269" s="8" t="s">
        <v>16</v>
      </c>
      <c r="D269" s="9" t="s">
        <v>54</v>
      </c>
      <c r="E269" s="10">
        <v>4</v>
      </c>
      <c r="F269" s="11">
        <v>46063</v>
      </c>
      <c r="G269" s="10" t="s">
        <v>18</v>
      </c>
      <c r="H269" s="12">
        <v>0.71875</v>
      </c>
      <c r="I269" s="10" t="str">
        <f>_xlfn.CONCAT(Таблица1[[#This Row],[Группа]],"_",TEXT(Таблица1[[#This Row],[Дата]],"ГГ.ММ.ДД"),"_",TEXT(Таблица1[[#This Row],[Время]],"чч:мм"))</f>
        <v>Мб-52_26.02.10_17:15</v>
      </c>
      <c r="J26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69" s="10"/>
      <c r="L269" t="str">
        <f>IFERROR(IF(SEARCH("курс",Таблица1[[#This Row],[Форма контроля]])&gt;=1,),"Ошибка")</f>
        <v>Ошибка</v>
      </c>
      <c r="M26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Цифровые технологии самообразования (2 з.е., 72 ч., 1/1, Д № 7601)Мб-52ошибка</v>
      </c>
      <c r="N26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Цифровые технологии самообразования (2 з.е., 72 ч., 1/1, Д № 7601)_Мб-52_26.02.10_17:15</v>
      </c>
    </row>
    <row r="270" spans="1:14" ht="38.25" x14ac:dyDescent="0.2">
      <c r="A270" s="7"/>
      <c r="B270" s="8" t="s">
        <v>176</v>
      </c>
      <c r="C270" s="8" t="s">
        <v>24</v>
      </c>
      <c r="D270" s="9" t="s">
        <v>54</v>
      </c>
      <c r="E270" s="10">
        <v>5</v>
      </c>
      <c r="F270" s="11">
        <v>46063</v>
      </c>
      <c r="G270" s="10">
        <v>9311</v>
      </c>
      <c r="H270" s="12">
        <v>0.57986111111111105</v>
      </c>
      <c r="I270" s="10" t="str">
        <f>_xlfn.CONCAT(Таблица1[[#This Row],[Группа]],"_",TEXT(Таблица1[[#This Row],[Дата]],"ГГ.ММ.ДД"),"_",TEXT(Таблица1[[#This Row],[Время]],"чч:мм"))</f>
        <v>Мб-52_26.02.10_13:55</v>
      </c>
      <c r="J27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0" s="10"/>
      <c r="L270" t="str">
        <f>IFERROR(IF(SEARCH("курс",Таблица1[[#This Row],[Форма контроля]])&gt;=1,),"Ошибка")</f>
        <v>Ошибка</v>
      </c>
      <c r="M27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Информатика (3 з.е., 108 ч., 1/1, Д № 7765)Мб-52ошибка</v>
      </c>
      <c r="N27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Информатика (3 з.е., 108 ч., 1/1, Д № 7765)_Мб-52_26.02.10_13:55</v>
      </c>
    </row>
    <row r="271" spans="1:14" ht="25.5" x14ac:dyDescent="0.2">
      <c r="A271" s="7"/>
      <c r="B271" s="8" t="s">
        <v>175</v>
      </c>
      <c r="C271" s="8" t="s">
        <v>16</v>
      </c>
      <c r="D271" s="9" t="s">
        <v>87</v>
      </c>
      <c r="E271" s="10">
        <v>4</v>
      </c>
      <c r="F271" s="11">
        <v>46063</v>
      </c>
      <c r="G271" s="10" t="s">
        <v>18</v>
      </c>
      <c r="H271" s="12">
        <v>0.71875</v>
      </c>
      <c r="I271" s="10" t="str">
        <f>_xlfn.CONCAT(Таблица1[[#This Row],[Группа]],"_",TEXT(Таблица1[[#This Row],[Дата]],"ГГ.ММ.ДД"),"_",TEXT(Таблица1[[#This Row],[Время]],"чч:мм"))</f>
        <v>УПб-51_26.02.10_17:15</v>
      </c>
      <c r="J27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1" s="10"/>
      <c r="L271" t="str">
        <f>IFERROR(IF(SEARCH("курс",Таблица1[[#This Row],[Форма контроля]])&gt;=1,),"Ошибка")</f>
        <v>Ошибка</v>
      </c>
      <c r="M27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Цифровые технологии самообразования (2 з.е., 72 ч., 1/1, Д № 7601)УПб-51ошибка</v>
      </c>
      <c r="N27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Цифровые технологии самообразования (2 з.е., 72 ч., 1/1, Д № 7601)_УПб-51_26.02.10_17:15</v>
      </c>
    </row>
    <row r="272" spans="1:14" ht="38.25" x14ac:dyDescent="0.2">
      <c r="A272" s="7"/>
      <c r="B272" s="8" t="s">
        <v>176</v>
      </c>
      <c r="C272" s="8" t="s">
        <v>24</v>
      </c>
      <c r="D272" s="9" t="s">
        <v>87</v>
      </c>
      <c r="E272" s="10">
        <v>6</v>
      </c>
      <c r="F272" s="11">
        <v>46063</v>
      </c>
      <c r="G272" s="10">
        <v>9311</v>
      </c>
      <c r="H272" s="12">
        <v>0.64930555555555558</v>
      </c>
      <c r="I272" s="10" t="str">
        <f>_xlfn.CONCAT(Таблица1[[#This Row],[Группа]],"_",TEXT(Таблица1[[#This Row],[Дата]],"ГГ.ММ.ДД"),"_",TEXT(Таблица1[[#This Row],[Время]],"чч:мм"))</f>
        <v>УПб-51_26.02.10_15:35</v>
      </c>
      <c r="J27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2" s="10"/>
      <c r="L272" t="str">
        <f>IFERROR(IF(SEARCH("курс",Таблица1[[#This Row],[Форма контроля]])&gt;=1,),"Ошибка")</f>
        <v>Ошибка</v>
      </c>
      <c r="M27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Информатика (3 з.е., 108 ч., 1/1, Д № 7765)УПб-51ошибка</v>
      </c>
      <c r="N27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Информатика (3 з.е., 108 ч., 1/1, Д № 7765)_УПб-51_26.02.10_15:35</v>
      </c>
    </row>
    <row r="273" spans="1:14" ht="38.25" x14ac:dyDescent="0.2">
      <c r="A273" s="7"/>
      <c r="B273" s="8" t="s">
        <v>177</v>
      </c>
      <c r="C273" s="8" t="s">
        <v>24</v>
      </c>
      <c r="D273" s="9" t="s">
        <v>28</v>
      </c>
      <c r="E273" s="10">
        <v>3</v>
      </c>
      <c r="F273" s="11">
        <v>46066</v>
      </c>
      <c r="G273" s="10">
        <v>3410</v>
      </c>
      <c r="H273" s="12">
        <v>0.50694444444444442</v>
      </c>
      <c r="I273" s="10" t="str">
        <f>_xlfn.CONCAT(Таблица1[[#This Row],[Группа]],"_",TEXT(Таблица1[[#This Row],[Дата]],"ГГ.ММ.ДД"),"_",TEXT(Таблица1[[#This Row],[Время]],"чч:мм"))</f>
        <v>ЭМб-41_26.02.13_12:10</v>
      </c>
      <c r="J27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3" s="10"/>
      <c r="L273" t="str">
        <f>IFERROR(IF(SEARCH("курс",Таблица1[[#This Row],[Форма контроля]])&gt;=1,),"Ошибка")</f>
        <v>Ошибка</v>
      </c>
      <c r="M27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Информационные системы в экономике и управлении (4 з.е., 144 ч., 1/1, Д № 8893)ЭМб-41ошибка</v>
      </c>
      <c r="N27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Информационные системы в экономике и управлении (4 з.е., 144 ч., 1/1, Д № 8893)_ЭМб-41_26.02.13_12:10</v>
      </c>
    </row>
    <row r="274" spans="1:14" ht="38.25" x14ac:dyDescent="0.2">
      <c r="A274" s="7"/>
      <c r="B274" s="8" t="s">
        <v>177</v>
      </c>
      <c r="C274" s="8" t="s">
        <v>24</v>
      </c>
      <c r="D274" s="9" t="s">
        <v>92</v>
      </c>
      <c r="E274" s="10">
        <v>1</v>
      </c>
      <c r="F274" s="11">
        <v>46066</v>
      </c>
      <c r="G274" s="10">
        <v>3410</v>
      </c>
      <c r="H274" s="12">
        <v>0.64930555555555558</v>
      </c>
      <c r="I274" s="10" t="str">
        <f>_xlfn.CONCAT(Таблица1[[#This Row],[Группа]],"_",TEXT(Таблица1[[#This Row],[Дата]],"ГГ.ММ.ДД"),"_",TEXT(Таблица1[[#This Row],[Время]],"чч:мм"))</f>
        <v>УПб-41_26.02.13_15:35</v>
      </c>
      <c r="J27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4" s="10"/>
      <c r="L274" t="str">
        <f>IFERROR(IF(SEARCH("курс",Таблица1[[#This Row],[Форма контроля]])&gt;=1,),"Ошибка")</f>
        <v>Ошибка</v>
      </c>
      <c r="M27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Информационные системы в экономике и управлении (4 з.е., 144 ч., 1/1, Д № 8893)УПб-41ошибка</v>
      </c>
      <c r="N27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Информационные системы в экономике и управлении (4 з.е., 144 ч., 1/1, Д № 8893)_УПб-41_26.02.13_15:35</v>
      </c>
    </row>
    <row r="275" spans="1:14" ht="38.25" x14ac:dyDescent="0.2">
      <c r="A275" s="7"/>
      <c r="B275" s="8" t="s">
        <v>178</v>
      </c>
      <c r="C275" s="8" t="s">
        <v>24</v>
      </c>
      <c r="D275" s="9" t="s">
        <v>37</v>
      </c>
      <c r="E275" s="10">
        <v>6</v>
      </c>
      <c r="F275" s="11">
        <v>46066</v>
      </c>
      <c r="G275" s="10" t="s">
        <v>18</v>
      </c>
      <c r="H275" s="12">
        <v>0.71875</v>
      </c>
      <c r="I275" s="10" t="str">
        <f>_xlfn.CONCAT(Таблица1[[#This Row],[Группа]],"_",TEXT(Таблица1[[#This Row],[Дата]],"ГГ.ММ.ДД"),"_",TEXT(Таблица1[[#This Row],[Время]],"чч:мм"))</f>
        <v>ЭМУб-41оз_26.02.13_17:15</v>
      </c>
      <c r="J27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5" s="10"/>
      <c r="L275" t="str">
        <f>IFERROR(IF(SEARCH("курс",Таблица1[[#This Row],[Форма контроля]])&gt;=1,),"Ошибка")</f>
        <v>Ошибка</v>
      </c>
      <c r="M27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Информационные системы в экономике и управлении (4 з.е., 144 ч., 1/1, Д № 8940)ЭМУб-41озошибка</v>
      </c>
      <c r="N27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Информационные системы в экономике и управлении (4 з.е., 144 ч., 1/1, Д № 8940)_ЭМУб-41оз_26.02.13_17:15</v>
      </c>
    </row>
    <row r="276" spans="1:14" ht="38.25" x14ac:dyDescent="0.2">
      <c r="A276" s="7"/>
      <c r="B276" s="8" t="s">
        <v>179</v>
      </c>
      <c r="C276" s="8" t="s">
        <v>24</v>
      </c>
      <c r="D276" s="9" t="s">
        <v>51</v>
      </c>
      <c r="E276" s="10">
        <v>4</v>
      </c>
      <c r="F276" s="11">
        <v>46063</v>
      </c>
      <c r="G276" s="10">
        <v>9311</v>
      </c>
      <c r="H276" s="12">
        <v>0.57986111111111105</v>
      </c>
      <c r="I276" s="10" t="str">
        <f>_xlfn.CONCAT(Таблица1[[#This Row],[Группа]],"_",TEXT(Таблица1[[#This Row],[Дата]],"ГГ.ММ.ДД"),"_",TEXT(Таблица1[[#This Row],[Время]],"чч:мм"))</f>
        <v>Эб-51_26.02.10_13:55</v>
      </c>
      <c r="J27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6" s="10"/>
      <c r="L276" t="str">
        <f>IFERROR(IF(SEARCH("курс",Таблица1[[#This Row],[Форма контроля]])&gt;=1,),"Ошибка")</f>
        <v>Ошибка</v>
      </c>
      <c r="M27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Информатика (3 з.е., 108 ч., 1/1, Д № 7599)Эб-51ошибка</v>
      </c>
      <c r="N27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Информатика (3 з.е., 108 ч., 1/1, Д № 7599)_Эб-51_26.02.10_13:55</v>
      </c>
    </row>
    <row r="277" spans="1:14" ht="38.25" x14ac:dyDescent="0.2">
      <c r="A277" s="7"/>
      <c r="B277" s="8" t="s">
        <v>176</v>
      </c>
      <c r="C277" s="8" t="s">
        <v>24</v>
      </c>
      <c r="D277" s="9" t="s">
        <v>53</v>
      </c>
      <c r="E277" s="10">
        <v>6</v>
      </c>
      <c r="F277" s="11">
        <v>46063</v>
      </c>
      <c r="G277" s="10">
        <v>9311</v>
      </c>
      <c r="H277" s="12">
        <v>0.57986111111111105</v>
      </c>
      <c r="I277" s="10" t="str">
        <f>_xlfn.CONCAT(Таблица1[[#This Row],[Группа]],"_",TEXT(Таблица1[[#This Row],[Дата]],"ГГ.ММ.ДД"),"_",TEXT(Таблица1[[#This Row],[Время]],"чч:мм"))</f>
        <v>Мб-51_26.02.10_13:55</v>
      </c>
      <c r="J27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7" s="10"/>
      <c r="L277" t="str">
        <f>IFERROR(IF(SEARCH("курс",Таблица1[[#This Row],[Форма контроля]])&gt;=1,),"Ошибка")</f>
        <v>Ошибка</v>
      </c>
      <c r="M27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Информатика (3 з.е., 108 ч., 1/1, Д № 7765)Мб-51ошибка</v>
      </c>
      <c r="N27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Информатика (3 з.е., 108 ч., 1/1, Д № 7765)_Мб-51_26.02.10_13:55</v>
      </c>
    </row>
    <row r="278" spans="1:14" ht="25.5" x14ac:dyDescent="0.2">
      <c r="A278" s="7"/>
      <c r="B278" s="8" t="s">
        <v>175</v>
      </c>
      <c r="C278" s="8" t="s">
        <v>16</v>
      </c>
      <c r="D278" s="9" t="s">
        <v>53</v>
      </c>
      <c r="E278" s="10">
        <v>3</v>
      </c>
      <c r="F278" s="11">
        <v>46063</v>
      </c>
      <c r="G278" s="10" t="s">
        <v>18</v>
      </c>
      <c r="H278" s="12">
        <v>0.71875</v>
      </c>
      <c r="I278" s="10" t="str">
        <f>_xlfn.CONCAT(Таблица1[[#This Row],[Группа]],"_",TEXT(Таблица1[[#This Row],[Дата]],"ГГ.ММ.ДД"),"_",TEXT(Таблица1[[#This Row],[Время]],"чч:мм"))</f>
        <v>Мб-51_26.02.10_17:15</v>
      </c>
      <c r="J27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8" s="10"/>
      <c r="L278" t="str">
        <f>IFERROR(IF(SEARCH("курс",Таблица1[[#This Row],[Форма контроля]])&gt;=1,),"Ошибка")</f>
        <v>Ошибка</v>
      </c>
      <c r="M27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Цифровые технологии самообразования (2 з.е., 72 ч., 1/1, Д № 7601)Мб-51ошибка</v>
      </c>
      <c r="N27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Цифровые технологии самообразования (2 з.е., 72 ч., 1/1, Д № 7601)_Мб-51_26.02.10_17:15</v>
      </c>
    </row>
    <row r="279" spans="1:14" ht="38.25" x14ac:dyDescent="0.2">
      <c r="A279" s="7"/>
      <c r="B279" s="8" t="s">
        <v>180</v>
      </c>
      <c r="C279" s="8" t="s">
        <v>24</v>
      </c>
      <c r="D279" s="9" t="s">
        <v>20</v>
      </c>
      <c r="E279" s="10">
        <v>6</v>
      </c>
      <c r="F279" s="11">
        <v>46066</v>
      </c>
      <c r="G279" s="10">
        <v>3410</v>
      </c>
      <c r="H279" s="12">
        <v>0.42708333333333331</v>
      </c>
      <c r="I279" s="10" t="str">
        <f>_xlfn.CONCAT(Таблица1[[#This Row],[Группа]],"_",TEXT(Таблица1[[#This Row],[Дата]],"ГГ.ММ.ДД"),"_",TEXT(Таблица1[[#This Row],[Время]],"чч:мм"))</f>
        <v>ЭЖД-51_26.02.13_10:15</v>
      </c>
      <c r="J27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79" s="10"/>
      <c r="L279" t="str">
        <f>IFERROR(IF(SEARCH("курс",Таблица1[[#This Row],[Форма контроля]])&gt;=1,),"Ошибка")</f>
        <v>Ошибка</v>
      </c>
      <c r="M27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Информатика (3 з.е., 108 ч., 1/1, Д № 7457)ЭЖД-51ошибка</v>
      </c>
      <c r="N27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Информатика (3 з.е., 108 ч., 1/1, Д № 7457)_ЭЖД-51_26.02.13_10:15</v>
      </c>
    </row>
    <row r="280" spans="1:14" ht="38.25" x14ac:dyDescent="0.2">
      <c r="A280" s="7"/>
      <c r="B280" s="8" t="s">
        <v>180</v>
      </c>
      <c r="C280" s="8" t="s">
        <v>24</v>
      </c>
      <c r="D280" s="9" t="s">
        <v>17</v>
      </c>
      <c r="E280" s="10">
        <v>2</v>
      </c>
      <c r="F280" s="11">
        <v>46066</v>
      </c>
      <c r="G280" s="10">
        <v>3410</v>
      </c>
      <c r="H280" s="12">
        <v>0.42708333333333331</v>
      </c>
      <c r="I280" s="10" t="str">
        <f>_xlfn.CONCAT(Таблица1[[#This Row],[Группа]],"_",TEXT(Таблица1[[#This Row],[Дата]],"ГГ.ММ.ДД"),"_",TEXT(Таблица1[[#This Row],[Время]],"чч:мм"))</f>
        <v>ЭЖД-52_26.02.13_10:15</v>
      </c>
      <c r="J28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0" s="10"/>
      <c r="L280" t="str">
        <f>IFERROR(IF(SEARCH("курс",Таблица1[[#This Row],[Форма контроля]])&gt;=1,),"Ошибка")</f>
        <v>Ошибка</v>
      </c>
      <c r="M28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Информатика (3 з.е., 108 ч., 1/1, Д № 7457)ЭЖД-52ошибка</v>
      </c>
      <c r="N28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Информатика (3 з.е., 108 ч., 1/1, Д № 7457)_ЭЖД-52_26.02.13_10:15</v>
      </c>
    </row>
    <row r="281" spans="1:14" ht="38.25" x14ac:dyDescent="0.2">
      <c r="A281" s="7"/>
      <c r="B281" s="8" t="s">
        <v>180</v>
      </c>
      <c r="C281" s="8" t="s">
        <v>24</v>
      </c>
      <c r="D281" s="9" t="s">
        <v>19</v>
      </c>
      <c r="E281" s="10">
        <v>18</v>
      </c>
      <c r="F281" s="11">
        <v>46066</v>
      </c>
      <c r="G281" s="10">
        <v>3410</v>
      </c>
      <c r="H281" s="12">
        <v>0.42708333333333331</v>
      </c>
      <c r="I281" s="10" t="str">
        <f>_xlfn.CONCAT(Таблица1[[#This Row],[Группа]],"_",TEXT(Таблица1[[#This Row],[Дата]],"ГГ.ММ.ДД"),"_",TEXT(Таблица1[[#This Row],[Время]],"чч:мм"))</f>
        <v>ЭЖД-53_26.02.13_10:15</v>
      </c>
      <c r="J28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1" s="10"/>
      <c r="L281" t="str">
        <f>IFERROR(IF(SEARCH("курс",Таблица1[[#This Row],[Форма контроля]])&gt;=1,),"Ошибка")</f>
        <v>Ошибка</v>
      </c>
      <c r="M28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Информатика (3 з.е., 108 ч., 1/1, Д № 7457)ЭЖД-53ошибка</v>
      </c>
      <c r="N28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Информатика (3 з.е., 108 ч., 1/1, Д № 7457)_ЭЖД-53_26.02.13_10:15</v>
      </c>
    </row>
    <row r="282" spans="1:14" x14ac:dyDescent="0.2">
      <c r="A282" s="7"/>
      <c r="B282" s="8" t="s">
        <v>181</v>
      </c>
      <c r="C282" s="8" t="s">
        <v>27</v>
      </c>
      <c r="D282" s="9" t="s">
        <v>75</v>
      </c>
      <c r="E282" s="10">
        <v>2</v>
      </c>
      <c r="F282" s="11">
        <v>46065</v>
      </c>
      <c r="G282" s="10">
        <v>9225</v>
      </c>
      <c r="H282" s="12">
        <v>0.57986111111111105</v>
      </c>
      <c r="I282" s="10" t="str">
        <f>_xlfn.CONCAT(Таблица1[[#This Row],[Группа]],"_",TEXT(Таблица1[[#This Row],[Дата]],"ГГ.ММ.ДД"),"_",TEXT(Таблица1[[#This Row],[Время]],"чч:мм"))</f>
        <v>ЭЖД-55у_26.02.12_13:55</v>
      </c>
      <c r="J28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2" s="10"/>
      <c r="L282" t="str">
        <f>IFERROR(IF(SEARCH("курс",Таблица1[[#This Row],[Форма контроля]])&gt;=1,),"Ошибка")</f>
        <v>Ошибка</v>
      </c>
      <c r="M28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Философия (2 з.е., 72 ч., 1/1, Д № 8511)ЭЖД-55уошибка</v>
      </c>
      <c r="N28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Философия (2 з.е., 72 ч., 1/1, Д № 8511)_ЭЖД-55у_26.02.12_13:55</v>
      </c>
    </row>
    <row r="283" spans="1:14" x14ac:dyDescent="0.2">
      <c r="A283" s="7"/>
      <c r="B283" s="8" t="s">
        <v>181</v>
      </c>
      <c r="C283" s="8" t="s">
        <v>27</v>
      </c>
      <c r="D283" s="9" t="s">
        <v>76</v>
      </c>
      <c r="E283" s="10">
        <v>4</v>
      </c>
      <c r="F283" s="11">
        <v>46065</v>
      </c>
      <c r="G283" s="10">
        <v>9225</v>
      </c>
      <c r="H283" s="12">
        <v>0.57986111111111105</v>
      </c>
      <c r="I283" s="10" t="str">
        <f>_xlfn.CONCAT(Таблица1[[#This Row],[Группа]],"_",TEXT(Таблица1[[#This Row],[Дата]],"ГГ.ММ.ДД"),"_",TEXT(Таблица1[[#This Row],[Время]],"чч:мм"))</f>
        <v>ЭЖД-56у_26.02.12_13:55</v>
      </c>
      <c r="J28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3" s="10"/>
      <c r="L283" t="str">
        <f>IFERROR(IF(SEARCH("курс",Таблица1[[#This Row],[Форма контроля]])&gt;=1,),"Ошибка")</f>
        <v>Ошибка</v>
      </c>
      <c r="M28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Философия (2 з.е., 72 ч., 1/1, Д № 8511)ЭЖД-56уошибка</v>
      </c>
      <c r="N28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Философия (2 з.е., 72 ч., 1/1, Д № 8511)_ЭЖД-56у_26.02.12_13:55</v>
      </c>
    </row>
    <row r="284" spans="1:14" x14ac:dyDescent="0.2">
      <c r="A284" s="7"/>
      <c r="B284" s="8" t="s">
        <v>181</v>
      </c>
      <c r="C284" s="8" t="s">
        <v>27</v>
      </c>
      <c r="D284" s="9" t="s">
        <v>77</v>
      </c>
      <c r="E284" s="10">
        <v>2</v>
      </c>
      <c r="F284" s="11">
        <v>46065</v>
      </c>
      <c r="G284" s="10">
        <v>9225</v>
      </c>
      <c r="H284" s="12">
        <v>0.57986111111111105</v>
      </c>
      <c r="I284" s="10" t="str">
        <f>_xlfn.CONCAT(Таблица1[[#This Row],[Группа]],"_",TEXT(Таблица1[[#This Row],[Дата]],"ГГ.ММ.ДД"),"_",TEXT(Таблица1[[#This Row],[Время]],"чч:мм"))</f>
        <v>ЭЖД-54у_26.02.12_13:55</v>
      </c>
      <c r="J28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4" s="10"/>
      <c r="L284" t="str">
        <f>IFERROR(IF(SEARCH("курс",Таблица1[[#This Row],[Форма контроля]])&gt;=1,),"Ошибка")</f>
        <v>Ошибка</v>
      </c>
      <c r="M28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Философия (2 з.е., 72 ч., 1/1, Д № 8511)ЭЖД-54уошибка</v>
      </c>
      <c r="N28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Философия (2 з.е., 72 ч., 1/1, Д № 8511)_ЭЖД-54у_26.02.12_13:55</v>
      </c>
    </row>
    <row r="285" spans="1:14" x14ac:dyDescent="0.2">
      <c r="A285" s="7"/>
      <c r="B285" s="8" t="s">
        <v>181</v>
      </c>
      <c r="C285" s="8" t="s">
        <v>27</v>
      </c>
      <c r="D285" s="17" t="s">
        <v>85</v>
      </c>
      <c r="E285" s="10">
        <v>5</v>
      </c>
      <c r="F285" s="11">
        <v>46065</v>
      </c>
      <c r="G285" s="10">
        <v>9108</v>
      </c>
      <c r="H285" s="12">
        <v>0.64930555555555558</v>
      </c>
      <c r="I285" s="10" t="str">
        <f>_xlfn.CONCAT(Таблица1[[#This Row],[Группа]],"_",TEXT(Таблица1[[#This Row],[Дата]],"ГГ.ММ.ДД"),"_",TEXT(Таблица1[[#This Row],[Время]],"чч:мм"))</f>
        <v xml:space="preserve"> ЭЖД-57у_26.02.12_15:35</v>
      </c>
      <c r="J28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5" s="10"/>
      <c r="L285" t="str">
        <f>IFERROR(IF(SEARCH("курс",Таблица1[[#This Row],[Форма контроля]])&gt;=1,),"Ошибка")</f>
        <v>Ошибка</v>
      </c>
      <c r="M28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Философия (2 з.е., 72 ч., 1/1, Д № 8511) ЭЖД-57уошибка</v>
      </c>
      <c r="N28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Философия (2 з.е., 72 ч., 1/1, Д № 8511)_ ЭЖД-57у_26.02.12_15:35</v>
      </c>
    </row>
    <row r="286" spans="1:14" ht="25.5" x14ac:dyDescent="0.2">
      <c r="A286" s="7"/>
      <c r="B286" s="8" t="s">
        <v>182</v>
      </c>
      <c r="C286" s="8" t="s">
        <v>16</v>
      </c>
      <c r="D286" s="9" t="s">
        <v>49</v>
      </c>
      <c r="E286" s="10">
        <v>2</v>
      </c>
      <c r="F286" s="11">
        <v>46063</v>
      </c>
      <c r="G286" s="10" t="s">
        <v>38</v>
      </c>
      <c r="H286" s="12">
        <v>0.78819444444444453</v>
      </c>
      <c r="I286" s="10" t="str">
        <f>_xlfn.CONCAT(Таблица1[[#This Row],[Группа]],"_",TEXT(Таблица1[[#This Row],[Дата]],"ГГ.ММ.ДД"),"_",TEXT(Таблица1[[#This Row],[Время]],"чч:мм"))</f>
        <v>Мб-21_26.02.10_18:55</v>
      </c>
      <c r="J28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6" s="10"/>
      <c r="L286" t="str">
        <f>IFERROR(IF(SEARCH("курс",Таблица1[[#This Row],[Форма контроля]])&gt;=1,),"Ошибка")</f>
        <v>Ошибка</v>
      </c>
      <c r="M28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России (2/4 з.е., 72/144 ч., 1/2, Д № 6788)Мб-21ошибка</v>
      </c>
      <c r="N28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России (2/4 з.е., 72/144 ч., 1/2, Д № 6788)_Мб-21_26.02.10_18:55</v>
      </c>
    </row>
    <row r="287" spans="1:14" ht="38.25" x14ac:dyDescent="0.2">
      <c r="A287" s="7"/>
      <c r="B287" s="8" t="s">
        <v>183</v>
      </c>
      <c r="C287" s="8" t="s">
        <v>24</v>
      </c>
      <c r="D287" s="9" t="s">
        <v>35</v>
      </c>
      <c r="E287" s="10">
        <v>1</v>
      </c>
      <c r="F287" s="11">
        <v>46066</v>
      </c>
      <c r="G287" s="10">
        <v>9318</v>
      </c>
      <c r="H287" s="12">
        <v>0.42708333333333331</v>
      </c>
      <c r="I287" s="10" t="str">
        <f>_xlfn.CONCAT(Таблица1[[#This Row],[Группа]],"_",TEXT(Таблица1[[#This Row],[Дата]],"ГГ.ММ.ДД"),"_",TEXT(Таблица1[[#This Row],[Время]],"чч:мм"))</f>
        <v>ЭЖД-33_26.02.13_10:15</v>
      </c>
      <c r="J28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7" s="10"/>
      <c r="L287" t="str">
        <f>IFERROR(IF(SEARCH("курс",Таблица1[[#This Row],[Форма контроля]])&gt;=1,),"Ошибка")</f>
        <v>Ошибка</v>
      </c>
      <c r="M28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Правовое обеспечение профессиональной деятельности (4 з.е., 144 ч., 1/1, Д № 4646)ЭЖД-33ошибка</v>
      </c>
      <c r="N28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Правовое обеспечение профессиональной деятельности (4 з.е., 144 ч., 1/1, Д № 4646)_ЭЖД-33_26.02.13_10:15</v>
      </c>
    </row>
    <row r="288" spans="1:14" ht="38.25" x14ac:dyDescent="0.2">
      <c r="A288" s="7"/>
      <c r="B288" s="8" t="s">
        <v>184</v>
      </c>
      <c r="C288" s="8" t="s">
        <v>24</v>
      </c>
      <c r="D288" s="9" t="s">
        <v>25</v>
      </c>
      <c r="E288" s="10">
        <v>1</v>
      </c>
      <c r="F288" s="11">
        <v>46066</v>
      </c>
      <c r="G288" s="10">
        <v>9318</v>
      </c>
      <c r="H288" s="12">
        <v>0.42708333333333331</v>
      </c>
      <c r="I288" s="10" t="str">
        <f>_xlfn.CONCAT(Таблица1[[#This Row],[Группа]],"_",TEXT(Таблица1[[#This Row],[Дата]],"ГГ.ММ.ДД"),"_",TEXT(Таблица1[[#This Row],[Время]],"чч:мм"))</f>
        <v>ЭЖД-44у_26.02.13_10:15</v>
      </c>
      <c r="J28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8" s="10"/>
      <c r="L288" t="str">
        <f>IFERROR(IF(SEARCH("курс",Таблица1[[#This Row],[Форма контроля]])&gt;=1,),"Ошибка")</f>
        <v>Ошибка</v>
      </c>
      <c r="M28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Правовое обеспечение профессиональной деятельности (2 з.е., 72 ч., 1/1, Д № 8528)ЭЖД-44уошибка</v>
      </c>
      <c r="N28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Правовое обеспечение профессиональной деятельности (2 з.е., 72 ч., 1/1, Д № 8528)_ЭЖД-44у_26.02.13_10:15</v>
      </c>
    </row>
    <row r="289" spans="1:14" ht="38.25" x14ac:dyDescent="0.2">
      <c r="A289" s="7"/>
      <c r="B289" s="8" t="s">
        <v>184</v>
      </c>
      <c r="C289" s="8" t="s">
        <v>24</v>
      </c>
      <c r="D289" s="9" t="s">
        <v>58</v>
      </c>
      <c r="E289" s="10">
        <v>1</v>
      </c>
      <c r="F289" s="11">
        <v>46066</v>
      </c>
      <c r="G289" s="10">
        <v>9318</v>
      </c>
      <c r="H289" s="12">
        <v>0.42708333333333331</v>
      </c>
      <c r="I289" s="10" t="str">
        <f>_xlfn.CONCAT(Таблица1[[#This Row],[Группа]],"_",TEXT(Таблица1[[#This Row],[Дата]],"ГГ.ММ.ДД"),"_",TEXT(Таблица1[[#This Row],[Время]],"чч:мм"))</f>
        <v>ЭЖД-45у_26.02.13_10:15</v>
      </c>
      <c r="J28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89" s="10"/>
      <c r="L289" t="str">
        <f>IFERROR(IF(SEARCH("курс",Таблица1[[#This Row],[Форма контроля]])&gt;=1,),"Ошибка")</f>
        <v>Ошибка</v>
      </c>
      <c r="M28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Правовое обеспечение профессиональной деятельности (2 з.е., 72 ч., 1/1, Д № 8528)ЭЖД-45уошибка</v>
      </c>
      <c r="N28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Правовое обеспечение профессиональной деятельности (2 з.е., 72 ч., 1/1, Д № 8528)_ЭЖД-45у_26.02.13_10:15</v>
      </c>
    </row>
    <row r="290" spans="1:14" ht="25.5" x14ac:dyDescent="0.2">
      <c r="A290" s="7"/>
      <c r="B290" s="8" t="s">
        <v>185</v>
      </c>
      <c r="C290" s="8" t="s">
        <v>16</v>
      </c>
      <c r="D290" s="9" t="s">
        <v>28</v>
      </c>
      <c r="E290" s="10">
        <v>1</v>
      </c>
      <c r="F290" s="11">
        <v>46063</v>
      </c>
      <c r="G290" s="10">
        <v>9317</v>
      </c>
      <c r="H290" s="12">
        <v>0.35416666666666669</v>
      </c>
      <c r="I290" s="10" t="str">
        <f>_xlfn.CONCAT(Таблица1[[#This Row],[Группа]],"_",TEXT(Таблица1[[#This Row],[Дата]],"ГГ.ММ.ДД"),"_",TEXT(Таблица1[[#This Row],[Время]],"чч:мм"))</f>
        <v>ЭМб-41_26.02.10_08:30</v>
      </c>
      <c r="J29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0" s="10"/>
      <c r="L290" t="str">
        <f>IFERROR(IF(SEARCH("курс",Таблица1[[#This Row],[Форма контроля]])&gt;=1,),"Ошибка")</f>
        <v>Ошибка</v>
      </c>
      <c r="M29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персоналом (3/7 з.е., 108/252 ч., 1/2, Д № 9027)ЭМб-41ошибка</v>
      </c>
      <c r="N29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персоналом (3/7 з.е., 108/252 ч., 1/2, Д № 9027)_ЭМб-41_26.02.10_08:30</v>
      </c>
    </row>
    <row r="291" spans="1:14" ht="25.5" x14ac:dyDescent="0.2">
      <c r="A291" s="7"/>
      <c r="B291" s="8" t="s">
        <v>185</v>
      </c>
      <c r="C291" s="8" t="s">
        <v>16</v>
      </c>
      <c r="D291" s="9" t="s">
        <v>92</v>
      </c>
      <c r="E291" s="10">
        <v>3</v>
      </c>
      <c r="F291" s="11">
        <v>46063</v>
      </c>
      <c r="G291" s="10">
        <v>9317</v>
      </c>
      <c r="H291" s="12">
        <v>0.35416666666666669</v>
      </c>
      <c r="I291" s="10" t="str">
        <f>_xlfn.CONCAT(Таблица1[[#This Row],[Группа]],"_",TEXT(Таблица1[[#This Row],[Дата]],"ГГ.ММ.ДД"),"_",TEXT(Таблица1[[#This Row],[Время]],"чч:мм"))</f>
        <v>УПб-41_26.02.10_08:30</v>
      </c>
      <c r="J29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1" s="10"/>
      <c r="L291" t="str">
        <f>IFERROR(IF(SEARCH("курс",Таблица1[[#This Row],[Форма контроля]])&gt;=1,),"Ошибка")</f>
        <v>Ошибка</v>
      </c>
      <c r="M29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персоналом (3/7 з.е., 108/252 ч., 1/2, Д № 9027)УПб-41ошибка</v>
      </c>
      <c r="N29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персоналом (3/7 з.е., 108/252 ч., 1/2, Д № 9027)_УПб-41_26.02.10_08:30</v>
      </c>
    </row>
    <row r="292" spans="1:14" ht="25.5" x14ac:dyDescent="0.2">
      <c r="A292" s="7"/>
      <c r="B292" s="8" t="s">
        <v>186</v>
      </c>
      <c r="C292" s="8" t="s">
        <v>16</v>
      </c>
      <c r="D292" s="9" t="s">
        <v>37</v>
      </c>
      <c r="E292" s="10">
        <v>6</v>
      </c>
      <c r="F292" s="11">
        <v>46070</v>
      </c>
      <c r="G292" s="10" t="s">
        <v>47</v>
      </c>
      <c r="H292" s="12">
        <v>0.71875</v>
      </c>
      <c r="I292" s="10" t="str">
        <f>_xlfn.CONCAT(Таблица1[[#This Row],[Группа]],"_",TEXT(Таблица1[[#This Row],[Дата]],"ГГ.ММ.ДД"),"_",TEXT(Таблица1[[#This Row],[Время]],"чч:мм"))</f>
        <v>ЭМУб-41оз_26.02.17_17:15</v>
      </c>
      <c r="J29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2" s="10"/>
      <c r="L292" t="str">
        <f>IFERROR(IF(SEARCH("курс",Таблица1[[#This Row],[Форма контроля]])&gt;=1,),"Ошибка")</f>
        <v>Ошибка</v>
      </c>
      <c r="M29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персоналом (3/7 з.е., 108/252 ч., 1/2, Д № 8971)ЭМУб-41озошибка</v>
      </c>
      <c r="N29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персоналом (3/7 з.е., 108/252 ч., 1/2, Д № 8971)_ЭМУб-41оз_26.02.17_17:15</v>
      </c>
    </row>
    <row r="293" spans="1:14" ht="25.5" x14ac:dyDescent="0.2">
      <c r="A293" s="7"/>
      <c r="B293" s="8" t="s">
        <v>187</v>
      </c>
      <c r="C293" s="8" t="s">
        <v>27</v>
      </c>
      <c r="D293" s="9" t="s">
        <v>43</v>
      </c>
      <c r="E293" s="10">
        <v>3</v>
      </c>
      <c r="F293" s="11">
        <v>46069</v>
      </c>
      <c r="G293" s="10">
        <v>9317</v>
      </c>
      <c r="H293" s="12">
        <v>0.35416666666666669</v>
      </c>
      <c r="I293" s="10" t="str">
        <f>_xlfn.CONCAT(Таблица1[[#This Row],[Группа]],"_",TEXT(Таблица1[[#This Row],[Дата]],"ГГ.ММ.ДД"),"_",TEXT(Таблица1[[#This Row],[Время]],"чч:мм"))</f>
        <v>Мб-31_26.02.16_08:30</v>
      </c>
      <c r="J29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3" s="10"/>
      <c r="L293" t="str">
        <f>IFERROR(IF(SEARCH("курс",Таблица1[[#This Row],[Форма контроля]])&gt;=1,),"Ошибка")</f>
        <v>Ошибка</v>
      </c>
      <c r="M29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персоналом (5 з.е., 180 ч., 1/1, Д № 5595)Мб-31ошибка</v>
      </c>
      <c r="N29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персоналом (5 з.е., 180 ч., 1/1, Д № 5595)_Мб-31_26.02.16_08:30</v>
      </c>
    </row>
    <row r="294" spans="1:14" ht="25.5" x14ac:dyDescent="0.2">
      <c r="A294" s="7"/>
      <c r="B294" s="8" t="s">
        <v>188</v>
      </c>
      <c r="C294" s="8" t="s">
        <v>27</v>
      </c>
      <c r="D294" s="9" t="s">
        <v>44</v>
      </c>
      <c r="E294" s="10">
        <v>4</v>
      </c>
      <c r="F294" s="11">
        <v>46069</v>
      </c>
      <c r="G294" s="10">
        <v>9317</v>
      </c>
      <c r="H294" s="12">
        <v>0.35416666666666669</v>
      </c>
      <c r="I294" s="10" t="str">
        <f>_xlfn.CONCAT(Таблица1[[#This Row],[Группа]],"_",TEXT(Таблица1[[#This Row],[Дата]],"ГГ.ММ.ДД"),"_",TEXT(Таблица1[[#This Row],[Время]],"чч:мм"))</f>
        <v>УПб-31_26.02.16_08:30</v>
      </c>
      <c r="J29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4" s="10"/>
      <c r="L294" t="str">
        <f>IFERROR(IF(SEARCH("курс",Таблица1[[#This Row],[Форма контроля]])&gt;=1,),"Ошибка")</f>
        <v>Ошибка</v>
      </c>
      <c r="M29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Технологии рекрутмента (5 з.е., 180 ч., 1/1, Д № 6036)УПб-31ошибка</v>
      </c>
      <c r="N29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Технологии рекрутмента (5 з.е., 180 ч., 1/1, Д № 6036)_УПб-31_26.02.16_08:30</v>
      </c>
    </row>
    <row r="295" spans="1:14" ht="25.5" x14ac:dyDescent="0.2">
      <c r="A295" s="7"/>
      <c r="B295" s="8" t="s">
        <v>189</v>
      </c>
      <c r="C295" s="8" t="s">
        <v>27</v>
      </c>
      <c r="D295" s="9" t="s">
        <v>81</v>
      </c>
      <c r="E295" s="10">
        <v>2</v>
      </c>
      <c r="F295" s="11">
        <v>46067</v>
      </c>
      <c r="G295" s="10" t="s">
        <v>47</v>
      </c>
      <c r="H295" s="12">
        <v>0.50694444444444442</v>
      </c>
      <c r="I295" s="10" t="str">
        <f>_xlfn.CONCAT(Таблица1[[#This Row],[Группа]],"_",TEXT(Таблица1[[#This Row],[Дата]],"ГГ.ММ.ДД"),"_",TEXT(Таблица1[[#This Row],[Время]],"чч:мм"))</f>
        <v>Мб-31оз_26.02.14_12:10</v>
      </c>
      <c r="J29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5" s="10"/>
      <c r="L295" t="str">
        <f>IFERROR(IF(SEARCH("курс",Таблица1[[#This Row],[Форма контроля]])&gt;=1,),"Ошибка")</f>
        <v>Ошибка</v>
      </c>
      <c r="M29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персоналом (5 з.е., 180 ч., 1/1, Д № 5744)Мб-31озошибка</v>
      </c>
      <c r="N29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персоналом (5 з.е., 180 ч., 1/1, Д № 5744)_Мб-31оз_26.02.14_12:10</v>
      </c>
    </row>
    <row r="296" spans="1:14" ht="25.5" x14ac:dyDescent="0.2">
      <c r="A296" s="7"/>
      <c r="B296" s="8" t="s">
        <v>190</v>
      </c>
      <c r="C296" s="8" t="s">
        <v>16</v>
      </c>
      <c r="D296" s="9" t="s">
        <v>44</v>
      </c>
      <c r="E296" s="10">
        <v>1</v>
      </c>
      <c r="F296" s="11">
        <v>46070</v>
      </c>
      <c r="G296" s="10">
        <v>9317</v>
      </c>
      <c r="H296" s="12">
        <v>0.35416666666666669</v>
      </c>
      <c r="I296" s="10" t="str">
        <f>_xlfn.CONCAT(Таблица1[[#This Row],[Группа]],"_",TEXT(Таблица1[[#This Row],[Дата]],"ГГ.ММ.ДД"),"_",TEXT(Таблица1[[#This Row],[Время]],"чч:мм"))</f>
        <v>УПб-31_26.02.17_08:30</v>
      </c>
      <c r="J29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6" s="10"/>
      <c r="L296" t="str">
        <f>IFERROR(IF(SEARCH("курс",Таблица1[[#This Row],[Форма контроля]])&gt;=1,),"Ошибка")</f>
        <v>Ошибка</v>
      </c>
      <c r="M29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Регламентация и нормирование труда (4/8 з.е., 144/288 ч., 1/2, Д № 6038)УПб-31ошибка</v>
      </c>
      <c r="N29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Регламентация и нормирование труда (4/8 з.е., 144/288 ч., 1/2, Д № 6038)_УПб-31_26.02.17_08:30</v>
      </c>
    </row>
    <row r="297" spans="1:14" ht="25.5" x14ac:dyDescent="0.2">
      <c r="A297" s="7"/>
      <c r="B297" s="8" t="s">
        <v>191</v>
      </c>
      <c r="C297" s="8" t="s">
        <v>16</v>
      </c>
      <c r="D297" s="9" t="s">
        <v>44</v>
      </c>
      <c r="E297" s="10">
        <v>1</v>
      </c>
      <c r="F297" s="11">
        <v>46070</v>
      </c>
      <c r="G297" s="10">
        <v>9317</v>
      </c>
      <c r="H297" s="12">
        <v>0.64930555555555558</v>
      </c>
      <c r="I297" s="10" t="str">
        <f>_xlfn.CONCAT(Таблица1[[#This Row],[Группа]],"_",TEXT(Таблица1[[#This Row],[Дата]],"ГГ.ММ.ДД"),"_",TEXT(Таблица1[[#This Row],[Время]],"чч:мм"))</f>
        <v>УПб-31_26.02.17_15:35</v>
      </c>
      <c r="J29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7" s="10"/>
      <c r="L297" t="str">
        <f>IFERROR(IF(SEARCH("курс",Таблица1[[#This Row],[Форма контроля]])&gt;=1,),"Ошибка")</f>
        <v>Ошибка</v>
      </c>
      <c r="M29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Кадровый консалтинг и аудит труда (4/8 з.е., 144/288 ч., 1/2, Д № 6025)УПб-31ошибка</v>
      </c>
      <c r="N29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Кадровый консалтинг и аудит труда (4/8 з.е., 144/288 ч., 1/2, Д № 6025)_УПб-31_26.02.17_15:35</v>
      </c>
    </row>
    <row r="298" spans="1:14" ht="25.5" x14ac:dyDescent="0.2">
      <c r="A298" s="7"/>
      <c r="B298" s="8" t="s">
        <v>192</v>
      </c>
      <c r="C298" s="8" t="s">
        <v>16</v>
      </c>
      <c r="D298" s="9" t="s">
        <v>44</v>
      </c>
      <c r="E298" s="10">
        <v>1</v>
      </c>
      <c r="F298" s="11">
        <v>46072</v>
      </c>
      <c r="G298" s="10">
        <v>9317</v>
      </c>
      <c r="H298" s="12">
        <v>0.50694444444444442</v>
      </c>
      <c r="I298" s="10" t="str">
        <f>_xlfn.CONCAT(Таблица1[[#This Row],[Группа]],"_",TEXT(Таблица1[[#This Row],[Дата]],"ГГ.ММ.ДД"),"_",TEXT(Таблица1[[#This Row],[Время]],"чч:мм"))</f>
        <v>УПб-31_26.02.19_12:10</v>
      </c>
      <c r="J29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8" s="10"/>
      <c r="L298" t="str">
        <f>IFERROR(IF(SEARCH("курс",Таблица1[[#This Row],[Форма контроля]])&gt;=1,),"Ошибка")</f>
        <v>Ошибка</v>
      </c>
      <c r="M29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Маркетинг персонала и рынок труда (3/8 з.е., 108/288 ч., 1/2, Д № 6024)УПб-31ошибка</v>
      </c>
      <c r="N29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Маркетинг персонала и рынок труда (3/8 з.е., 108/288 ч., 1/2, Д № 6024)_УПб-31_26.02.19_12:10</v>
      </c>
    </row>
    <row r="299" spans="1:14" ht="38.25" x14ac:dyDescent="0.2">
      <c r="A299" s="7"/>
      <c r="B299" s="8" t="s">
        <v>193</v>
      </c>
      <c r="C299" s="8" t="s">
        <v>27</v>
      </c>
      <c r="D299" s="9" t="s">
        <v>194</v>
      </c>
      <c r="E299" s="10">
        <v>5</v>
      </c>
      <c r="F299" s="11">
        <v>46065</v>
      </c>
      <c r="G299" s="10" t="s">
        <v>47</v>
      </c>
      <c r="H299" s="12">
        <v>0.71875</v>
      </c>
      <c r="I299" s="10" t="str">
        <f>_xlfn.CONCAT(Таблица1[[#This Row],[Группа]],"_",TEXT(Таблица1[[#This Row],[Дата]],"ГГ.ММ.ДД"),"_",TEXT(Таблица1[[#This Row],[Время]],"чч:мм"))</f>
        <v>УПб-31оз_26.02.12_17:15</v>
      </c>
      <c r="J29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299" s="10"/>
      <c r="L299" t="str">
        <f>IFERROR(IF(SEARCH("курс",Таблица1[[#This Row],[Форма контроля]])&gt;=1,),"Ошибка")</f>
        <v>Ошибка</v>
      </c>
      <c r="M29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деловой карьерой и подготовкой кадрового резерва (5 з.е., 180 ч., 1/1, Д № 6171)УПб-31озошибка</v>
      </c>
      <c r="N29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деловой карьерой и подготовкой кадрового резерва (5 з.е., 180 ч., 1/1, Д № 6171)_УПб-31оз_26.02.12_17:15</v>
      </c>
    </row>
    <row r="300" spans="1:14" ht="38.25" x14ac:dyDescent="0.2">
      <c r="A300" s="7"/>
      <c r="B300" s="8" t="s">
        <v>193</v>
      </c>
      <c r="C300" s="8" t="s">
        <v>57</v>
      </c>
      <c r="D300" s="9" t="s">
        <v>194</v>
      </c>
      <c r="E300" s="10">
        <v>4</v>
      </c>
      <c r="F300" s="11">
        <v>46065</v>
      </c>
      <c r="G300" s="10" t="s">
        <v>47</v>
      </c>
      <c r="H300" s="12">
        <v>0.64930555555555558</v>
      </c>
      <c r="I300" s="10" t="str">
        <f>_xlfn.CONCAT(Таблица1[[#This Row],[Группа]],"_",TEXT(Таблица1[[#This Row],[Дата]],"ГГ.ММ.ДД"),"_",TEXT(Таблица1[[#This Row],[Время]],"чч:мм"))</f>
        <v>УПб-31оз_26.02.12_15:35</v>
      </c>
      <c r="J30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0" s="10"/>
      <c r="L300">
        <f>IFERROR(IF(SEARCH("курс",Таблица1[[#This Row],[Форма контроля]])&gt;=1,),"Ошибка")</f>
        <v>0</v>
      </c>
      <c r="M30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деловой карьерой и подготовкой кадрового резерва (5 з.е., 180 ч., 1/1, Д № 6171)УПб-31оз</v>
      </c>
      <c r="N30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деловой карьерой и подготовкой кадрового резерва (5 з.е., 180 ч., 1/1, Д № 6171)_УПб-31оз_26.02.12_15:35</v>
      </c>
    </row>
    <row r="301" spans="1:14" ht="25.5" x14ac:dyDescent="0.2">
      <c r="A301" s="7"/>
      <c r="B301" s="8" t="s">
        <v>195</v>
      </c>
      <c r="C301" s="8" t="s">
        <v>27</v>
      </c>
      <c r="D301" s="9" t="s">
        <v>196</v>
      </c>
      <c r="E301" s="10">
        <v>1</v>
      </c>
      <c r="F301" s="11">
        <v>46072</v>
      </c>
      <c r="G301" s="10">
        <v>9317</v>
      </c>
      <c r="H301" s="12">
        <v>0.42708333333333331</v>
      </c>
      <c r="I301" s="10" t="str">
        <f>_xlfn.CONCAT(Таблица1[[#This Row],[Группа]],"_",TEXT(Таблица1[[#This Row],[Дата]],"ГГ.ММ.ДД"),"_",TEXT(Таблица1[[#This Row],[Время]],"чч:мм"))</f>
        <v>УПб-21_26.02.19_10:15</v>
      </c>
      <c r="J30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1" s="10"/>
      <c r="L301" t="str">
        <f>IFERROR(IF(SEARCH("курс",Таблица1[[#This Row],[Форма контроля]])&gt;=1,),"Ошибка")</f>
        <v>Ошибка</v>
      </c>
      <c r="M30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персоналом организации (6 з.е., 216 ч., 1/1, Д № 6028)УПб-21ошибка</v>
      </c>
      <c r="N30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персоналом организации (6 з.е., 216 ч., 1/1, Д № 6028)_УПб-21_26.02.19_10:15</v>
      </c>
    </row>
    <row r="302" spans="1:14" ht="38.25" x14ac:dyDescent="0.2">
      <c r="A302" s="7"/>
      <c r="B302" s="8" t="s">
        <v>197</v>
      </c>
      <c r="C302" s="8" t="s">
        <v>27</v>
      </c>
      <c r="D302" s="9" t="s">
        <v>148</v>
      </c>
      <c r="E302" s="10">
        <v>1</v>
      </c>
      <c r="F302" s="11">
        <v>46065</v>
      </c>
      <c r="G302" s="10" t="s">
        <v>47</v>
      </c>
      <c r="H302" s="12">
        <v>0.71875</v>
      </c>
      <c r="I302" s="10" t="str">
        <f>_xlfn.CONCAT(Таблица1[[#This Row],[Группа]],"_",TEXT(Таблица1[[#This Row],[Дата]],"ГГ.ММ.ДД"),"_",TEXT(Таблица1[[#This Row],[Время]],"чч:мм"))</f>
        <v>УПб-21оз_26.02.12_17:15</v>
      </c>
      <c r="J30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2" s="10"/>
      <c r="L302" t="str">
        <f>IFERROR(IF(SEARCH("курс",Таблица1[[#This Row],[Форма контроля]])&gt;=1,),"Ошибка")</f>
        <v>Ошибка</v>
      </c>
      <c r="M30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Современные методы оценки и аттестации персонала (6 з.е., 216 ч., 1/1, Д № 6176)УПб-21озошибка</v>
      </c>
      <c r="N30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Современные методы оценки и аттестации персонала (6 з.е., 216 ч., 1/1, Д № 6176)_УПб-21оз_26.02.12_17:15</v>
      </c>
    </row>
    <row r="303" spans="1:14" ht="38.25" x14ac:dyDescent="0.2">
      <c r="A303" s="7"/>
      <c r="B303" s="8" t="s">
        <v>197</v>
      </c>
      <c r="C303" s="8" t="s">
        <v>57</v>
      </c>
      <c r="D303" s="9" t="s">
        <v>148</v>
      </c>
      <c r="E303" s="10">
        <v>1</v>
      </c>
      <c r="F303" s="11">
        <v>46065</v>
      </c>
      <c r="G303" s="10" t="s">
        <v>47</v>
      </c>
      <c r="H303" s="12">
        <v>0.64930555555555558</v>
      </c>
      <c r="I303" s="10" t="str">
        <f>_xlfn.CONCAT(Таблица1[[#This Row],[Группа]],"_",TEXT(Таблица1[[#This Row],[Дата]],"ГГ.ММ.ДД"),"_",TEXT(Таблица1[[#This Row],[Время]],"чч:мм"))</f>
        <v>УПб-21оз_26.02.12_15:35</v>
      </c>
      <c r="J30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3" s="10"/>
      <c r="L303">
        <f>IFERROR(IF(SEARCH("курс",Таблица1[[#This Row],[Форма контроля]])&gt;=1,),"Ошибка")</f>
        <v>0</v>
      </c>
      <c r="M30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Современные методы оценки и аттестации персонала (6 з.е., 216 ч., 1/1, Д № 6176)УПб-21оз</v>
      </c>
      <c r="N30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Современные методы оценки и аттестации персонала (6 з.е., 216 ч., 1/1, Д № 6176)_УПб-21оз_26.02.12_15:35</v>
      </c>
    </row>
    <row r="304" spans="1:14" ht="25.5" x14ac:dyDescent="0.2">
      <c r="A304" s="7"/>
      <c r="B304" s="8" t="s">
        <v>165</v>
      </c>
      <c r="C304" s="8" t="s">
        <v>57</v>
      </c>
      <c r="D304" s="9" t="s">
        <v>25</v>
      </c>
      <c r="E304" s="10">
        <v>7</v>
      </c>
      <c r="F304" s="11">
        <v>46064</v>
      </c>
      <c r="G304" s="10">
        <v>9321</v>
      </c>
      <c r="H304" s="12">
        <v>0.57986111111111105</v>
      </c>
      <c r="I304" s="10" t="str">
        <f>_xlfn.CONCAT(Таблица1[[#This Row],[Группа]],"_",TEXT(Таблица1[[#This Row],[Дата]],"ГГ.ММ.ДД"),"_",TEXT(Таблица1[[#This Row],[Время]],"чч:мм"))</f>
        <v>ЭЖД-44у_26.02.11_13:55</v>
      </c>
      <c r="J30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4" s="10"/>
      <c r="L304">
        <f>IFERROR(IF(SEARCH("курс",Таблица1[[#This Row],[Форма контроля]])&gt;=1,),"Ошибка")</f>
        <v>0</v>
      </c>
      <c r="M30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8597)ЭЖД-44у</v>
      </c>
      <c r="N30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8597)_ЭЖД-44у_26.02.11_13:55</v>
      </c>
    </row>
    <row r="305" spans="1:14" ht="38.25" x14ac:dyDescent="0.2">
      <c r="A305" s="7"/>
      <c r="B305" s="8" t="s">
        <v>198</v>
      </c>
      <c r="C305" s="8" t="s">
        <v>24</v>
      </c>
      <c r="D305" s="9" t="s">
        <v>46</v>
      </c>
      <c r="E305" s="10">
        <v>2</v>
      </c>
      <c r="F305" s="11">
        <v>46065</v>
      </c>
      <c r="G305" s="10" t="s">
        <v>169</v>
      </c>
      <c r="H305" s="12">
        <v>0.78819444444444453</v>
      </c>
      <c r="I305" s="10" t="str">
        <f>_xlfn.CONCAT(Таблица1[[#This Row],[Группа]],"_",TEXT(Таблица1[[#This Row],[Дата]],"ГГ.ММ.ДД"),"_",TEXT(Таблица1[[#This Row],[Время]],"чч:мм"))</f>
        <v>ТТПм-51_26.02.12_18:55</v>
      </c>
      <c r="J30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5" s="10"/>
      <c r="L305" t="str">
        <f>IFERROR(IF(SEARCH("курс",Таблица1[[#This Row],[Форма контроля]])&gt;=1,),"Ошибка")</f>
        <v>Ошибка</v>
      </c>
      <c r="M30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Учебная практика (ознакомительная практика) (3 з.е., 2 нед., 108 ч., 1/1, УП № 1098)ТТПм-51ошибка</v>
      </c>
      <c r="N30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Учебная практика (ознакомительная практика) (3 з.е., 2 нед., 108 ч., 1/1, УП № 1098)_ТТПм-51_26.02.12_18:55</v>
      </c>
    </row>
    <row r="306" spans="1:14" ht="25.5" x14ac:dyDescent="0.2">
      <c r="A306" s="7"/>
      <c r="B306" s="8" t="s">
        <v>167</v>
      </c>
      <c r="C306" s="8" t="s">
        <v>57</v>
      </c>
      <c r="D306" s="9" t="s">
        <v>34</v>
      </c>
      <c r="E306" s="16" t="s">
        <v>67</v>
      </c>
      <c r="F306" s="11">
        <v>46064</v>
      </c>
      <c r="G306" s="10">
        <v>9321</v>
      </c>
      <c r="H306" s="12">
        <v>0.57986111111111105</v>
      </c>
      <c r="I306" s="10" t="str">
        <f>_xlfn.CONCAT(Таблица1[[#This Row],[Группа]],"_",TEXT(Таблица1[[#This Row],[Дата]],"ГГ.ММ.ДД"),"_",TEXT(Таблица1[[#This Row],[Время]],"чч:мм"))</f>
        <v>ЭЖД-31_26.02.11_13:55</v>
      </c>
      <c r="J30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6" s="10"/>
      <c r="L306">
        <f>IFERROR(IF(SEARCH("курс",Таблица1[[#This Row],[Форма контроля]])&gt;=1,),"Ошибка")</f>
        <v>0</v>
      </c>
      <c r="M30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Транспортно-грузовые системы (5 з.е., 180 ч., 1/1, Д № 8109)ЭЖД-31</v>
      </c>
      <c r="N30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Транспортно-грузовые системы (5 з.е., 180 ч., 1/1, Д № 8109)_ЭЖД-31_26.02.11_13:55</v>
      </c>
    </row>
    <row r="307" spans="1:14" ht="25.5" x14ac:dyDescent="0.2">
      <c r="A307" s="7"/>
      <c r="B307" s="8" t="s">
        <v>199</v>
      </c>
      <c r="C307" s="8" t="s">
        <v>27</v>
      </c>
      <c r="D307" s="9" t="s">
        <v>37</v>
      </c>
      <c r="E307" s="10">
        <v>6</v>
      </c>
      <c r="F307" s="11">
        <v>46069</v>
      </c>
      <c r="G307" s="10" t="s">
        <v>169</v>
      </c>
      <c r="H307" s="12">
        <v>0.78819444444444453</v>
      </c>
      <c r="I307" s="10" t="str">
        <f>_xlfn.CONCAT(Таблица1[[#This Row],[Группа]],"_",TEXT(Таблица1[[#This Row],[Дата]],"ГГ.ММ.ДД"),"_",TEXT(Таблица1[[#This Row],[Время]],"чч:мм"))</f>
        <v>ЭМУб-41оз_26.02.16_18:55</v>
      </c>
      <c r="J30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7" s="10"/>
      <c r="L307" t="str">
        <f>IFERROR(IF(SEARCH("курс",Таблица1[[#This Row],[Форма контроля]])&gt;=1,),"Ошибка")</f>
        <v>Ошибка</v>
      </c>
      <c r="M30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Безопасность жизнедеятельности (4 з.е., 144 ч., 1/1, Д № 8621)ЭМУб-41озошибка</v>
      </c>
      <c r="N30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Безопасность жизнедеятельности (4 з.е., 144 ч., 1/1, Д № 8621)_ЭМУб-41оз_26.02.16_18:55</v>
      </c>
    </row>
    <row r="308" spans="1:14" ht="25.5" x14ac:dyDescent="0.2">
      <c r="A308" s="7"/>
      <c r="B308" s="8" t="s">
        <v>61</v>
      </c>
      <c r="C308" s="8" t="s">
        <v>57</v>
      </c>
      <c r="D308" s="9" t="s">
        <v>35</v>
      </c>
      <c r="E308" s="10">
        <v>17</v>
      </c>
      <c r="F308" s="11">
        <v>46064</v>
      </c>
      <c r="G308" s="10">
        <v>9324</v>
      </c>
      <c r="H308" s="12">
        <v>0.57986111111111105</v>
      </c>
      <c r="I308" s="10" t="str">
        <f>_xlfn.CONCAT(Таблица1[[#This Row],[Группа]],"_",TEXT(Таблица1[[#This Row],[Дата]],"ГГ.ММ.ДД"),"_",TEXT(Таблица1[[#This Row],[Время]],"чч:мм"))</f>
        <v>ЭЖД-33_26.02.11_13:55</v>
      </c>
      <c r="J30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8" s="10"/>
      <c r="L308">
        <f>IFERROR(IF(SEARCH("курс",Таблица1[[#This Row],[Форма контроля]])&gt;=1,),"Ошибка")</f>
        <v>0</v>
      </c>
      <c r="M30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(4/13 з.е., 144/468 ч., 1/3, Д № 4795)ЭЖД-33</v>
      </c>
      <c r="N30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(4/13 з.е., 144/468 ч., 1/3, Д № 4795)_ЭЖД-33_26.02.11_13:55</v>
      </c>
    </row>
    <row r="309" spans="1:14" ht="38.25" x14ac:dyDescent="0.2">
      <c r="A309" s="7"/>
      <c r="B309" s="8" t="s">
        <v>23</v>
      </c>
      <c r="C309" s="8" t="s">
        <v>24</v>
      </c>
      <c r="D309" s="9" t="s">
        <v>59</v>
      </c>
      <c r="E309" s="10">
        <v>13</v>
      </c>
      <c r="F309" s="11">
        <v>46071</v>
      </c>
      <c r="G309" s="10">
        <v>9324</v>
      </c>
      <c r="H309" s="12">
        <v>0.64930555555555558</v>
      </c>
      <c r="I309" s="10" t="str">
        <f>_xlfn.CONCAT(Таблица1[[#This Row],[Группа]],"_",TEXT(Таблица1[[#This Row],[Дата]],"ГГ.ММ.ДД"),"_",TEXT(Таблица1[[#This Row],[Время]],"чч:мм"))</f>
        <v>ЭЖД-46у_26.02.18_15:35</v>
      </c>
      <c r="J30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09" s="10"/>
      <c r="L309" t="str">
        <f>IFERROR(IF(SEARCH("курс",Таблица1[[#This Row],[Форма контроля]])&gt;=1,),"Ошибка")</f>
        <v>Ошибка</v>
      </c>
      <c r="M30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(2/7 з.е., 72/252 ч., 2/3, Д № 8598)ЭЖД-46уошибка</v>
      </c>
      <c r="N30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(2/7 з.е., 72/252 ч., 2/3, Д № 8598)_ЭЖД-46у_26.02.18_15:35</v>
      </c>
    </row>
    <row r="310" spans="1:14" ht="25.5" x14ac:dyDescent="0.2">
      <c r="A310" s="7"/>
      <c r="B310" s="8" t="s">
        <v>23</v>
      </c>
      <c r="C310" s="8" t="s">
        <v>63</v>
      </c>
      <c r="D310" s="9" t="s">
        <v>59</v>
      </c>
      <c r="E310" s="10">
        <v>13</v>
      </c>
      <c r="F310" s="11">
        <v>46071</v>
      </c>
      <c r="G310" s="10">
        <v>9324</v>
      </c>
      <c r="H310" s="12">
        <v>0.57986111111111105</v>
      </c>
      <c r="I310" s="10" t="str">
        <f>_xlfn.CONCAT(Таблица1[[#This Row],[Группа]],"_",TEXT(Таблица1[[#This Row],[Дата]],"ГГ.ММ.ДД"),"_",TEXT(Таблица1[[#This Row],[Время]],"чч:мм"))</f>
        <v>ЭЖД-46у_26.02.18_13:55</v>
      </c>
      <c r="J31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0" s="10"/>
      <c r="L310">
        <f>IFERROR(IF(SEARCH("курс",Таблица1[[#This Row],[Форма контроля]])&gt;=1,),"Ошибка")</f>
        <v>0</v>
      </c>
      <c r="M31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(2/7 з.е., 72/252 ч., 2/3, Д № 8598)ЭЖД-46у</v>
      </c>
      <c r="N31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(2/7 з.е., 72/252 ч., 2/3, Д № 8598)_ЭЖД-46у_26.02.18_13:55</v>
      </c>
    </row>
    <row r="311" spans="1:14" ht="38.25" x14ac:dyDescent="0.2">
      <c r="A311" s="7"/>
      <c r="B311" s="8" t="s">
        <v>200</v>
      </c>
      <c r="C311" s="8" t="s">
        <v>24</v>
      </c>
      <c r="D311" s="9" t="s">
        <v>46</v>
      </c>
      <c r="E311" s="10">
        <v>7</v>
      </c>
      <c r="F311" s="11">
        <v>46065</v>
      </c>
      <c r="G311" s="10">
        <v>9324</v>
      </c>
      <c r="H311" s="12">
        <v>0.71875</v>
      </c>
      <c r="I311" s="10" t="str">
        <f>_xlfn.CONCAT(Таблица1[[#This Row],[Группа]],"_",TEXT(Таблица1[[#This Row],[Дата]],"ГГ.ММ.ДД"),"_",TEXT(Таблица1[[#This Row],[Время]],"чч:мм"))</f>
        <v>ТТПм-51_26.02.12_17:15</v>
      </c>
      <c r="J31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1" s="10"/>
      <c r="L311" t="str">
        <f>IFERROR(IF(SEARCH("курс",Таблица1[[#This Row],[Форма контроля]])&gt;=1,),"Ошибка")</f>
        <v>Ошибка</v>
      </c>
      <c r="M31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Правовое обеспечение транспортных процессов (3 з.е., 108 ч., 1/1, Д № 7884)ТТПм-51ошибка</v>
      </c>
      <c r="N31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Правовое обеспечение транспортных процессов (3 з.е., 108 ч., 1/1, Д № 7884)_ТТПм-51_26.02.12_17:15</v>
      </c>
    </row>
    <row r="312" spans="1:14" ht="25.5" x14ac:dyDescent="0.2">
      <c r="A312" s="7"/>
      <c r="B312" s="8" t="s">
        <v>64</v>
      </c>
      <c r="C312" s="8" t="s">
        <v>27</v>
      </c>
      <c r="D312" s="9" t="s">
        <v>65</v>
      </c>
      <c r="E312" s="10">
        <v>16</v>
      </c>
      <c r="F312" s="11">
        <v>46073</v>
      </c>
      <c r="G312" s="10">
        <v>9324</v>
      </c>
      <c r="H312" s="12">
        <v>0.50694444444444442</v>
      </c>
      <c r="I312" s="10" t="str">
        <f>_xlfn.CONCAT(Таблица1[[#This Row],[Группа]],"_",TEXT(Таблица1[[#This Row],[Дата]],"ГГ.ММ.ДД"),"_",TEXT(Таблица1[[#This Row],[Время]],"чч:мм"))</f>
        <v>ЭЖД-21_26.02.20_12:10</v>
      </c>
      <c r="J31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2" s="10"/>
      <c r="L312" t="str">
        <f>IFERROR(IF(SEARCH("курс",Таблица1[[#This Row],[Форма контроля]])&gt;=1,),"Ошибка")</f>
        <v>Ошибка</v>
      </c>
      <c r="M31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(5/13 з.е., 180/468 ч., 3/3, Д № 4795)ЭЖД-21ошибка</v>
      </c>
      <c r="N31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(5/13 з.е., 180/468 ч., 3/3, Д № 4795)_ЭЖД-21_26.02.20_12:10</v>
      </c>
    </row>
    <row r="313" spans="1:14" ht="25.5" x14ac:dyDescent="0.2">
      <c r="A313" s="7"/>
      <c r="B313" s="8" t="s">
        <v>64</v>
      </c>
      <c r="C313" s="8" t="s">
        <v>27</v>
      </c>
      <c r="D313" s="9" t="s">
        <v>71</v>
      </c>
      <c r="E313" s="10">
        <v>12</v>
      </c>
      <c r="F313" s="11">
        <v>46073</v>
      </c>
      <c r="G313" s="10">
        <v>9324</v>
      </c>
      <c r="H313" s="12">
        <v>0.64930555555555558</v>
      </c>
      <c r="I313" s="10" t="str">
        <f>_xlfn.CONCAT(Таблица1[[#This Row],[Группа]],"_",TEXT(Таблица1[[#This Row],[Дата]],"ГГ.ММ.ДД"),"_",TEXT(Таблица1[[#This Row],[Время]],"чч:мм"))</f>
        <v>ЭЖД-22_26.02.20_15:35</v>
      </c>
      <c r="J31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3" s="10"/>
      <c r="L313" t="str">
        <f>IFERROR(IF(SEARCH("курс",Таблица1[[#This Row],[Форма контроля]])&gt;=1,),"Ошибка")</f>
        <v>Ошибка</v>
      </c>
      <c r="M31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(5/13 з.е., 180/468 ч., 3/3, Д № 4795)ЭЖД-22ошибка</v>
      </c>
      <c r="N31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(5/13 з.е., 180/468 ч., 3/3, Д № 4795)_ЭЖД-22_26.02.20_15:35</v>
      </c>
    </row>
    <row r="314" spans="1:14" ht="25.5" x14ac:dyDescent="0.2">
      <c r="A314" s="7"/>
      <c r="B314" s="8" t="s">
        <v>64</v>
      </c>
      <c r="C314" s="8" t="s">
        <v>27</v>
      </c>
      <c r="D314" s="9" t="s">
        <v>72</v>
      </c>
      <c r="E314" s="10">
        <v>13</v>
      </c>
      <c r="F314" s="11">
        <v>46073</v>
      </c>
      <c r="G314" s="10">
        <v>9324</v>
      </c>
      <c r="H314" s="12">
        <v>0.64930555555555558</v>
      </c>
      <c r="I314" s="10" t="str">
        <f>_xlfn.CONCAT(Таблица1[[#This Row],[Группа]],"_",TEXT(Таблица1[[#This Row],[Дата]],"ГГ.ММ.ДД"),"_",TEXT(Таблица1[[#This Row],[Время]],"чч:мм"))</f>
        <v>ЭЖД-23_26.02.20_15:35</v>
      </c>
      <c r="J31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4" s="10"/>
      <c r="L314" t="str">
        <f>IFERROR(IF(SEARCH("курс",Таблица1[[#This Row],[Форма контроля]])&gt;=1,),"Ошибка")</f>
        <v>Ошибка</v>
      </c>
      <c r="M31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Железнодорожные станции и узлы (5/13 з.е., 180/468 ч., 3/3, Д № 4795)ЭЖД-23ошибка</v>
      </c>
      <c r="N31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Железнодорожные станции и узлы (5/13 з.е., 180/468 ч., 3/3, Д № 4795)_ЭЖД-23_26.02.20_15:35</v>
      </c>
    </row>
    <row r="315" spans="1:14" ht="38.25" x14ac:dyDescent="0.2">
      <c r="A315" s="7"/>
      <c r="B315" s="8" t="s">
        <v>201</v>
      </c>
      <c r="C315" s="8" t="s">
        <v>24</v>
      </c>
      <c r="D315" s="9" t="s">
        <v>43</v>
      </c>
      <c r="E315" s="10">
        <v>11</v>
      </c>
      <c r="F315" s="11">
        <v>46070</v>
      </c>
      <c r="G315" s="10">
        <v>9211</v>
      </c>
      <c r="H315" s="12">
        <v>0.57986111111111105</v>
      </c>
      <c r="I315" s="10" t="str">
        <f>_xlfn.CONCAT(Таблица1[[#This Row],[Группа]],"_",TEXT(Таблица1[[#This Row],[Дата]],"ГГ.ММ.ДД"),"_",TEXT(Таблица1[[#This Row],[Время]],"чч:мм"))</f>
        <v>Мб-31_26.02.17_13:55</v>
      </c>
      <c r="J31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5" s="10"/>
      <c r="L315" t="str">
        <f>IFERROR(IF(SEARCH("курс",Таблица1[[#This Row],[Форма контроля]])&gt;=1,),"Ошибка")</f>
        <v>Ошибка</v>
      </c>
      <c r="M31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логистики и управления цепями поставок (4/9 з.е., 144/324 ч., 1/2, Д № 5817)Мб-31ошибка</v>
      </c>
      <c r="N31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логистики и управления цепями поставок (4/9 з.е., 144/324 ч., 1/2, Д № 5817)_Мб-31_26.02.17_13:55</v>
      </c>
    </row>
    <row r="316" spans="1:14" ht="38.25" x14ac:dyDescent="0.2">
      <c r="A316" s="7"/>
      <c r="B316" s="8" t="s">
        <v>202</v>
      </c>
      <c r="C316" s="8" t="s">
        <v>24</v>
      </c>
      <c r="D316" s="9" t="s">
        <v>81</v>
      </c>
      <c r="E316" s="10">
        <v>9</v>
      </c>
      <c r="F316" s="11">
        <v>46070</v>
      </c>
      <c r="G316" s="10" t="s">
        <v>47</v>
      </c>
      <c r="H316" s="12">
        <v>0.71875</v>
      </c>
      <c r="I316" s="10" t="str">
        <f>_xlfn.CONCAT(Таблица1[[#This Row],[Группа]],"_",TEXT(Таблица1[[#This Row],[Дата]],"ГГ.ММ.ДД"),"_",TEXT(Таблица1[[#This Row],[Время]],"чч:мм"))</f>
        <v>Мб-31оз_26.02.17_17:15</v>
      </c>
      <c r="J31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6" s="10"/>
      <c r="L316" t="str">
        <f>IFERROR(IF(SEARCH("курс",Таблица1[[#This Row],[Форма контроля]])&gt;=1,),"Ошибка")</f>
        <v>Ошибка</v>
      </c>
      <c r="M31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Основы логистики и управления цепями поставок (4/9 з.е., 144/324 ч., 1/2, Д № 5909)Мб-31озошибка</v>
      </c>
      <c r="N31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Основы логистики и управления цепями поставок (4/9 з.е., 144/324 ч., 1/2, Д № 5909)_Мб-31оз_26.02.17_17:15</v>
      </c>
    </row>
    <row r="317" spans="1:14" ht="38.25" x14ac:dyDescent="0.2">
      <c r="A317" s="7"/>
      <c r="B317" s="8" t="s">
        <v>203</v>
      </c>
      <c r="C317" s="8" t="s">
        <v>24</v>
      </c>
      <c r="D317" s="9" t="s">
        <v>49</v>
      </c>
      <c r="E317" s="10">
        <v>4</v>
      </c>
      <c r="F317" s="11">
        <v>46070</v>
      </c>
      <c r="G317" s="10">
        <v>9211</v>
      </c>
      <c r="H317" s="12">
        <v>0.57986111111111105</v>
      </c>
      <c r="I317" s="10" t="str">
        <f>_xlfn.CONCAT(Таблица1[[#This Row],[Группа]],"_",TEXT(Таблица1[[#This Row],[Дата]],"ГГ.ММ.ДД"),"_",TEXT(Таблица1[[#This Row],[Время]],"чч:мм"))</f>
        <v>Мб-21_26.02.17_13:55</v>
      </c>
      <c r="J31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7" s="10"/>
      <c r="L317" t="str">
        <f>IFERROR(IF(SEARCH("курс",Таблица1[[#This Row],[Форма контроля]])&gt;=1,),"Ошибка")</f>
        <v>Ошибка</v>
      </c>
      <c r="M31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Логистика терминально-складских комплексов (4 з.е., 144 ч., 1/1, Д № 5822)Мб-21ошибка</v>
      </c>
      <c r="N31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Логистика терминально-складских комплексов (4 з.е., 144 ч., 1/1, Д № 5822)_Мб-21_26.02.17_13:55</v>
      </c>
    </row>
    <row r="318" spans="1:14" ht="51" x14ac:dyDescent="0.2">
      <c r="A318" s="7"/>
      <c r="B318" s="8" t="s">
        <v>204</v>
      </c>
      <c r="C318" s="8" t="s">
        <v>27</v>
      </c>
      <c r="D318" s="9" t="s">
        <v>49</v>
      </c>
      <c r="E318" s="10">
        <v>5</v>
      </c>
      <c r="F318" s="11">
        <v>46070</v>
      </c>
      <c r="G318" s="10">
        <v>9211</v>
      </c>
      <c r="H318" s="12">
        <v>0.64930555555555558</v>
      </c>
      <c r="I318" s="10" t="str">
        <f>_xlfn.CONCAT(Таблица1[[#This Row],[Группа]],"_",TEXT(Таблица1[[#This Row],[Дата]],"ГГ.ММ.ДД"),"_",TEXT(Таблица1[[#This Row],[Время]],"чч:мм"))</f>
        <v>Мб-21_26.02.17_15:35</v>
      </c>
      <c r="J31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8" s="10"/>
      <c r="L318" t="str">
        <f>IFERROR(IF(SEARCH("курс",Таблица1[[#This Row],[Форма контроля]])&gt;=1,),"Ошибка")</f>
        <v>Ошибка</v>
      </c>
      <c r="M31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Логистика снабжения и управления запасами предприятий железнодорожного транспорта (4/9 з.е., 144/324 ч., 2/2, Д № 5820)Мб-21ошибка</v>
      </c>
      <c r="N31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Логистика снабжения и управления запасами предприятий железнодорожного транспорта (4/9 з.е., 144/324 ч., 2/2, Д № 5820)_Мб-21_26.02.17_15:35</v>
      </c>
    </row>
    <row r="319" spans="1:14" ht="51" x14ac:dyDescent="0.2">
      <c r="A319" s="7"/>
      <c r="B319" s="8" t="s">
        <v>205</v>
      </c>
      <c r="C319" s="8" t="s">
        <v>27</v>
      </c>
      <c r="D319" s="9" t="s">
        <v>120</v>
      </c>
      <c r="E319" s="10">
        <v>6</v>
      </c>
      <c r="F319" s="11">
        <v>46070</v>
      </c>
      <c r="G319" s="10" t="s">
        <v>47</v>
      </c>
      <c r="H319" s="12">
        <v>0.71875</v>
      </c>
      <c r="I319" s="10" t="str">
        <f>_xlfn.CONCAT(Таблица1[[#This Row],[Группа]],"_",TEXT(Таблица1[[#This Row],[Дата]],"ГГ.ММ.ДД"),"_",TEXT(Таблица1[[#This Row],[Время]],"чч:мм"))</f>
        <v>Мб-21оз_26.02.17_17:15</v>
      </c>
      <c r="J31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19" s="10"/>
      <c r="L319" t="str">
        <f>IFERROR(IF(SEARCH("курс",Таблица1[[#This Row],[Форма контроля]])&gt;=1,),"Ошибка")</f>
        <v>Ошибка</v>
      </c>
      <c r="M31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Логистика снабжения и управления запасами предприятий железнодорожного транспорта (4/9 з.е., 144/324 ч., 2/2, Д № 5912)Мб-21озошибка</v>
      </c>
      <c r="N31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Логистика снабжения и управления запасами предприятий железнодорожного транспорта (4/9 з.е., 144/324 ч., 2/2, Д № 5912)_Мб-21оз_26.02.17_17:15</v>
      </c>
    </row>
    <row r="320" spans="1:14" ht="25.5" x14ac:dyDescent="0.2">
      <c r="A320" s="7"/>
      <c r="B320" s="8" t="s">
        <v>206</v>
      </c>
      <c r="C320" s="8" t="s">
        <v>16</v>
      </c>
      <c r="D320" s="9" t="s">
        <v>75</v>
      </c>
      <c r="E320" s="10">
        <v>1</v>
      </c>
      <c r="F320" s="11">
        <v>46062</v>
      </c>
      <c r="G320" s="10">
        <v>9419</v>
      </c>
      <c r="H320" s="12">
        <v>0.64930555555555558</v>
      </c>
      <c r="I320" s="10" t="str">
        <f>_xlfn.CONCAT(Таблица1[[#This Row],[Группа]],"_",TEXT(Таблица1[[#This Row],[Дата]],"ГГ.ММ.ДД"),"_",TEXT(Таблица1[[#This Row],[Время]],"чч:мм"))</f>
        <v>ЭЖД-55у_26.02.09_15:35</v>
      </c>
      <c r="J32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0" s="10"/>
      <c r="L320" t="str">
        <f>IFERROR(IF(SEARCH("курс",Таблица1[[#This Row],[Форма контроля]])&gt;=1,),"Ошибка")</f>
        <v>Ошибка</v>
      </c>
      <c r="M32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Общий курс железных дорог (3 з.е., 108 ч., 1/1, Д № 8045)ЭЖД-55уошибка</v>
      </c>
      <c r="N32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Общий курс железных дорог (3 з.е., 108 ч., 1/1, Д № 8045)_ЭЖД-55у_26.02.09_15:35</v>
      </c>
    </row>
    <row r="321" spans="1:14" ht="25.5" x14ac:dyDescent="0.2">
      <c r="A321" s="7"/>
      <c r="B321" s="8" t="s">
        <v>206</v>
      </c>
      <c r="C321" s="8" t="s">
        <v>16</v>
      </c>
      <c r="D321" s="9" t="s">
        <v>77</v>
      </c>
      <c r="E321" s="10">
        <v>1</v>
      </c>
      <c r="F321" s="11">
        <v>46062</v>
      </c>
      <c r="G321" s="10">
        <v>9419</v>
      </c>
      <c r="H321" s="12">
        <v>0.64930555555555558</v>
      </c>
      <c r="I321" s="10" t="str">
        <f>_xlfn.CONCAT(Таблица1[[#This Row],[Группа]],"_",TEXT(Таблица1[[#This Row],[Дата]],"ГГ.ММ.ДД"),"_",TEXT(Таблица1[[#This Row],[Время]],"чч:мм"))</f>
        <v>ЭЖД-54у_26.02.09_15:35</v>
      </c>
      <c r="J32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1" s="10"/>
      <c r="L321" t="str">
        <f>IFERROR(IF(SEARCH("курс",Таблица1[[#This Row],[Форма контроля]])&gt;=1,),"Ошибка")</f>
        <v>Ошибка</v>
      </c>
      <c r="M32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Общий курс железных дорог (3 з.е., 108 ч., 1/1, Д № 8045)ЭЖД-54уошибка</v>
      </c>
      <c r="N32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Общий курс железных дорог (3 з.е., 108 ч., 1/1, Д № 8045)_ЭЖД-54у_26.02.09_15:35</v>
      </c>
    </row>
    <row r="322" spans="1:14" x14ac:dyDescent="0.2">
      <c r="A322" s="7"/>
      <c r="B322" s="8" t="s">
        <v>207</v>
      </c>
      <c r="C322" s="8" t="s">
        <v>27</v>
      </c>
      <c r="D322" s="9" t="s">
        <v>28</v>
      </c>
      <c r="E322" s="10">
        <v>4</v>
      </c>
      <c r="F322" s="11">
        <v>46062</v>
      </c>
      <c r="G322" s="10">
        <v>9206</v>
      </c>
      <c r="H322" s="12">
        <v>0.57986111111111105</v>
      </c>
      <c r="I322" s="10" t="str">
        <f>_xlfn.CONCAT(Таблица1[[#This Row],[Группа]],"_",TEXT(Таблица1[[#This Row],[Дата]],"ГГ.ММ.ДД"),"_",TEXT(Таблица1[[#This Row],[Время]],"чч:мм"))</f>
        <v>ЭМб-41_26.02.09_13:55</v>
      </c>
      <c r="J32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2" s="10"/>
      <c r="L322" t="str">
        <f>IFERROR(IF(SEARCH("курс",Таблица1[[#This Row],[Форма контроля]])&gt;=1,),"Ошибка")</f>
        <v>Ошибка</v>
      </c>
      <c r="M32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Финансы (4 з.е., 144 ч., 1/1, Д № 9023)ЭМб-41ошибка</v>
      </c>
      <c r="N32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Финансы (4 з.е., 144 ч., 1/1, Д № 9023)_ЭМб-41_26.02.09_13:55</v>
      </c>
    </row>
    <row r="323" spans="1:14" ht="38.25" x14ac:dyDescent="0.2">
      <c r="A323" s="7"/>
      <c r="B323" s="8" t="s">
        <v>208</v>
      </c>
      <c r="C323" s="8" t="s">
        <v>27</v>
      </c>
      <c r="D323" s="9" t="s">
        <v>42</v>
      </c>
      <c r="E323" s="10">
        <v>1</v>
      </c>
      <c r="F323" s="11">
        <v>46065</v>
      </c>
      <c r="G323" s="10">
        <v>9206</v>
      </c>
      <c r="H323" s="12">
        <v>0.57986111111111105</v>
      </c>
      <c r="I323" s="10" t="str">
        <f>_xlfn.CONCAT(Таблица1[[#This Row],[Группа]],"_",TEXT(Таблица1[[#This Row],[Дата]],"ГГ.ММ.ДД"),"_",TEXT(Таблица1[[#This Row],[Время]],"чч:мм"))</f>
        <v>Эб-31_26.02.12_13:55</v>
      </c>
      <c r="J32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3" s="10"/>
      <c r="L323" t="str">
        <f>IFERROR(IF(SEARCH("курс",Таблица1[[#This Row],[Форма контроля]])&gt;=1,),"Ошибка")</f>
        <v>Ошибка</v>
      </c>
      <c r="M32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Экономический анализ хозяйственной деятельности организации (6/10 з.е., 216/360 ч., 2/2, Д № 5604)Эб-31ошибка</v>
      </c>
      <c r="N32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Экономический анализ хозяйственной деятельности организации (6/10 з.е., 216/360 ч., 2/2, Д № 5604)_Эб-31_26.02.12_13:55</v>
      </c>
    </row>
    <row r="324" spans="1:14" ht="38.25" x14ac:dyDescent="0.2">
      <c r="A324" s="7"/>
      <c r="B324" s="8" t="s">
        <v>208</v>
      </c>
      <c r="C324" s="8" t="s">
        <v>57</v>
      </c>
      <c r="D324" s="9" t="s">
        <v>42</v>
      </c>
      <c r="E324" s="10">
        <v>1</v>
      </c>
      <c r="F324" s="11">
        <v>46062</v>
      </c>
      <c r="G324" s="10">
        <v>9206</v>
      </c>
      <c r="H324" s="12">
        <v>0.57986111111111105</v>
      </c>
      <c r="I324" s="10" t="str">
        <f>_xlfn.CONCAT(Таблица1[[#This Row],[Группа]],"_",TEXT(Таблица1[[#This Row],[Дата]],"ГГ.ММ.ДД"),"_",TEXT(Таблица1[[#This Row],[Время]],"чч:мм"))</f>
        <v>Эб-31_26.02.09_13:55</v>
      </c>
      <c r="J32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4" s="10"/>
      <c r="L324">
        <f>IFERROR(IF(SEARCH("курс",Таблица1[[#This Row],[Форма контроля]])&gt;=1,),"Ошибка")</f>
        <v>0</v>
      </c>
      <c r="M32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Экономический анализ хозяйственной деятельности организации (6/10 з.е., 216/360 ч., 2/2, Д № 5604)Эб-31</v>
      </c>
      <c r="N32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Экономический анализ хозяйственной деятельности организации (6/10 з.е., 216/360 ч., 2/2, Д № 5604)_Эб-31_26.02.09_13:55</v>
      </c>
    </row>
    <row r="325" spans="1:14" ht="38.25" x14ac:dyDescent="0.2">
      <c r="A325" s="7"/>
      <c r="B325" s="8" t="s">
        <v>209</v>
      </c>
      <c r="C325" s="8" t="s">
        <v>24</v>
      </c>
      <c r="D325" s="9" t="s">
        <v>94</v>
      </c>
      <c r="E325" s="10">
        <v>1</v>
      </c>
      <c r="F325" s="11">
        <v>46067</v>
      </c>
      <c r="G325" s="10" t="s">
        <v>169</v>
      </c>
      <c r="H325" s="12">
        <v>0.42708333333333331</v>
      </c>
      <c r="I325" s="10" t="str">
        <f>_xlfn.CONCAT(Таблица1[[#This Row],[Группа]],"_",TEXT(Таблица1[[#This Row],[Дата]],"ГГ.ММ.ДД"),"_",TEXT(Таблица1[[#This Row],[Время]],"чч:мм"))</f>
        <v>Эб-21оз_26.02.14_10:15</v>
      </c>
      <c r="J32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5" s="10"/>
      <c r="L325" t="str">
        <f>IFERROR(IF(SEARCH("курс",Таблица1[[#This Row],[Форма контроля]])&gt;=1,),"Ошибка")</f>
        <v>Ошибка</v>
      </c>
      <c r="M32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Финансовый анализ (4 з.е., 144 ч., 1/1, Д № 5763)Эб-21озошибка</v>
      </c>
      <c r="N32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Финансовый анализ (4 з.е., 144 ч., 1/1, Д № 5763)_Эб-21оз_26.02.14_10:15</v>
      </c>
    </row>
    <row r="326" spans="1:14" x14ac:dyDescent="0.2">
      <c r="A326" s="7"/>
      <c r="B326" s="8" t="s">
        <v>207</v>
      </c>
      <c r="C326" s="8" t="s">
        <v>27</v>
      </c>
      <c r="D326" s="9" t="s">
        <v>92</v>
      </c>
      <c r="E326" s="10">
        <v>4</v>
      </c>
      <c r="F326" s="11">
        <v>46062</v>
      </c>
      <c r="G326" s="10">
        <v>9210</v>
      </c>
      <c r="H326" s="12">
        <v>0.50694444444444442</v>
      </c>
      <c r="I326" s="10" t="str">
        <f>_xlfn.CONCAT(Таблица1[[#This Row],[Группа]],"_",TEXT(Таблица1[[#This Row],[Дата]],"ГГ.ММ.ДД"),"_",TEXT(Таблица1[[#This Row],[Время]],"чч:мм"))</f>
        <v>УПб-41_26.02.09_12:10</v>
      </c>
      <c r="J32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6" s="10"/>
      <c r="L326" t="str">
        <f>IFERROR(IF(SEARCH("курс",Таблица1[[#This Row],[Форма контроля]])&gt;=1,),"Ошибка")</f>
        <v>Ошибка</v>
      </c>
      <c r="M32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Финансы (4 з.е., 144 ч., 1/1, Д № 9023)УПб-41ошибка</v>
      </c>
      <c r="N32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Финансы (4 з.е., 144 ч., 1/1, Д № 9023)_УПб-41_26.02.09_12:10</v>
      </c>
    </row>
    <row r="327" spans="1:14" ht="38.25" x14ac:dyDescent="0.2">
      <c r="A327" s="7"/>
      <c r="B327" s="8" t="s">
        <v>210</v>
      </c>
      <c r="C327" s="8" t="s">
        <v>16</v>
      </c>
      <c r="D327" s="9" t="s">
        <v>196</v>
      </c>
      <c r="E327" s="10">
        <v>1</v>
      </c>
      <c r="F327" s="11">
        <v>46066</v>
      </c>
      <c r="G327" s="10" t="s">
        <v>211</v>
      </c>
      <c r="H327" s="12">
        <v>0.42708333333333331</v>
      </c>
      <c r="I327" s="10" t="str">
        <f>_xlfn.CONCAT(Таблица1[[#This Row],[Группа]],"_",TEXT(Таблица1[[#This Row],[Дата]],"ГГ.ММ.ДД"),"_",TEXT(Таблица1[[#This Row],[Время]],"чч:мм"))</f>
        <v>УПб-21_26.02.13_10:15</v>
      </c>
      <c r="J32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7" s="10"/>
      <c r="L327" t="str">
        <f>IFERROR(IF(SEARCH("курс",Таблица1[[#This Row],[Форма контроля]])&gt;=1,),"Ошибка")</f>
        <v>Ошибка</v>
      </c>
      <c r="M32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Организационная культура и организационное поведение (4/8 з.е., 144/288 ч., 1/2, Д № 6018)УПб-21ошибка</v>
      </c>
      <c r="N32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Организационная культура и организационное поведение (4/8 з.е., 144/288 ч., 1/2, Д № 6018)_УПб-21_26.02.13_10:15</v>
      </c>
    </row>
    <row r="328" spans="1:14" ht="51" x14ac:dyDescent="0.2">
      <c r="A328" s="7"/>
      <c r="B328" s="8" t="s">
        <v>212</v>
      </c>
      <c r="C328" s="8" t="s">
        <v>27</v>
      </c>
      <c r="D328" s="9" t="s">
        <v>94</v>
      </c>
      <c r="E328" s="10">
        <v>1</v>
      </c>
      <c r="F328" s="11">
        <v>46065</v>
      </c>
      <c r="G328" s="10" t="s">
        <v>47</v>
      </c>
      <c r="H328" s="12">
        <v>0.71875</v>
      </c>
      <c r="I328" s="10" t="str">
        <f>_xlfn.CONCAT(Таблица1[[#This Row],[Группа]],"_",TEXT(Таблица1[[#This Row],[Дата]],"ГГ.ММ.ДД"),"_",TEXT(Таблица1[[#This Row],[Время]],"чч:мм"))</f>
        <v>Эб-21оз_26.02.12_17:15</v>
      </c>
      <c r="J32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8" s="10"/>
      <c r="L328" t="str">
        <f>IFERROR(IF(SEARCH("курс",Таблица1[[#This Row],[Форма контроля]])&gt;=1,),"Ошибка")</f>
        <v>Ошибка</v>
      </c>
      <c r="M32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Анализ финансово-хозяйственной деятельности предприятий железнодорожного транспорта (5 з.е., 180 ч., 1/1, Д № 5755)Эб-21озошибка</v>
      </c>
      <c r="N32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Анализ финансово-хозяйственной деятельности предприятий железнодорожного транспорта (5 з.е., 180 ч., 1/1, Д № 5755)_Эб-21оз_26.02.12_17:15</v>
      </c>
    </row>
    <row r="329" spans="1:14" ht="38.25" x14ac:dyDescent="0.2">
      <c r="A329" s="7"/>
      <c r="B329" s="8" t="s">
        <v>213</v>
      </c>
      <c r="C329" s="8" t="s">
        <v>16</v>
      </c>
      <c r="D329" s="9" t="s">
        <v>120</v>
      </c>
      <c r="E329" s="10">
        <v>2</v>
      </c>
      <c r="F329" s="11">
        <v>46066</v>
      </c>
      <c r="G329" s="10" t="s">
        <v>47</v>
      </c>
      <c r="H329" s="12">
        <v>0.71875</v>
      </c>
      <c r="I329" s="10" t="str">
        <f>_xlfn.CONCAT(Таблица1[[#This Row],[Группа]],"_",TEXT(Таблица1[[#This Row],[Дата]],"ГГ.ММ.ДД"),"_",TEXT(Таблица1[[#This Row],[Время]],"чч:мм"))</f>
        <v>Мб-21оз_26.02.13_17:15</v>
      </c>
      <c r="J32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29" s="10"/>
      <c r="L329" t="str">
        <f>IFERROR(IF(SEARCH("курс",Таблица1[[#This Row],[Форма контроля]])&gt;=1,),"Ошибка")</f>
        <v>Ошибка</v>
      </c>
      <c r="M32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Предпринимательство и инновационное развитие бизнеса (4/7 з.е., 144/252 ч., 1/2, Д № 7129)Мб-21озошибка</v>
      </c>
      <c r="N32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Предпринимательство и инновационное развитие бизнеса (4/7 з.е., 144/252 ч., 1/2, Д № 7129)_Мб-21оз_26.02.13_17:15</v>
      </c>
    </row>
    <row r="330" spans="1:14" ht="38.25" x14ac:dyDescent="0.2">
      <c r="A330" s="7"/>
      <c r="B330" s="8" t="s">
        <v>96</v>
      </c>
      <c r="C330" s="8" t="s">
        <v>16</v>
      </c>
      <c r="D330" s="9" t="s">
        <v>53</v>
      </c>
      <c r="E330" s="10">
        <v>2</v>
      </c>
      <c r="F330" s="11">
        <v>46069</v>
      </c>
      <c r="G330" s="10">
        <v>5211</v>
      </c>
      <c r="H330" s="12">
        <v>0.35416666666666669</v>
      </c>
      <c r="I330" s="10" t="str">
        <f>_xlfn.CONCAT(Таблица1[[#This Row],[Группа]],"_",TEXT(Таблица1[[#This Row],[Дата]],"ГГ.ММ.ДД"),"_",TEXT(Таблица1[[#This Row],[Время]],"чч:мм"))</f>
        <v>Мб-51_26.02.16_08:30</v>
      </c>
      <c r="J33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0" s="10"/>
      <c r="L330" t="str">
        <f>IFERROR(IF(SEARCH("курс",Таблица1[[#This Row],[Форма контроля]])&gt;=1,),"Ошибка")</f>
        <v>Ошибка</v>
      </c>
      <c r="M33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Элективные курсы по физической культуре и спорту (36/328 ч., 1/6, Д № 7528)Мб-51ошибка</v>
      </c>
      <c r="N33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Элективные курсы по физической культуре и спорту (36/328 ч., 1/6, Д № 7528)_Мб-51_26.02.16_08:30</v>
      </c>
    </row>
    <row r="331" spans="1:14" ht="25.5" x14ac:dyDescent="0.2">
      <c r="A331" s="7"/>
      <c r="B331" s="8" t="s">
        <v>97</v>
      </c>
      <c r="C331" s="8" t="s">
        <v>16</v>
      </c>
      <c r="D331" s="9" t="s">
        <v>53</v>
      </c>
      <c r="E331" s="10">
        <v>2</v>
      </c>
      <c r="F331" s="11">
        <v>46069</v>
      </c>
      <c r="G331" s="10">
        <v>5211</v>
      </c>
      <c r="H331" s="12">
        <v>0.57986111111111105</v>
      </c>
      <c r="I331" s="10" t="str">
        <f>_xlfn.CONCAT(Таблица1[[#This Row],[Группа]],"_",TEXT(Таблица1[[#This Row],[Дата]],"ГГ.ММ.ДД"),"_",TEXT(Таблица1[[#This Row],[Время]],"чч:мм"))</f>
        <v>Мб-51_26.02.16_13:55</v>
      </c>
      <c r="J33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1" s="10"/>
      <c r="L331" t="str">
        <f>IFERROR(IF(SEARCH("курс",Таблица1[[#This Row],[Форма контроля]])&gt;=1,),"Ошибка")</f>
        <v>Ошибка</v>
      </c>
      <c r="M33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Физическая культура и спорт (1/2 з.е., 36/72 ч., 1/2, Д № 7508)Мб-51ошибка</v>
      </c>
      <c r="N33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Физическая культура и спорт (1/2 з.е., 36/72 ч., 1/2, Д № 7508)_Мб-51_26.02.16_13:55</v>
      </c>
    </row>
    <row r="332" spans="1:14" ht="25.5" x14ac:dyDescent="0.2">
      <c r="A332" s="7"/>
      <c r="B332" s="8" t="s">
        <v>214</v>
      </c>
      <c r="C332" s="8" t="s">
        <v>16</v>
      </c>
      <c r="D332" s="9" t="s">
        <v>20</v>
      </c>
      <c r="E332" s="10">
        <v>5</v>
      </c>
      <c r="F332" s="11">
        <v>46065</v>
      </c>
      <c r="G332" s="10">
        <v>9108</v>
      </c>
      <c r="H332" s="12">
        <v>0.50694444444444442</v>
      </c>
      <c r="I332" s="10" t="str">
        <f>_xlfn.CONCAT(Таблица1[[#This Row],[Группа]],"_",TEXT(Таблица1[[#This Row],[Дата]],"ГГ.ММ.ДД"),"_",TEXT(Таблица1[[#This Row],[Время]],"чч:мм"))</f>
        <v>ЭЖД-51_26.02.12_12:10</v>
      </c>
      <c r="J33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2" s="10"/>
      <c r="L332" t="str">
        <f>IFERROR(IF(SEARCH("курс",Таблица1[[#This Row],[Форма контроля]])&gt;=1,),"Ошибка")</f>
        <v>Ошибка</v>
      </c>
      <c r="M33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России (2/4 з.е., 72/144 ч., 1/2, Д № 7390)ЭЖД-51ошибка</v>
      </c>
      <c r="N33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России (2/4 з.е., 72/144 ч., 1/2, Д № 7390)_ЭЖД-51_26.02.12_12:10</v>
      </c>
    </row>
    <row r="333" spans="1:14" ht="25.5" x14ac:dyDescent="0.2">
      <c r="A333" s="7"/>
      <c r="B333" s="8" t="s">
        <v>215</v>
      </c>
      <c r="C333" s="8" t="s">
        <v>16</v>
      </c>
      <c r="D333" s="9" t="s">
        <v>20</v>
      </c>
      <c r="E333" s="10">
        <v>5</v>
      </c>
      <c r="F333" s="11">
        <v>46065</v>
      </c>
      <c r="G333" s="10">
        <v>9108</v>
      </c>
      <c r="H333" s="12">
        <v>0.57986111111111105</v>
      </c>
      <c r="I333" s="10" t="str">
        <f>_xlfn.CONCAT(Таблица1[[#This Row],[Группа]],"_",TEXT(Таблица1[[#This Row],[Дата]],"ГГ.ММ.ДД"),"_",TEXT(Таблица1[[#This Row],[Время]],"чч:мм"))</f>
        <v>ЭЖД-51_26.02.12_13:55</v>
      </c>
      <c r="J333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3" s="10"/>
      <c r="L333" t="str">
        <f>IFERROR(IF(SEARCH("курс",Таблица1[[#This Row],[Форма контроля]])&gt;=1,),"Ошибка")</f>
        <v>Ошибка</v>
      </c>
      <c r="M333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транспорта России (2 з.е., 72 ч., 1/1, Д № 8086)ЭЖД-51ошибка</v>
      </c>
      <c r="N333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транспорта России (2 з.е., 72 ч., 1/1, Д № 8086)_ЭЖД-51_26.02.12_13:55</v>
      </c>
    </row>
    <row r="334" spans="1:14" ht="25.5" x14ac:dyDescent="0.2">
      <c r="A334" s="7"/>
      <c r="B334" s="8" t="s">
        <v>215</v>
      </c>
      <c r="C334" s="8" t="s">
        <v>16</v>
      </c>
      <c r="D334" s="9" t="s">
        <v>17</v>
      </c>
      <c r="E334" s="10">
        <v>6</v>
      </c>
      <c r="F334" s="11">
        <v>46065</v>
      </c>
      <c r="G334" s="10">
        <v>9108</v>
      </c>
      <c r="H334" s="12">
        <v>0.50694444444444442</v>
      </c>
      <c r="I334" s="10" t="str">
        <f>_xlfn.CONCAT(Таблица1[[#This Row],[Группа]],"_",TEXT(Таблица1[[#This Row],[Дата]],"ГГ.ММ.ДД"),"_",TEXT(Таблица1[[#This Row],[Время]],"чч:мм"))</f>
        <v>ЭЖД-52_26.02.12_12:10</v>
      </c>
      <c r="J334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4" s="10"/>
      <c r="L334" t="str">
        <f>IFERROR(IF(SEARCH("курс",Таблица1[[#This Row],[Форма контроля]])&gt;=1,),"Ошибка")</f>
        <v>Ошибка</v>
      </c>
      <c r="M334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транспорта России (2 з.е., 72 ч., 1/1, Д № 8086)ЭЖД-52ошибка</v>
      </c>
      <c r="N334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транспорта России (2 з.е., 72 ч., 1/1, Д № 8086)_ЭЖД-52_26.02.12_12:10</v>
      </c>
    </row>
    <row r="335" spans="1:14" ht="25.5" x14ac:dyDescent="0.2">
      <c r="A335" s="7"/>
      <c r="B335" s="8" t="s">
        <v>214</v>
      </c>
      <c r="C335" s="8" t="s">
        <v>16</v>
      </c>
      <c r="D335" s="9" t="s">
        <v>19</v>
      </c>
      <c r="E335" s="10">
        <v>6</v>
      </c>
      <c r="F335" s="11">
        <v>46065</v>
      </c>
      <c r="G335" s="10">
        <v>9108</v>
      </c>
      <c r="H335" s="12">
        <v>0.50694444444444442</v>
      </c>
      <c r="I335" s="10" t="str">
        <f>_xlfn.CONCAT(Таблица1[[#This Row],[Группа]],"_",TEXT(Таблица1[[#This Row],[Дата]],"ГГ.ММ.ДД"),"_",TEXT(Таблица1[[#This Row],[Время]],"чч:мм"))</f>
        <v>ЭЖД-53_26.02.12_12:10</v>
      </c>
      <c r="J335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5" s="10"/>
      <c r="L335" t="str">
        <f>IFERROR(IF(SEARCH("курс",Таблица1[[#This Row],[Форма контроля]])&gt;=1,),"Ошибка")</f>
        <v>Ошибка</v>
      </c>
      <c r="M335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России (2/4 з.е., 72/144 ч., 1/2, Д № 7390)ЭЖД-53ошибка</v>
      </c>
      <c r="N335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России (2/4 з.е., 72/144 ч., 1/2, Д № 7390)_ЭЖД-53_26.02.12_12:10</v>
      </c>
    </row>
    <row r="336" spans="1:14" ht="25.5" x14ac:dyDescent="0.2">
      <c r="A336" s="7"/>
      <c r="B336" s="8" t="s">
        <v>215</v>
      </c>
      <c r="C336" s="8" t="s">
        <v>16</v>
      </c>
      <c r="D336" s="9" t="s">
        <v>19</v>
      </c>
      <c r="E336" s="10">
        <v>3</v>
      </c>
      <c r="F336" s="11">
        <v>46065</v>
      </c>
      <c r="G336" s="10">
        <v>9108</v>
      </c>
      <c r="H336" s="12">
        <v>0.57986111111111105</v>
      </c>
      <c r="I336" s="10" t="str">
        <f>_xlfn.CONCAT(Таблица1[[#This Row],[Группа]],"_",TEXT(Таблица1[[#This Row],[Дата]],"ГГ.ММ.ДД"),"_",TEXT(Таблица1[[#This Row],[Время]],"чч:мм"))</f>
        <v>ЭЖД-53_26.02.12_13:55</v>
      </c>
      <c r="J336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6" s="10"/>
      <c r="L336" t="str">
        <f>IFERROR(IF(SEARCH("курс",Таблица1[[#This Row],[Форма контроля]])&gt;=1,),"Ошибка")</f>
        <v>Ошибка</v>
      </c>
      <c r="M336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транспорта России (2 з.е., 72 ч., 1/1, Д № 8086)ЭЖД-53ошибка</v>
      </c>
      <c r="N336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транспорта России (2 з.е., 72 ч., 1/1, Д № 8086)_ЭЖД-53_26.02.12_13:55</v>
      </c>
    </row>
    <row r="337" spans="1:14" ht="25.5" x14ac:dyDescent="0.2">
      <c r="A337" s="7"/>
      <c r="B337" s="8" t="s">
        <v>214</v>
      </c>
      <c r="C337" s="8" t="s">
        <v>16</v>
      </c>
      <c r="D337" s="9" t="s">
        <v>17</v>
      </c>
      <c r="E337" s="10">
        <v>6</v>
      </c>
      <c r="F337" s="11">
        <v>46065</v>
      </c>
      <c r="G337" s="10">
        <v>9108</v>
      </c>
      <c r="H337" s="12">
        <v>0.57986111111111105</v>
      </c>
      <c r="I337" s="10" t="str">
        <f>_xlfn.CONCAT(Таблица1[[#This Row],[Группа]],"_",TEXT(Таблица1[[#This Row],[Дата]],"ГГ.ММ.ДД"),"_",TEXT(Таблица1[[#This Row],[Время]],"чч:мм"))</f>
        <v>ЭЖД-52_26.02.12_13:55</v>
      </c>
      <c r="J337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7" s="10"/>
      <c r="L337" t="str">
        <f>IFERROR(IF(SEARCH("курс",Таблица1[[#This Row],[Форма контроля]])&gt;=1,),"Ошибка")</f>
        <v>Ошибка</v>
      </c>
      <c r="M337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История России (2/4 з.е., 72/144 ч., 1/2, Д № 7390)ЭЖД-52ошибка</v>
      </c>
      <c r="N337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История России (2/4 з.е., 72/144 ч., 1/2, Д № 7390)_ЭЖД-52_26.02.12_13:55</v>
      </c>
    </row>
    <row r="338" spans="1:14" ht="38.25" x14ac:dyDescent="0.2">
      <c r="A338" s="7"/>
      <c r="B338" s="8" t="s">
        <v>216</v>
      </c>
      <c r="C338" s="8" t="s">
        <v>24</v>
      </c>
      <c r="D338" s="9" t="s">
        <v>120</v>
      </c>
      <c r="E338" s="10">
        <v>6</v>
      </c>
      <c r="F338" s="11">
        <v>46063</v>
      </c>
      <c r="G338" s="10" t="s">
        <v>47</v>
      </c>
      <c r="H338" s="12">
        <v>0.71875</v>
      </c>
      <c r="I338" s="10" t="str">
        <f>_xlfn.CONCAT(Таблица1[[#This Row],[Группа]],"_",TEXT(Таблица1[[#This Row],[Дата]],"ГГ.ММ.ДД"),"_",TEXT(Таблица1[[#This Row],[Время]],"чч:мм"))</f>
        <v>Мб-21оз_26.02.10_17:15</v>
      </c>
      <c r="J338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8" s="10"/>
      <c r="L338" t="str">
        <f>IFERROR(IF(SEARCH("курс",Таблица1[[#This Row],[Форма контроля]])&gt;=1,),"Ошибка")</f>
        <v>Ошибка</v>
      </c>
      <c r="M338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Информационные системы и технологии в логистике (3 з.е., 108 ч., 1/1, Д № 7132)Мб-21озошибка</v>
      </c>
      <c r="N338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Информационные системы и технологии в логистике (3 з.е., 108 ч., 1/1, Д № 7132)_Мб-21оз_26.02.10_17:15</v>
      </c>
    </row>
    <row r="339" spans="1:14" ht="38.25" x14ac:dyDescent="0.2">
      <c r="A339" s="7"/>
      <c r="B339" s="8" t="s">
        <v>217</v>
      </c>
      <c r="C339" s="8" t="s">
        <v>27</v>
      </c>
      <c r="D339" s="9" t="s">
        <v>62</v>
      </c>
      <c r="E339" s="10">
        <v>8</v>
      </c>
      <c r="F339" s="11">
        <v>46070</v>
      </c>
      <c r="G339" s="10">
        <v>9322</v>
      </c>
      <c r="H339" s="12">
        <v>0.71875</v>
      </c>
      <c r="I339" s="10" t="str">
        <f>_xlfn.CONCAT(Таблица1[[#This Row],[Группа]],"_",TEXT(Таблица1[[#This Row],[Дата]],"ГГ.ММ.ДД"),"_",TEXT(Таблица1[[#This Row],[Время]],"чч:мм"))</f>
        <v>ЭЖД-32_26.02.17_17:15</v>
      </c>
      <c r="J339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39" s="10"/>
      <c r="L339" t="str">
        <f>IFERROR(IF(SEARCH("курс",Таблица1[[#This Row],[Форма контроля]])&gt;=1,),"Ошибка")</f>
        <v>Ошибка</v>
      </c>
      <c r="M339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(4/12 з.е., 144/432 ч., 1/3, Д № 4796)ЭЖД-32ошибка</v>
      </c>
      <c r="N339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(4/12 з.е., 144/432 ч., 1/3, Д № 4796)_ЭЖД-32_26.02.17_17:15</v>
      </c>
    </row>
    <row r="340" spans="1:14" ht="38.25" x14ac:dyDescent="0.2">
      <c r="A340" s="7"/>
      <c r="B340" s="8" t="s">
        <v>217</v>
      </c>
      <c r="C340" s="8" t="s">
        <v>27</v>
      </c>
      <c r="D340" s="9" t="s">
        <v>34</v>
      </c>
      <c r="E340" s="10">
        <v>4</v>
      </c>
      <c r="F340" s="11">
        <v>46070</v>
      </c>
      <c r="G340" s="10">
        <v>9322</v>
      </c>
      <c r="H340" s="12">
        <v>0.71875</v>
      </c>
      <c r="I340" s="10" t="str">
        <f>_xlfn.CONCAT(Таблица1[[#This Row],[Группа]],"_",TEXT(Таблица1[[#This Row],[Дата]],"ГГ.ММ.ДД"),"_",TEXT(Таблица1[[#This Row],[Время]],"чч:мм"))</f>
        <v>ЭЖД-31_26.02.17_17:15</v>
      </c>
      <c r="J340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40" s="10"/>
      <c r="L340" t="str">
        <f>IFERROR(IF(SEARCH("курс",Таблица1[[#This Row],[Форма контроля]])&gt;=1,),"Ошибка")</f>
        <v>Ошибка</v>
      </c>
      <c r="M340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(4/12 з.е., 144/432 ч., 1/3, Д № 4796)ЭЖД-31ошибка</v>
      </c>
      <c r="N340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(4/12 з.е., 144/432 ч., 1/3, Д № 4796)_ЭЖД-31_26.02.17_17:15</v>
      </c>
    </row>
    <row r="341" spans="1:14" ht="38.25" x14ac:dyDescent="0.2">
      <c r="A341" s="7"/>
      <c r="B341" s="8" t="s">
        <v>217</v>
      </c>
      <c r="C341" s="8" t="s">
        <v>27</v>
      </c>
      <c r="D341" s="9" t="s">
        <v>35</v>
      </c>
      <c r="E341" s="10">
        <v>8</v>
      </c>
      <c r="F341" s="11">
        <v>46070</v>
      </c>
      <c r="G341" s="10">
        <v>9322</v>
      </c>
      <c r="H341" s="12">
        <v>0.71875</v>
      </c>
      <c r="I341" s="10" t="str">
        <f>_xlfn.CONCAT(Таблица1[[#This Row],[Группа]],"_",TEXT(Таблица1[[#This Row],[Дата]],"ГГ.ММ.ДД"),"_",TEXT(Таблица1[[#This Row],[Время]],"чч:мм"))</f>
        <v>ЭЖД-33_26.02.17_17:15</v>
      </c>
      <c r="J341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41" s="10"/>
      <c r="L341" t="str">
        <f>IFERROR(IF(SEARCH("курс",Таблица1[[#This Row],[Форма контроля]])&gt;=1,),"Ошибка")</f>
        <v>Ошибка</v>
      </c>
      <c r="M341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(4/12 з.е., 144/432 ч., 1/3, Д № 4796)ЭЖД-33ошибка</v>
      </c>
      <c r="N341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(4/12 з.е., 144/432 ч., 1/3, Д № 4796)_ЭЖД-33_26.02.17_17:15</v>
      </c>
    </row>
    <row r="342" spans="1:14" ht="38.25" x14ac:dyDescent="0.2">
      <c r="A342" s="7"/>
      <c r="B342" s="8" t="s">
        <v>69</v>
      </c>
      <c r="C342" s="8" t="s">
        <v>27</v>
      </c>
      <c r="D342" s="9" t="s">
        <v>59</v>
      </c>
      <c r="E342" s="10">
        <v>6</v>
      </c>
      <c r="F342" s="11">
        <v>46070</v>
      </c>
      <c r="G342" s="10">
        <v>9322</v>
      </c>
      <c r="H342" s="12">
        <v>0.57986111111111105</v>
      </c>
      <c r="I342" s="10" t="str">
        <f>_xlfn.CONCAT(Таблица1[[#This Row],[Группа]],"_",TEXT(Таблица1[[#This Row],[Дата]],"ГГ.ММ.ДД"),"_",TEXT(Таблица1[[#This Row],[Время]],"чч:мм"))</f>
        <v>ЭЖД-46у_26.02.17_13:55</v>
      </c>
      <c r="J342" s="10" t="str">
        <f>IFERROR(IF(Таблица1[[#This Row],[Курсовой?]]=0,IF(VLOOKUP(_xlfn.CONCAT(Таблица1[[#This Row],[Столбец поиска]],"ошибка"),Таблица1[[#Data],[Столбец поиска]:[Столбец сравнения]],2,0)&lt;VLOOKUP(Таблица1[[#This Row],[Столбец поиска]],Таблица1[[#Data],[Столбец поиска]:[Столбец сравнения]],2,0),"Прием курсового стоит позднее ПА","Все хорошо"),IF(Таблица1[[#This Row],[Столбец сравнения]]&lt;VLOOKUP(_xlfn.CONCAT(Таблица1[[#This Row],[Дисциплина]],Таблица1[[#This Row],[Группа]]),Таблица1[[#Data],[Столбец поиска]:[Столбец сравнения]],2,0),"Прием курсового стоит позднее ПА","Все хорошо")),"Все хорошо")</f>
        <v>Все хорошо</v>
      </c>
      <c r="K342" s="10"/>
      <c r="L342" t="str">
        <f>IFERROR(IF(SEARCH("курс",Таблица1[[#This Row],[Форма контроля]])&gt;=1,),"Ошибка")</f>
        <v>Ошибка</v>
      </c>
      <c r="M342" t="str">
        <f>IF(Таблица1[[#This Row],[Курсовой?]]=0,_xlfn.CONCAT(Таблица1[[#This Row],[Дисциплина]],Таблица1[[#This Row],[Группа]]),_xlfn.CONCAT(Таблица1[[#This Row],[Дисциплина]],Таблица1[[#This Row],[Группа]],"ошибка"))</f>
        <v>Управление грузовой и коммерческой работой (2/7 з.е., 72/252 ч., 1/3, Д № 8599)ЭЖД-46уошибка</v>
      </c>
      <c r="N342" t="str">
        <f>IF(Таблица1[[#This Row],[Дата]]="",IF(Таблица1[[#This Row],[Курсовой?]]=0,_xlfn.CONCAT(Таблица1[[#This Row],[Дисциплина]],"_",Таблица1[[#This Row],[Группа]],"_","24.12.31","_",TEXT(Таблица1[[#This Row],[Время]],"чч:мм")),_xlfn.CONCAT(Таблица1[[#This Row],[Дисциплина]],"_",Таблица1[[#This Row],[Группа]],"_","99.12.31","_",TEXT(Таблица1[[#This Row],[Время]],"чч:мм"))),_xlfn.CONCAT(Таблица1[[#This Row],[Дисциплина]],"_",Таблица1[[#This Row],[Группа]],"_",TEXT(Таблица1[[#This Row],[Дата]],"ГГ.ММ.ДД"),"_",TEXT(Таблица1[[#This Row],[Время]],"чч:мм")))</f>
        <v>Управление грузовой и коммерческой работой (2/7 з.е., 72/252 ч., 1/3, Д № 8599)_ЭЖД-46у_26.02.17_13:55</v>
      </c>
    </row>
  </sheetData>
  <sheetProtection autoFilter="0"/>
  <protectedRanges>
    <protectedRange sqref="K4:K342" name="Диапазон2"/>
    <protectedRange sqref="F4:H342" name="Диапазон1"/>
  </protectedRanges>
  <mergeCells count="1">
    <mergeCell ref="A1:N1"/>
  </mergeCells>
  <conditionalFormatting sqref="I1">
    <cfRule type="duplicateValues" dxfId="7" priority="3" stopIfTrue="1"/>
  </conditionalFormatting>
  <conditionalFormatting sqref="I2:I3 I5:I1048576">
    <cfRule type="duplicateValues" dxfId="6" priority="5" stopIfTrue="1"/>
  </conditionalFormatting>
  <conditionalFormatting sqref="J1">
    <cfRule type="containsText" dxfId="3" priority="2" stopIfTrue="1" operator="containsText" text="позднее">
      <formula>NOT(ISERROR(SEARCH("позднее",J1)))</formula>
    </cfRule>
  </conditionalFormatting>
  <conditionalFormatting sqref="J2:J1048576">
    <cfRule type="containsText" dxfId="2" priority="4" operator="containsText" text="позднее">
      <formula>NOT(ISERROR(SEARCH("позднее",J2)))</formula>
    </cfRule>
  </conditionalFormatting>
  <conditionalFormatting sqref="I4:J4">
    <cfRule type="containsText" dxfId="1" priority="6" stopIfTrue="1" operator="containsText" text="позднее">
      <formula>NOT(ISERROR(SEARCH("позднее",I4)))</formula>
    </cfRule>
  </conditionalFormatting>
  <conditionalFormatting sqref="I4">
    <cfRule type="containsText" dxfId="0" priority="1" operator="containsText" text="позднее">
      <formula>NOT(ISERROR(SEARCH("позднее",I4)))</formula>
    </cfRule>
  </conditionalFormatting>
  <pageMargins left="0.55511811023622049" right="0.12204724409448819" top="0.84251968503936991" bottom="0.76377952755905509" header="0.5" footer="0.5"/>
  <pageSetup paperSize="9" fitToWidth="0" fitToHeight="0" pageOrder="overThenDown" orientation="landscape" useFirstPageNumber="1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Лист1!$A$1:$A$7</xm:f>
          </x14:formula1>
          <xm:sqref>H2:H71 H73:H74 H76:H1048576</xm:sqref>
        </x14:dataValidation>
        <x14:dataValidation type="list" allowBlank="1" showInputMessage="1" showErrorMessage="1" xr:uid="{00000000-0002-0000-0000-000001000000}">
          <x14:formula1>
            <xm:f>Лист1!$C$1:$C$12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B45" sqref="B45"/>
    </sheetView>
  </sheetViews>
  <sheetFormatPr defaultRowHeight="12.75" x14ac:dyDescent="0.2"/>
  <cols>
    <col min="3" max="3" width="10.140625" bestFit="1" customWidth="1"/>
    <col min="5" max="5" width="10.140625" bestFit="1" customWidth="1"/>
    <col min="7" max="7" width="10.140625" bestFit="1" customWidth="1"/>
  </cols>
  <sheetData>
    <row r="1" spans="1:7" x14ac:dyDescent="0.2">
      <c r="A1" s="22">
        <v>0.35416666666666669</v>
      </c>
      <c r="C1" s="1">
        <v>46062</v>
      </c>
      <c r="E1" s="1">
        <v>46084</v>
      </c>
      <c r="G1" s="1">
        <v>46120</v>
      </c>
    </row>
    <row r="2" spans="1:7" x14ac:dyDescent="0.2">
      <c r="A2" s="22">
        <v>0.42708333333333331</v>
      </c>
      <c r="C2" s="1">
        <v>46063</v>
      </c>
      <c r="E2" s="1">
        <v>46085</v>
      </c>
      <c r="G2" s="1">
        <v>46121</v>
      </c>
    </row>
    <row r="3" spans="1:7" x14ac:dyDescent="0.2">
      <c r="A3" s="22">
        <v>0.50694444444444442</v>
      </c>
      <c r="C3" s="1">
        <v>46064</v>
      </c>
      <c r="E3" s="1">
        <v>46086</v>
      </c>
      <c r="G3" s="1">
        <v>46122</v>
      </c>
    </row>
    <row r="4" spans="1:7" x14ac:dyDescent="0.2">
      <c r="A4" s="22">
        <v>0.57986111111111105</v>
      </c>
      <c r="C4" s="1">
        <v>46065</v>
      </c>
      <c r="G4" s="1">
        <v>46123</v>
      </c>
    </row>
    <row r="5" spans="1:7" x14ac:dyDescent="0.2">
      <c r="A5" s="22">
        <v>0.64930555555555558</v>
      </c>
      <c r="C5" s="1">
        <v>46066</v>
      </c>
      <c r="E5" t="s">
        <v>218</v>
      </c>
    </row>
    <row r="6" spans="1:7" x14ac:dyDescent="0.2">
      <c r="A6" s="22">
        <v>0.71875</v>
      </c>
      <c r="C6" s="1">
        <v>46067</v>
      </c>
      <c r="G6" t="s">
        <v>219</v>
      </c>
    </row>
    <row r="7" spans="1:7" x14ac:dyDescent="0.2">
      <c r="A7" s="22">
        <v>0.78819444444444453</v>
      </c>
      <c r="C7" s="1">
        <v>46069</v>
      </c>
    </row>
    <row r="8" spans="1:7" x14ac:dyDescent="0.2">
      <c r="C8" s="1">
        <v>46070</v>
      </c>
    </row>
    <row r="9" spans="1:7" x14ac:dyDescent="0.2">
      <c r="C9" s="1">
        <v>46071</v>
      </c>
    </row>
    <row r="10" spans="1:7" x14ac:dyDescent="0.2">
      <c r="C10" s="1">
        <v>46072</v>
      </c>
    </row>
    <row r="11" spans="1:7" x14ac:dyDescent="0.2">
      <c r="C11" s="1">
        <v>46073</v>
      </c>
    </row>
    <row r="12" spans="1:7" x14ac:dyDescent="0.2">
      <c r="C12" s="1">
        <v>46074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Для печати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Васильев</dc:creator>
  <cp:lastModifiedBy>Дмитрий Васильев</cp:lastModifiedBy>
  <cp:revision>36</cp:revision>
  <dcterms:created xsi:type="dcterms:W3CDTF">2026-02-02T15:33:36Z</dcterms:created>
  <dcterms:modified xsi:type="dcterms:W3CDTF">2026-07-21T13:35:45Z</dcterms:modified>
</cp:coreProperties>
</file>