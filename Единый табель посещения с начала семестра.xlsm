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D:\Портфолио\"/>
    </mc:Choice>
  </mc:AlternateContent>
  <xr:revisionPtr revIDLastSave="0" documentId="13_ncr:1_{44EC29C6-6B26-4E9C-B887-6FBD4D1F351D}" xr6:coauthVersionLast="47" xr6:coauthVersionMax="47" xr10:uidLastSave="{00000000-0000-0000-0000-000000000000}"/>
  <bookViews>
    <workbookView xWindow="-120" yWindow="-120" windowWidth="38640" windowHeight="21240" xr2:uid="{0E5E8F20-B2E6-4806-9A05-C9E7F0F492F1}"/>
  </bookViews>
  <sheets>
    <sheet name="Лист1" sheetId="1" r:id="rId1"/>
    <sheet name="ЭЖД-51" sheetId="41" r:id="rId2"/>
    <sheet name="ЭЖД-52" sheetId="42" r:id="rId3"/>
    <sheet name="ЭЖД-53" sheetId="43" r:id="rId4"/>
    <sheet name="ЭЖД-54у" sheetId="44" r:id="rId5"/>
    <sheet name="ЭЖД-55у" sheetId="45" r:id="rId6"/>
    <sheet name="ЭЖД-56у" sheetId="46" r:id="rId7"/>
    <sheet name="ЭЖД-57у" sheetId="47" r:id="rId8"/>
    <sheet name="Эб-51" sheetId="48" r:id="rId9"/>
    <sheet name="Мб-51" sheetId="49" r:id="rId10"/>
    <sheet name="Мб-52" sheetId="50" r:id="rId11"/>
    <sheet name="УПб-51" sheetId="51" r:id="rId12"/>
    <sheet name="УПб-41" sheetId="3" r:id="rId13"/>
    <sheet name="ЭМб-41" sheetId="4" r:id="rId14"/>
    <sheet name="ЭЖД-46у" sheetId="5" r:id="rId15"/>
    <sheet name="ЭЖД-45у" sheetId="6" r:id="rId16"/>
    <sheet name="ЭЖД-44у" sheetId="7" r:id="rId17"/>
    <sheet name="ЭЖД-43" sheetId="8" r:id="rId18"/>
    <sheet name="ЭЖД-42" sheetId="9" r:id="rId19"/>
    <sheet name="ЭЖД-41" sheetId="10" r:id="rId20"/>
    <sheet name="ЭЖД-33" sheetId="11" r:id="rId21"/>
    <sheet name="ЭЖД-32" sheetId="12" r:id="rId22"/>
    <sheet name="ЭЖД-31" sheetId="13" r:id="rId23"/>
    <sheet name="УПб-31" sheetId="16" r:id="rId24"/>
    <sheet name="Мб-31" sheetId="17" r:id="rId25"/>
    <sheet name="Эб-31" sheetId="18" r:id="rId26"/>
    <sheet name="ЭЖД-21" sheetId="2" r:id="rId27"/>
    <sheet name="ЭЖД-22" sheetId="20" r:id="rId28"/>
    <sheet name="ЭЖД-23" sheetId="21" r:id="rId29"/>
    <sheet name="ТТПб-21" sheetId="24" r:id="rId30"/>
    <sheet name="Эб-21" sheetId="25" r:id="rId31"/>
    <sheet name="УПб-21" sheetId="26" r:id="rId32"/>
    <sheet name="Мб-21" sheetId="27" r:id="rId33"/>
    <sheet name="ЭБт-51" sheetId="28" r:id="rId34"/>
    <sheet name="Лист2" sheetId="40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ExternalData_1" localSheetId="32" hidden="1">'Мб-21'!$B$1:$C$41</definedName>
    <definedName name="ExternalData_1" localSheetId="24" hidden="1">'Мб-31'!$B$1:$C$41</definedName>
    <definedName name="ExternalData_1" localSheetId="9" hidden="1">'Мб-51'!$B$1:$C$41</definedName>
    <definedName name="ExternalData_1" localSheetId="10" hidden="1">'Мб-52'!$B$1:$C$41</definedName>
    <definedName name="ExternalData_1" localSheetId="29" hidden="1">'ТТПб-21'!$B$1:$C$41</definedName>
    <definedName name="ExternalData_1" localSheetId="31" hidden="1">'УПб-21'!$B$1:$C$41</definedName>
    <definedName name="ExternalData_1" localSheetId="23" hidden="1">'УПб-31'!$B$1:$C$41</definedName>
    <definedName name="ExternalData_1" localSheetId="12" hidden="1">'УПб-41'!$B$1:$C$41</definedName>
    <definedName name="ExternalData_1" localSheetId="11" hidden="1">'УПб-51'!$B$1:$C$41</definedName>
    <definedName name="ExternalData_1" localSheetId="30" hidden="1">'Эб-21'!$B$1:$C$41</definedName>
    <definedName name="ExternalData_1" localSheetId="25" hidden="1">'Эб-31'!$B$1:$C$41</definedName>
    <definedName name="ExternalData_1" localSheetId="8" hidden="1">'Эб-51'!$B$1:$C$41</definedName>
    <definedName name="ExternalData_1" localSheetId="33" hidden="1">'ЭБт-51'!$B$1:$C$41</definedName>
    <definedName name="ExternalData_1" localSheetId="26" hidden="1">'ЭЖД-21'!$B$1:$C$41</definedName>
    <definedName name="ExternalData_1" localSheetId="27" hidden="1">'ЭЖД-22'!$B$1:$C$41</definedName>
    <definedName name="ExternalData_1" localSheetId="28" hidden="1">'ЭЖД-23'!$B$1:$C$41</definedName>
    <definedName name="ExternalData_1" localSheetId="22" hidden="1">'ЭЖД-31'!$B$1:$C$41</definedName>
    <definedName name="ExternalData_1" localSheetId="21" hidden="1">'ЭЖД-32'!$B$1:$C$41</definedName>
    <definedName name="ExternalData_1" localSheetId="20" hidden="1">'ЭЖД-33'!$B$1:$C$41</definedName>
    <definedName name="ExternalData_1" localSheetId="19" hidden="1">'ЭЖД-41'!$B$1:$C$41</definedName>
    <definedName name="ExternalData_1" localSheetId="18" hidden="1">'ЭЖД-42'!$B$1:$C$41</definedName>
    <definedName name="ExternalData_1" localSheetId="17" hidden="1">'ЭЖД-43'!$B$1:$C$41</definedName>
    <definedName name="ExternalData_1" localSheetId="16" hidden="1">'ЭЖД-44у'!$B$1:$C$41</definedName>
    <definedName name="ExternalData_1" localSheetId="15" hidden="1">'ЭЖД-45у'!$B$1:$C$41</definedName>
    <definedName name="ExternalData_1" localSheetId="14" hidden="1">'ЭЖД-46у'!$B$1:$C$41</definedName>
    <definedName name="ExternalData_1" localSheetId="1" hidden="1">'ЭЖД-51'!$B$1:$C$41</definedName>
    <definedName name="ExternalData_1" localSheetId="2" hidden="1">'ЭЖД-52'!$B$1:$C$41</definedName>
    <definedName name="ExternalData_1" localSheetId="3" hidden="1">'ЭЖД-53'!$B$1:$C$41</definedName>
    <definedName name="ExternalData_1" localSheetId="4" hidden="1">'ЭЖД-54у'!$B$1:$C$41</definedName>
    <definedName name="ExternalData_1" localSheetId="5" hidden="1">'ЭЖД-55у'!$B$1:$C$41</definedName>
    <definedName name="ExternalData_1" localSheetId="6" hidden="1">'ЭЖД-56у'!$B$1:$C$41</definedName>
    <definedName name="ExternalData_1" localSheetId="7" hidden="1">'ЭЖД-57у'!$B$1:$C$41</definedName>
    <definedName name="ExternalData_1" localSheetId="13" hidden="1">'ЭМб-41'!$B$1:$C$41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8" l="1"/>
  <c r="K1" i="27"/>
  <c r="K1" i="26"/>
  <c r="K1" i="25"/>
  <c r="K1" i="24"/>
  <c r="K1" i="21"/>
  <c r="K1" i="20"/>
  <c r="K1" i="2"/>
  <c r="K1" i="18"/>
  <c r="K1" i="17"/>
  <c r="K1" i="16"/>
  <c r="K1" i="13"/>
  <c r="K1" i="12"/>
  <c r="K1" i="11"/>
  <c r="K1" i="10"/>
  <c r="K1" i="9"/>
  <c r="K1" i="8"/>
  <c r="K1" i="7"/>
  <c r="K1" i="6"/>
  <c r="K1" i="5"/>
  <c r="K1" i="4"/>
  <c r="K1" i="3"/>
  <c r="K1" i="51"/>
  <c r="K1" i="49"/>
  <c r="K1" i="48"/>
  <c r="K1" i="47"/>
  <c r="K1" i="46"/>
  <c r="K1" i="45"/>
  <c r="K1" i="44"/>
  <c r="K1" i="43"/>
  <c r="K1" i="42"/>
  <c r="K1" i="41"/>
  <c r="M2" i="28"/>
  <c r="D3" i="51"/>
  <c r="D4" i="51"/>
  <c r="D5" i="51"/>
  <c r="D6" i="51"/>
  <c r="D7" i="51"/>
  <c r="D8" i="51"/>
  <c r="D9" i="51"/>
  <c r="D10" i="51"/>
  <c r="D11" i="51"/>
  <c r="D12" i="51"/>
  <c r="D13" i="51"/>
  <c r="D14" i="51"/>
  <c r="D15" i="51"/>
  <c r="D16" i="51"/>
  <c r="D17" i="51"/>
  <c r="D18" i="51"/>
  <c r="D19" i="51"/>
  <c r="D20" i="51"/>
  <c r="D21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2" i="51"/>
  <c r="D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2" i="50"/>
  <c r="D3" i="49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2" i="49"/>
  <c r="D3" i="48"/>
  <c r="D4" i="48"/>
  <c r="D5" i="48"/>
  <c r="D6" i="48"/>
  <c r="D7" i="48"/>
  <c r="D8" i="48"/>
  <c r="D9" i="48"/>
  <c r="D10" i="48"/>
  <c r="D11" i="48"/>
  <c r="D12" i="48"/>
  <c r="D13" i="48"/>
  <c r="D14" i="48"/>
  <c r="D15" i="48"/>
  <c r="D16" i="48"/>
  <c r="D17" i="48"/>
  <c r="D18" i="48"/>
  <c r="D19" i="48"/>
  <c r="D20" i="48"/>
  <c r="D21" i="48"/>
  <c r="D22" i="48"/>
  <c r="D23" i="48"/>
  <c r="D24" i="48"/>
  <c r="D25" i="48"/>
  <c r="D26" i="48"/>
  <c r="D27" i="48"/>
  <c r="D28" i="48"/>
  <c r="D29" i="48"/>
  <c r="D30" i="48"/>
  <c r="D31" i="48"/>
  <c r="D32" i="48"/>
  <c r="D33" i="48"/>
  <c r="D34" i="48"/>
  <c r="D35" i="48"/>
  <c r="D36" i="48"/>
  <c r="D37" i="48"/>
  <c r="D38" i="48"/>
  <c r="D39" i="48"/>
  <c r="D40" i="48"/>
  <c r="D41" i="48"/>
  <c r="D2" i="48"/>
  <c r="D3" i="47"/>
  <c r="D4" i="47"/>
  <c r="D5" i="47"/>
  <c r="D6" i="47"/>
  <c r="D7" i="47"/>
  <c r="D8" i="47"/>
  <c r="D9" i="47"/>
  <c r="D10" i="47"/>
  <c r="D11" i="47"/>
  <c r="D12" i="47"/>
  <c r="D13" i="47"/>
  <c r="D14" i="47"/>
  <c r="D15" i="47"/>
  <c r="D16" i="47"/>
  <c r="D17" i="47"/>
  <c r="D18" i="47"/>
  <c r="D19" i="47"/>
  <c r="D20" i="47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34" i="47"/>
  <c r="D35" i="47"/>
  <c r="D36" i="47"/>
  <c r="D37" i="47"/>
  <c r="D38" i="47"/>
  <c r="D39" i="47"/>
  <c r="D40" i="47"/>
  <c r="D41" i="47"/>
  <c r="D2" i="47"/>
  <c r="D3" i="46"/>
  <c r="D4" i="46"/>
  <c r="D5" i="46"/>
  <c r="D6" i="46"/>
  <c r="D7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D30" i="46"/>
  <c r="D31" i="46"/>
  <c r="D32" i="46"/>
  <c r="D33" i="46"/>
  <c r="D34" i="46"/>
  <c r="D35" i="46"/>
  <c r="D36" i="46"/>
  <c r="D37" i="46"/>
  <c r="D38" i="46"/>
  <c r="D39" i="46"/>
  <c r="D40" i="46"/>
  <c r="D41" i="46"/>
  <c r="D2" i="46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2" i="45"/>
  <c r="D3" i="44"/>
  <c r="D4" i="44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2" i="44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2" i="43"/>
  <c r="D3" i="42"/>
  <c r="D4" i="42"/>
  <c r="D5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2" i="42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2" i="41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2" i="28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2" i="27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2" i="26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2" i="25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2" i="24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2" i="2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2" i="2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" i="18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2" i="17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2" i="16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2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2" i="20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2" i="12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2" i="10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2" i="8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2" i="7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2" i="6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2" i="3"/>
  <c r="K1" i="50" l="1"/>
  <c r="M2" i="51"/>
  <c r="E41" i="51"/>
  <c r="F41" i="51" s="1"/>
  <c r="E40" i="51"/>
  <c r="F40" i="51" s="1"/>
  <c r="E39" i="51"/>
  <c r="F39" i="51" s="1"/>
  <c r="E38" i="51"/>
  <c r="F38" i="51" s="1"/>
  <c r="E37" i="51"/>
  <c r="F37" i="51" s="1"/>
  <c r="E36" i="51"/>
  <c r="F36" i="51" s="1"/>
  <c r="E35" i="51"/>
  <c r="F35" i="51" s="1"/>
  <c r="E34" i="51"/>
  <c r="F34" i="51" s="1"/>
  <c r="E33" i="51"/>
  <c r="F33" i="51" s="1"/>
  <c r="E32" i="51"/>
  <c r="F32" i="51" s="1"/>
  <c r="E31" i="51"/>
  <c r="F31" i="51" s="1"/>
  <c r="E30" i="51"/>
  <c r="F30" i="51" s="1"/>
  <c r="E29" i="51"/>
  <c r="F29" i="51" s="1"/>
  <c r="E28" i="51"/>
  <c r="F28" i="51" s="1"/>
  <c r="E27" i="51"/>
  <c r="F27" i="51" s="1"/>
  <c r="E26" i="51"/>
  <c r="F26" i="51" s="1"/>
  <c r="E25" i="51"/>
  <c r="F25" i="51" s="1"/>
  <c r="E24" i="51"/>
  <c r="F24" i="51" s="1"/>
  <c r="E23" i="51"/>
  <c r="F23" i="51" s="1"/>
  <c r="E22" i="51"/>
  <c r="F22" i="5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E15" i="51"/>
  <c r="F15" i="51" s="1"/>
  <c r="E14" i="51"/>
  <c r="F14" i="51" s="1"/>
  <c r="E11" i="51"/>
  <c r="F11" i="51" s="1"/>
  <c r="E10" i="51"/>
  <c r="F10" i="51" s="1"/>
  <c r="E6" i="51"/>
  <c r="F6" i="51" s="1"/>
  <c r="E5" i="51"/>
  <c r="F5" i="51" s="1"/>
  <c r="M1" i="51"/>
  <c r="M2" i="50"/>
  <c r="E17" i="50"/>
  <c r="F17" i="50" s="1"/>
  <c r="E41" i="50"/>
  <c r="F41" i="50" s="1"/>
  <c r="E40" i="50"/>
  <c r="F40" i="50" s="1"/>
  <c r="E39" i="50"/>
  <c r="F39" i="50" s="1"/>
  <c r="E38" i="50"/>
  <c r="F38" i="50" s="1"/>
  <c r="E37" i="50"/>
  <c r="F37" i="50" s="1"/>
  <c r="E36" i="50"/>
  <c r="F36" i="50" s="1"/>
  <c r="E35" i="50"/>
  <c r="F35" i="50" s="1"/>
  <c r="E34" i="50"/>
  <c r="F34" i="50" s="1"/>
  <c r="E33" i="50"/>
  <c r="F33" i="50" s="1"/>
  <c r="E32" i="50"/>
  <c r="F32" i="50" s="1"/>
  <c r="E31" i="50"/>
  <c r="F31" i="50" s="1"/>
  <c r="E30" i="50"/>
  <c r="F30" i="50" s="1"/>
  <c r="E29" i="50"/>
  <c r="F29" i="50" s="1"/>
  <c r="E28" i="50"/>
  <c r="F28" i="50" s="1"/>
  <c r="E27" i="50"/>
  <c r="F27" i="50" s="1"/>
  <c r="E26" i="50"/>
  <c r="F26" i="50" s="1"/>
  <c r="E25" i="50"/>
  <c r="F25" i="50" s="1"/>
  <c r="E24" i="50"/>
  <c r="F24" i="50" s="1"/>
  <c r="E23" i="50"/>
  <c r="F23" i="50" s="1"/>
  <c r="E22" i="50"/>
  <c r="F22" i="50" s="1"/>
  <c r="E21" i="50"/>
  <c r="F21" i="50" s="1"/>
  <c r="E20" i="50"/>
  <c r="F20" i="50" s="1"/>
  <c r="E19" i="50"/>
  <c r="F19" i="50" s="1"/>
  <c r="E18" i="50"/>
  <c r="F18" i="50" s="1"/>
  <c r="E16" i="50"/>
  <c r="F16" i="50" s="1"/>
  <c r="E15" i="50"/>
  <c r="F15" i="50" s="1"/>
  <c r="E14" i="50"/>
  <c r="F14" i="50" s="1"/>
  <c r="E10" i="50"/>
  <c r="F10" i="50" s="1"/>
  <c r="E5" i="50"/>
  <c r="F5" i="50" s="1"/>
  <c r="M1" i="50"/>
  <c r="M2" i="49"/>
  <c r="E19" i="49"/>
  <c r="F19" i="49" s="1"/>
  <c r="E41" i="49"/>
  <c r="F41" i="49" s="1"/>
  <c r="E40" i="49"/>
  <c r="F40" i="49" s="1"/>
  <c r="E39" i="49"/>
  <c r="F39" i="49" s="1"/>
  <c r="E38" i="49"/>
  <c r="F38" i="49" s="1"/>
  <c r="E37" i="49"/>
  <c r="F37" i="49" s="1"/>
  <c r="E36" i="49"/>
  <c r="F36" i="49" s="1"/>
  <c r="E35" i="49"/>
  <c r="F35" i="49" s="1"/>
  <c r="E34" i="49"/>
  <c r="F34" i="49" s="1"/>
  <c r="E33" i="49"/>
  <c r="F33" i="49" s="1"/>
  <c r="E32" i="49"/>
  <c r="F32" i="49" s="1"/>
  <c r="E31" i="49"/>
  <c r="F31" i="49" s="1"/>
  <c r="E30" i="49"/>
  <c r="F30" i="49" s="1"/>
  <c r="E29" i="49"/>
  <c r="F29" i="49" s="1"/>
  <c r="E28" i="49"/>
  <c r="F28" i="49" s="1"/>
  <c r="E27" i="49"/>
  <c r="F27" i="49" s="1"/>
  <c r="E26" i="49"/>
  <c r="F26" i="49" s="1"/>
  <c r="E25" i="49"/>
  <c r="F25" i="49" s="1"/>
  <c r="E24" i="49"/>
  <c r="F24" i="49" s="1"/>
  <c r="E23" i="49"/>
  <c r="F23" i="49" s="1"/>
  <c r="E22" i="49"/>
  <c r="F22" i="49" s="1"/>
  <c r="M1" i="49"/>
  <c r="M2" i="48"/>
  <c r="E23" i="48"/>
  <c r="F23" i="48" s="1"/>
  <c r="E41" i="48"/>
  <c r="F41" i="48" s="1"/>
  <c r="E40" i="48"/>
  <c r="F40" i="48" s="1"/>
  <c r="E39" i="48"/>
  <c r="F39" i="48" s="1"/>
  <c r="E38" i="48"/>
  <c r="F38" i="48" s="1"/>
  <c r="E37" i="48"/>
  <c r="F37" i="48" s="1"/>
  <c r="E36" i="48"/>
  <c r="F36" i="48" s="1"/>
  <c r="E35" i="48"/>
  <c r="F35" i="48" s="1"/>
  <c r="E34" i="48"/>
  <c r="F34" i="48" s="1"/>
  <c r="E33" i="48"/>
  <c r="F33" i="48" s="1"/>
  <c r="E32" i="48"/>
  <c r="F32" i="48" s="1"/>
  <c r="E31" i="48"/>
  <c r="F31" i="48" s="1"/>
  <c r="E30" i="48"/>
  <c r="F30" i="48" s="1"/>
  <c r="E29" i="48"/>
  <c r="F29" i="48" s="1"/>
  <c r="E28" i="48"/>
  <c r="F28" i="48" s="1"/>
  <c r="E27" i="48"/>
  <c r="F27" i="48" s="1"/>
  <c r="E26" i="48"/>
  <c r="F26" i="48" s="1"/>
  <c r="E25" i="48"/>
  <c r="F25" i="48" s="1"/>
  <c r="E24" i="48"/>
  <c r="F24" i="48" s="1"/>
  <c r="E22" i="48"/>
  <c r="F22" i="48" s="1"/>
  <c r="E20" i="48"/>
  <c r="F20" i="48" s="1"/>
  <c r="E16" i="48"/>
  <c r="F16" i="48" s="1"/>
  <c r="E14" i="48"/>
  <c r="F14" i="48" s="1"/>
  <c r="E11" i="48"/>
  <c r="F11" i="48" s="1"/>
  <c r="E5" i="48"/>
  <c r="F5" i="48" s="1"/>
  <c r="M1" i="48"/>
  <c r="M2" i="47"/>
  <c r="E28" i="47"/>
  <c r="F28" i="47" s="1"/>
  <c r="E41" i="47"/>
  <c r="F41" i="47" s="1"/>
  <c r="E40" i="47"/>
  <c r="F40" i="47" s="1"/>
  <c r="E39" i="47"/>
  <c r="F39" i="47" s="1"/>
  <c r="E38" i="47"/>
  <c r="F38" i="47" s="1"/>
  <c r="E37" i="47"/>
  <c r="F37" i="47" s="1"/>
  <c r="E36" i="47"/>
  <c r="F36" i="47" s="1"/>
  <c r="E35" i="47"/>
  <c r="F35" i="47" s="1"/>
  <c r="E34" i="47"/>
  <c r="F34" i="47" s="1"/>
  <c r="E33" i="47"/>
  <c r="F33" i="47" s="1"/>
  <c r="E32" i="47"/>
  <c r="F32" i="47" s="1"/>
  <c r="E31" i="47"/>
  <c r="F31" i="47" s="1"/>
  <c r="E30" i="47"/>
  <c r="F30" i="47" s="1"/>
  <c r="M1" i="47"/>
  <c r="M2" i="46"/>
  <c r="E13" i="46"/>
  <c r="F13" i="46" s="1"/>
  <c r="E41" i="46"/>
  <c r="F41" i="46" s="1"/>
  <c r="E40" i="46"/>
  <c r="F40" i="46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3" i="46"/>
  <c r="F33" i="46" s="1"/>
  <c r="E32" i="46"/>
  <c r="F32" i="46" s="1"/>
  <c r="E31" i="46"/>
  <c r="F31" i="46" s="1"/>
  <c r="E30" i="46"/>
  <c r="F30" i="46" s="1"/>
  <c r="E29" i="46"/>
  <c r="F29" i="46" s="1"/>
  <c r="E28" i="46"/>
  <c r="F28" i="46" s="1"/>
  <c r="E27" i="46"/>
  <c r="F27" i="46" s="1"/>
  <c r="E26" i="46"/>
  <c r="F26" i="46" s="1"/>
  <c r="E25" i="46"/>
  <c r="F25" i="46" s="1"/>
  <c r="E24" i="46"/>
  <c r="F24" i="46" s="1"/>
  <c r="E23" i="46"/>
  <c r="F23" i="46" s="1"/>
  <c r="E22" i="46"/>
  <c r="F22" i="46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15" i="46"/>
  <c r="F15" i="46" s="1"/>
  <c r="E14" i="46"/>
  <c r="F14" i="46" s="1"/>
  <c r="M1" i="46"/>
  <c r="M2" i="45"/>
  <c r="E31" i="45"/>
  <c r="F31" i="45" s="1"/>
  <c r="E41" i="45"/>
  <c r="F41" i="45" s="1"/>
  <c r="E40" i="45"/>
  <c r="F40" i="45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3" i="45"/>
  <c r="F33" i="45" s="1"/>
  <c r="E32" i="45"/>
  <c r="F32" i="45" s="1"/>
  <c r="E30" i="45"/>
  <c r="F30" i="45" s="1"/>
  <c r="E29" i="45"/>
  <c r="F29" i="45" s="1"/>
  <c r="E19" i="45"/>
  <c r="F19" i="45" s="1"/>
  <c r="E15" i="45"/>
  <c r="F15" i="45" s="1"/>
  <c r="E9" i="45"/>
  <c r="F9" i="45" s="1"/>
  <c r="M1" i="45"/>
  <c r="M2" i="44"/>
  <c r="E28" i="44"/>
  <c r="F28" i="44" s="1"/>
  <c r="E41" i="44"/>
  <c r="F41" i="44" s="1"/>
  <c r="E40" i="44"/>
  <c r="F40" i="44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3" i="44"/>
  <c r="F33" i="44" s="1"/>
  <c r="E32" i="44"/>
  <c r="F32" i="44" s="1"/>
  <c r="E31" i="44"/>
  <c r="F31" i="44" s="1"/>
  <c r="E30" i="44"/>
  <c r="F30" i="44" s="1"/>
  <c r="M1" i="44"/>
  <c r="M2" i="43"/>
  <c r="E31" i="43"/>
  <c r="F31" i="43" s="1"/>
  <c r="E41" i="43"/>
  <c r="F41" i="43" s="1"/>
  <c r="E40" i="43"/>
  <c r="F40" i="43" s="1"/>
  <c r="E39" i="43"/>
  <c r="F39" i="43" s="1"/>
  <c r="E38" i="43"/>
  <c r="F38" i="43" s="1"/>
  <c r="E37" i="43"/>
  <c r="F37" i="43" s="1"/>
  <c r="E36" i="43"/>
  <c r="F36" i="43" s="1"/>
  <c r="E35" i="43"/>
  <c r="F35" i="43" s="1"/>
  <c r="E34" i="43"/>
  <c r="F34" i="43" s="1"/>
  <c r="E33" i="43"/>
  <c r="F33" i="43" s="1"/>
  <c r="E32" i="43"/>
  <c r="F32" i="43" s="1"/>
  <c r="E26" i="43"/>
  <c r="F26" i="43" s="1"/>
  <c r="E15" i="43"/>
  <c r="F15" i="43" s="1"/>
  <c r="M1" i="43"/>
  <c r="M2" i="42"/>
  <c r="E11" i="42"/>
  <c r="F11" i="42" s="1"/>
  <c r="E41" i="42"/>
  <c r="F41" i="42" s="1"/>
  <c r="E40" i="42"/>
  <c r="F40" i="42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3" i="42"/>
  <c r="F33" i="42" s="1"/>
  <c r="M1" i="42"/>
  <c r="K9" i="1"/>
  <c r="K7" i="1"/>
  <c r="M9" i="1"/>
  <c r="J9" i="1"/>
  <c r="L9" i="1"/>
  <c r="M7" i="1"/>
  <c r="L7" i="1"/>
  <c r="J7" i="1"/>
  <c r="E23" i="44" l="1"/>
  <c r="F23" i="44" s="1"/>
  <c r="E14" i="44"/>
  <c r="F14" i="44" s="1"/>
  <c r="E19" i="44"/>
  <c r="F19" i="44" s="1"/>
  <c r="E24" i="45"/>
  <c r="F24" i="45" s="1"/>
  <c r="E5" i="46"/>
  <c r="F5" i="46" s="1"/>
  <c r="E7" i="48"/>
  <c r="F7" i="48" s="1"/>
  <c r="E18" i="48"/>
  <c r="F18" i="48" s="1"/>
  <c r="E27" i="42"/>
  <c r="F27" i="42" s="1"/>
  <c r="E5" i="47"/>
  <c r="F5" i="47" s="1"/>
  <c r="E19" i="47"/>
  <c r="F19" i="47" s="1"/>
  <c r="E22" i="42"/>
  <c r="F22" i="42" s="1"/>
  <c r="E28" i="42"/>
  <c r="F28" i="42" s="1"/>
  <c r="E18" i="43"/>
  <c r="F18" i="43" s="1"/>
  <c r="E29" i="43"/>
  <c r="F29" i="43" s="1"/>
  <c r="E15" i="44"/>
  <c r="F15" i="44" s="1"/>
  <c r="E27" i="44"/>
  <c r="F27" i="44" s="1"/>
  <c r="E5" i="45"/>
  <c r="F5" i="45" s="1"/>
  <c r="E11" i="45"/>
  <c r="F11" i="45" s="1"/>
  <c r="E16" i="45"/>
  <c r="F16" i="45" s="1"/>
  <c r="E20" i="45"/>
  <c r="F20" i="45" s="1"/>
  <c r="E25" i="45"/>
  <c r="F25" i="45" s="1"/>
  <c r="E6" i="46"/>
  <c r="F6" i="46" s="1"/>
  <c r="E23" i="42"/>
  <c r="F23" i="42" s="1"/>
  <c r="E30" i="42"/>
  <c r="F30" i="42" s="1"/>
  <c r="E11" i="50"/>
  <c r="F11" i="50" s="1"/>
  <c r="E21" i="43"/>
  <c r="F21" i="43" s="1"/>
  <c r="E7" i="45"/>
  <c r="F7" i="45" s="1"/>
  <c r="E12" i="45"/>
  <c r="F12" i="45" s="1"/>
  <c r="E17" i="45"/>
  <c r="F17" i="45" s="1"/>
  <c r="E21" i="45"/>
  <c r="F21" i="45" s="1"/>
  <c r="E26" i="45"/>
  <c r="F26" i="45" s="1"/>
  <c r="E9" i="46"/>
  <c r="F9" i="46" s="1"/>
  <c r="E11" i="46"/>
  <c r="F11" i="46" s="1"/>
  <c r="E24" i="42"/>
  <c r="F24" i="42" s="1"/>
  <c r="E11" i="43"/>
  <c r="F11" i="43" s="1"/>
  <c r="E23" i="43"/>
  <c r="F23" i="43" s="1"/>
  <c r="E6" i="44"/>
  <c r="F6" i="44" s="1"/>
  <c r="E22" i="44"/>
  <c r="F22" i="44" s="1"/>
  <c r="E8" i="45"/>
  <c r="F8" i="45" s="1"/>
  <c r="E14" i="45"/>
  <c r="F14" i="45" s="1"/>
  <c r="E18" i="45"/>
  <c r="F18" i="45" s="1"/>
  <c r="E22" i="45"/>
  <c r="F22" i="45" s="1"/>
  <c r="E28" i="45"/>
  <c r="F28" i="45" s="1"/>
  <c r="E26" i="42"/>
  <c r="F26" i="42" s="1"/>
  <c r="E31" i="42"/>
  <c r="F31" i="42" s="1"/>
  <c r="E17" i="43"/>
  <c r="F17" i="43" s="1"/>
  <c r="E22" i="43"/>
  <c r="F22" i="43" s="1"/>
  <c r="E27" i="43"/>
  <c r="F27" i="43" s="1"/>
  <c r="E4" i="44"/>
  <c r="F4" i="44" s="1"/>
  <c r="E18" i="44"/>
  <c r="F18" i="44" s="1"/>
  <c r="E26" i="44"/>
  <c r="F26" i="44" s="1"/>
  <c r="E14" i="47"/>
  <c r="F14" i="47" s="1"/>
  <c r="E6" i="48"/>
  <c r="F6" i="48" s="1"/>
  <c r="E13" i="48"/>
  <c r="F13" i="48" s="1"/>
  <c r="E17" i="48"/>
  <c r="F17" i="48" s="1"/>
  <c r="E21" i="48"/>
  <c r="F21" i="48" s="1"/>
  <c r="E14" i="49"/>
  <c r="F14" i="49" s="1"/>
  <c r="E14" i="43"/>
  <c r="F14" i="43" s="1"/>
  <c r="E19" i="43"/>
  <c r="F19" i="43" s="1"/>
  <c r="E25" i="43"/>
  <c r="F25" i="43" s="1"/>
  <c r="E30" i="43"/>
  <c r="F30" i="43" s="1"/>
  <c r="E25" i="47"/>
  <c r="F25" i="47" s="1"/>
  <c r="E4" i="48"/>
  <c r="F4" i="48" s="1"/>
  <c r="E10" i="48"/>
  <c r="F10" i="48" s="1"/>
  <c r="E15" i="48"/>
  <c r="F15" i="48" s="1"/>
  <c r="E19" i="48"/>
  <c r="F19" i="48" s="1"/>
  <c r="E25" i="42"/>
  <c r="F25" i="42" s="1"/>
  <c r="E29" i="42"/>
  <c r="F29" i="42" s="1"/>
  <c r="E8" i="43"/>
  <c r="F8" i="43" s="1"/>
  <c r="E16" i="43"/>
  <c r="F16" i="43" s="1"/>
  <c r="E20" i="43"/>
  <c r="F20" i="43" s="1"/>
  <c r="E24" i="43"/>
  <c r="F24" i="43" s="1"/>
  <c r="E28" i="43"/>
  <c r="F28" i="43" s="1"/>
  <c r="E3" i="44"/>
  <c r="F3" i="44" s="1"/>
  <c r="E10" i="44"/>
  <c r="F10" i="44" s="1"/>
  <c r="E17" i="44"/>
  <c r="F17" i="44" s="1"/>
  <c r="E21" i="44"/>
  <c r="F21" i="44" s="1"/>
  <c r="E25" i="44"/>
  <c r="F25" i="44" s="1"/>
  <c r="E29" i="44"/>
  <c r="F29" i="44" s="1"/>
  <c r="E8" i="47"/>
  <c r="F8" i="47" s="1"/>
  <c r="E17" i="47"/>
  <c r="F17" i="47" s="1"/>
  <c r="E22" i="47"/>
  <c r="F22" i="47" s="1"/>
  <c r="E27" i="47"/>
  <c r="F27" i="47" s="1"/>
  <c r="E18" i="49"/>
  <c r="F18" i="49" s="1"/>
  <c r="E12" i="47"/>
  <c r="F12" i="47" s="1"/>
  <c r="E18" i="47"/>
  <c r="F18" i="47" s="1"/>
  <c r="E23" i="47"/>
  <c r="F23" i="47" s="1"/>
  <c r="E29" i="47"/>
  <c r="F29" i="47" s="1"/>
  <c r="E32" i="42"/>
  <c r="F32" i="42" s="1"/>
  <c r="E9" i="44"/>
  <c r="F9" i="44" s="1"/>
  <c r="E16" i="44"/>
  <c r="F16" i="44" s="1"/>
  <c r="E20" i="44"/>
  <c r="F20" i="44" s="1"/>
  <c r="E24" i="44"/>
  <c r="F24" i="44" s="1"/>
  <c r="E6" i="47"/>
  <c r="F6" i="47" s="1"/>
  <c r="E15" i="47"/>
  <c r="F15" i="47" s="1"/>
  <c r="E21" i="47"/>
  <c r="F21" i="47" s="1"/>
  <c r="E26" i="47"/>
  <c r="F26" i="47" s="1"/>
  <c r="E4" i="49"/>
  <c r="F4" i="49" s="1"/>
  <c r="E16" i="49"/>
  <c r="F16" i="49" s="1"/>
  <c r="E20" i="49"/>
  <c r="F20" i="49" s="1"/>
  <c r="E11" i="47"/>
  <c r="F11" i="47" s="1"/>
  <c r="E16" i="47"/>
  <c r="F16" i="47" s="1"/>
  <c r="E20" i="47"/>
  <c r="F20" i="47" s="1"/>
  <c r="E24" i="47"/>
  <c r="F24" i="47" s="1"/>
  <c r="E6" i="49"/>
  <c r="F6" i="49" s="1"/>
  <c r="E17" i="49"/>
  <c r="F17" i="49" s="1"/>
  <c r="E21" i="49"/>
  <c r="F21" i="49" s="1"/>
  <c r="E15" i="49"/>
  <c r="F15" i="49" s="1"/>
  <c r="E5" i="43"/>
  <c r="F5" i="43" s="1"/>
  <c r="E23" i="45"/>
  <c r="F23" i="45" s="1"/>
  <c r="E27" i="45"/>
  <c r="F27" i="45" s="1"/>
  <c r="E15" i="42"/>
  <c r="F15" i="42" s="1"/>
  <c r="E17" i="42"/>
  <c r="F17" i="42" s="1"/>
  <c r="E18" i="42"/>
  <c r="F18" i="42" s="1"/>
  <c r="E19" i="42"/>
  <c r="F19" i="42" s="1"/>
  <c r="E10" i="42"/>
  <c r="F10" i="42" s="1"/>
  <c r="E16" i="42"/>
  <c r="F16" i="42" s="1"/>
  <c r="E20" i="42"/>
  <c r="F20" i="42" s="1"/>
  <c r="E21" i="42"/>
  <c r="F21" i="42" s="1"/>
  <c r="E14" i="42"/>
  <c r="F14" i="42" s="1"/>
  <c r="E9" i="51"/>
  <c r="F9" i="51" s="1"/>
  <c r="D42" i="51"/>
  <c r="E9" i="50"/>
  <c r="F9" i="50" s="1"/>
  <c r="D42" i="50"/>
  <c r="E11" i="49"/>
  <c r="F11" i="49" s="1"/>
  <c r="D42" i="49"/>
  <c r="E9" i="48"/>
  <c r="F9" i="48" s="1"/>
  <c r="D42" i="48"/>
  <c r="D42" i="47"/>
  <c r="E7" i="47"/>
  <c r="F7" i="47" s="1"/>
  <c r="D42" i="46"/>
  <c r="E6" i="45"/>
  <c r="F6" i="45" s="1"/>
  <c r="D42" i="45"/>
  <c r="E7" i="44"/>
  <c r="F7" i="44" s="1"/>
  <c r="D42" i="44"/>
  <c r="E9" i="43"/>
  <c r="F9" i="43" s="1"/>
  <c r="D42" i="43"/>
  <c r="E3" i="42"/>
  <c r="F3" i="42" s="1"/>
  <c r="D42" i="42"/>
  <c r="E8" i="50"/>
  <c r="F8" i="50" s="1"/>
  <c r="E8" i="42"/>
  <c r="F8" i="42" s="1"/>
  <c r="E10" i="43"/>
  <c r="F10" i="43" s="1"/>
  <c r="E5" i="44"/>
  <c r="F5" i="44" s="1"/>
  <c r="E4" i="43"/>
  <c r="F4" i="43" s="1"/>
  <c r="E11" i="44"/>
  <c r="F11" i="44" s="1"/>
  <c r="E13" i="47"/>
  <c r="F13" i="47" s="1"/>
  <c r="E8" i="48"/>
  <c r="F8" i="48" s="1"/>
  <c r="E4" i="50"/>
  <c r="F4" i="50" s="1"/>
  <c r="E12" i="44"/>
  <c r="F12" i="44" s="1"/>
  <c r="E4" i="42"/>
  <c r="F4" i="42" s="1"/>
  <c r="E6" i="43"/>
  <c r="F6" i="43" s="1"/>
  <c r="E13" i="43"/>
  <c r="F13" i="43" s="1"/>
  <c r="E3" i="47"/>
  <c r="F3" i="47" s="1"/>
  <c r="E9" i="47"/>
  <c r="F9" i="47" s="1"/>
  <c r="E12" i="50"/>
  <c r="F12" i="50" s="1"/>
  <c r="E13" i="44"/>
  <c r="F13" i="44" s="1"/>
  <c r="E10" i="45"/>
  <c r="F10" i="45" s="1"/>
  <c r="E5" i="42"/>
  <c r="F5" i="42" s="1"/>
  <c r="E7" i="43"/>
  <c r="F7" i="43" s="1"/>
  <c r="E8" i="44"/>
  <c r="F8" i="44" s="1"/>
  <c r="E4" i="45"/>
  <c r="F4" i="45" s="1"/>
  <c r="E4" i="47"/>
  <c r="F4" i="47" s="1"/>
  <c r="E10" i="47"/>
  <c r="F10" i="47" s="1"/>
  <c r="E6" i="50"/>
  <c r="F6" i="50" s="1"/>
  <c r="E8" i="49"/>
  <c r="F8" i="49" s="1"/>
  <c r="E7" i="50"/>
  <c r="F7" i="50" s="1"/>
  <c r="E9" i="49"/>
  <c r="F9" i="49" s="1"/>
  <c r="E7" i="49"/>
  <c r="F7" i="49" s="1"/>
  <c r="E10" i="49"/>
  <c r="F10" i="49" s="1"/>
  <c r="E5" i="49"/>
  <c r="F5" i="49" s="1"/>
  <c r="E12" i="49"/>
  <c r="F12" i="49" s="1"/>
  <c r="E2" i="51"/>
  <c r="K2" i="51"/>
  <c r="E4" i="51"/>
  <c r="F4" i="51" s="1"/>
  <c r="E8" i="51"/>
  <c r="F8" i="51" s="1"/>
  <c r="E13" i="51"/>
  <c r="F13" i="51" s="1"/>
  <c r="E7" i="51"/>
  <c r="F7" i="51" s="1"/>
  <c r="E12" i="51"/>
  <c r="F12" i="51" s="1"/>
  <c r="E3" i="51"/>
  <c r="F3" i="51" s="1"/>
  <c r="E2" i="50"/>
  <c r="K2" i="50"/>
  <c r="E13" i="50"/>
  <c r="F13" i="50" s="1"/>
  <c r="E3" i="50"/>
  <c r="F3" i="50" s="1"/>
  <c r="E2" i="49"/>
  <c r="K2" i="49"/>
  <c r="E13" i="49"/>
  <c r="F13" i="49" s="1"/>
  <c r="E3" i="49"/>
  <c r="F3" i="49" s="1"/>
  <c r="E2" i="48"/>
  <c r="K2" i="48"/>
  <c r="E12" i="48"/>
  <c r="F12" i="48" s="1"/>
  <c r="E3" i="48"/>
  <c r="F3" i="48" s="1"/>
  <c r="E2" i="47"/>
  <c r="K2" i="47"/>
  <c r="E8" i="46"/>
  <c r="F8" i="46" s="1"/>
  <c r="E10" i="46"/>
  <c r="F10" i="46" s="1"/>
  <c r="E4" i="46"/>
  <c r="F4" i="46" s="1"/>
  <c r="E2" i="46"/>
  <c r="K2" i="46"/>
  <c r="E7" i="46"/>
  <c r="F7" i="46" s="1"/>
  <c r="E12" i="46"/>
  <c r="F12" i="46" s="1"/>
  <c r="E3" i="46"/>
  <c r="F3" i="46" s="1"/>
  <c r="E2" i="45"/>
  <c r="K2" i="45"/>
  <c r="E13" i="45"/>
  <c r="F13" i="45" s="1"/>
  <c r="E3" i="45"/>
  <c r="F3" i="45" s="1"/>
  <c r="E2" i="44"/>
  <c r="K2" i="44"/>
  <c r="E2" i="43"/>
  <c r="K2" i="43"/>
  <c r="E12" i="43"/>
  <c r="F12" i="43" s="1"/>
  <c r="E3" i="43"/>
  <c r="F3" i="43" s="1"/>
  <c r="E6" i="42"/>
  <c r="F6" i="42" s="1"/>
  <c r="E9" i="42"/>
  <c r="F9" i="42" s="1"/>
  <c r="E2" i="42"/>
  <c r="K2" i="42"/>
  <c r="E13" i="42"/>
  <c r="F13" i="42" s="1"/>
  <c r="E7" i="42"/>
  <c r="F7" i="42" s="1"/>
  <c r="E12" i="42"/>
  <c r="F12" i="42" s="1"/>
  <c r="M2" i="41"/>
  <c r="M10" i="1"/>
  <c r="K10" i="1"/>
  <c r="J8" i="1"/>
  <c r="M8" i="1"/>
  <c r="J10" i="1"/>
  <c r="K8" i="1"/>
  <c r="L8" i="1"/>
  <c r="L10" i="1"/>
  <c r="M11" i="1" l="1"/>
  <c r="L11" i="1"/>
  <c r="K11" i="1"/>
  <c r="J11" i="1"/>
  <c r="L4" i="51" a="1"/>
  <c r="L4" i="51" s="1"/>
  <c r="K4" i="51" s="1"/>
  <c r="L7" i="51" a="1"/>
  <c r="L7" i="51" s="1"/>
  <c r="L5" i="51" a="1"/>
  <c r="L5" i="51" s="1"/>
  <c r="K5" i="51" s="1"/>
  <c r="L6" i="51" a="1"/>
  <c r="L6" i="51" s="1"/>
  <c r="K6" i="51" s="1"/>
  <c r="F2" i="51"/>
  <c r="L4" i="50" a="1"/>
  <c r="L4" i="50" s="1"/>
  <c r="K4" i="50" s="1"/>
  <c r="L5" i="50" a="1"/>
  <c r="L5" i="50" s="1"/>
  <c r="K5" i="50" s="1"/>
  <c r="L6" i="50" a="1"/>
  <c r="L6" i="50" s="1"/>
  <c r="K6" i="50" s="1"/>
  <c r="F2" i="50"/>
  <c r="L7" i="50" a="1"/>
  <c r="L7" i="50" s="1"/>
  <c r="L4" i="49" a="1"/>
  <c r="L4" i="49" s="1"/>
  <c r="K4" i="49" s="1"/>
  <c r="L5" i="49" a="1"/>
  <c r="L5" i="49" s="1"/>
  <c r="K5" i="49" s="1"/>
  <c r="L6" i="49" a="1"/>
  <c r="L6" i="49" s="1"/>
  <c r="K6" i="49" s="1"/>
  <c r="F2" i="49"/>
  <c r="L7" i="49" a="1"/>
  <c r="L7" i="49" s="1"/>
  <c r="L5" i="48" a="1"/>
  <c r="L5" i="48" s="1"/>
  <c r="K5" i="48" s="1"/>
  <c r="L6" i="48" a="1"/>
  <c r="L6" i="48" s="1"/>
  <c r="K6" i="48" s="1"/>
  <c r="L4" i="48" a="1"/>
  <c r="L4" i="48" s="1"/>
  <c r="K4" i="48" s="1"/>
  <c r="F2" i="48"/>
  <c r="L7" i="48" a="1"/>
  <c r="L7" i="48" s="1"/>
  <c r="L4" i="47" a="1"/>
  <c r="L4" i="47" s="1"/>
  <c r="K4" i="47" s="1"/>
  <c r="L5" i="47" a="1"/>
  <c r="L5" i="47" s="1"/>
  <c r="K5" i="47" s="1"/>
  <c r="F2" i="47"/>
  <c r="L6" i="47" a="1"/>
  <c r="L6" i="47" s="1"/>
  <c r="K6" i="47" s="1"/>
  <c r="L7" i="47" a="1"/>
  <c r="L7" i="47" s="1"/>
  <c r="L4" i="46" a="1"/>
  <c r="L4" i="46" s="1"/>
  <c r="K4" i="46" s="1"/>
  <c r="L6" i="46" a="1"/>
  <c r="L6" i="46" s="1"/>
  <c r="K6" i="46" s="1"/>
  <c r="L7" i="46" a="1"/>
  <c r="L7" i="46" s="1"/>
  <c r="L5" i="46" a="1"/>
  <c r="L5" i="46" s="1"/>
  <c r="K5" i="46" s="1"/>
  <c r="F2" i="46"/>
  <c r="L4" i="45" a="1"/>
  <c r="L4" i="45" s="1"/>
  <c r="K4" i="45" s="1"/>
  <c r="L5" i="45" a="1"/>
  <c r="L5" i="45" s="1"/>
  <c r="K5" i="45" s="1"/>
  <c r="L6" i="45" a="1"/>
  <c r="L6" i="45" s="1"/>
  <c r="K6" i="45" s="1"/>
  <c r="F2" i="45"/>
  <c r="L7" i="45" a="1"/>
  <c r="L7" i="45" s="1"/>
  <c r="L4" i="44" a="1"/>
  <c r="L4" i="44" s="1"/>
  <c r="K4" i="44" s="1"/>
  <c r="L5" i="44" a="1"/>
  <c r="L5" i="44" s="1"/>
  <c r="K5" i="44" s="1"/>
  <c r="L6" i="44" a="1"/>
  <c r="L6" i="44" s="1"/>
  <c r="K6" i="44" s="1"/>
  <c r="F2" i="44"/>
  <c r="L7" i="44" a="1"/>
  <c r="L7" i="44" s="1"/>
  <c r="L4" i="43" a="1"/>
  <c r="L4" i="43" s="1"/>
  <c r="K4" i="43" s="1"/>
  <c r="L5" i="43" a="1"/>
  <c r="L5" i="43" s="1"/>
  <c r="K5" i="43" s="1"/>
  <c r="F2" i="43"/>
  <c r="L6" i="43" a="1"/>
  <c r="L6" i="43" s="1"/>
  <c r="K6" i="43" s="1"/>
  <c r="L7" i="43" a="1"/>
  <c r="L7" i="43" s="1"/>
  <c r="L4" i="42" a="1"/>
  <c r="L4" i="42" s="1"/>
  <c r="K4" i="42" s="1"/>
  <c r="L5" i="42" a="1"/>
  <c r="L5" i="42" s="1"/>
  <c r="K5" i="42" s="1"/>
  <c r="L7" i="42" a="1"/>
  <c r="L7" i="42" s="1"/>
  <c r="F2" i="42"/>
  <c r="L6" i="42" a="1"/>
  <c r="L6" i="42" s="1"/>
  <c r="K6" i="42" s="1"/>
  <c r="E41" i="41"/>
  <c r="F41" i="41" s="1"/>
  <c r="E40" i="41"/>
  <c r="F40" i="41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3" i="41"/>
  <c r="F33" i="41" s="1"/>
  <c r="E32" i="41"/>
  <c r="F32" i="41" s="1"/>
  <c r="E31" i="41"/>
  <c r="F31" i="41" s="1"/>
  <c r="E30" i="41"/>
  <c r="F30" i="41" s="1"/>
  <c r="E29" i="41"/>
  <c r="F29" i="41" s="1"/>
  <c r="E28" i="41"/>
  <c r="F28" i="41" s="1"/>
  <c r="E27" i="41"/>
  <c r="F27" i="41" s="1"/>
  <c r="E26" i="41"/>
  <c r="F26" i="41" s="1"/>
  <c r="E25" i="41"/>
  <c r="F25" i="41" s="1"/>
  <c r="E24" i="41"/>
  <c r="F24" i="41" s="1"/>
  <c r="E23" i="41"/>
  <c r="F23" i="41" s="1"/>
  <c r="E22" i="41"/>
  <c r="F22" i="4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E15" i="41"/>
  <c r="F15" i="41" s="1"/>
  <c r="E14" i="41"/>
  <c r="F14" i="41" s="1"/>
  <c r="E13" i="41"/>
  <c r="F13" i="41" s="1"/>
  <c r="E12" i="41"/>
  <c r="F12" i="41" s="1"/>
  <c r="E11" i="41"/>
  <c r="F11" i="41" s="1"/>
  <c r="E10" i="41"/>
  <c r="F10" i="41" s="1"/>
  <c r="E9" i="41"/>
  <c r="F9" i="41" s="1"/>
  <c r="E8" i="41"/>
  <c r="F8" i="41" s="1"/>
  <c r="E7" i="41"/>
  <c r="F7" i="41" s="1"/>
  <c r="E6" i="41"/>
  <c r="F6" i="41" s="1"/>
  <c r="E5" i="41"/>
  <c r="F5" i="41" s="1"/>
  <c r="E4" i="41"/>
  <c r="F4" i="41" s="1"/>
  <c r="M1" i="41"/>
  <c r="E10" i="1"/>
  <c r="H9" i="1"/>
  <c r="E7" i="1"/>
  <c r="C7" i="1"/>
  <c r="F10" i="1"/>
  <c r="D7" i="1"/>
  <c r="C9" i="1"/>
  <c r="D9" i="1"/>
  <c r="B7" i="1"/>
  <c r="G10" i="1"/>
  <c r="H8" i="1"/>
  <c r="D10" i="1"/>
  <c r="G9" i="1"/>
  <c r="F7" i="1"/>
  <c r="F8" i="1"/>
  <c r="G7" i="1"/>
  <c r="D8" i="1"/>
  <c r="H10" i="1"/>
  <c r="G8" i="1"/>
  <c r="B9" i="1"/>
  <c r="E9" i="1"/>
  <c r="H7" i="1"/>
  <c r="C8" i="1"/>
  <c r="C10" i="1"/>
  <c r="F9" i="1"/>
  <c r="E8" i="1"/>
  <c r="L3" i="51" l="1"/>
  <c r="K3" i="51" s="1"/>
  <c r="K7" i="51" s="1"/>
  <c r="L13" i="51" a="1"/>
  <c r="L13" i="51" s="1"/>
  <c r="K13" i="51" s="1"/>
  <c r="L10" i="51" a="1"/>
  <c r="L10" i="51" s="1"/>
  <c r="L11" i="51" a="1"/>
  <c r="L11" i="51" s="1"/>
  <c r="K11" i="51" s="1"/>
  <c r="L12" i="51" a="1"/>
  <c r="L12" i="51" s="1"/>
  <c r="K12" i="51" s="1"/>
  <c r="L3" i="50"/>
  <c r="K3" i="50" s="1"/>
  <c r="K7" i="50" s="1"/>
  <c r="L13" i="50" a="1"/>
  <c r="L13" i="50" s="1"/>
  <c r="K13" i="50" s="1"/>
  <c r="L10" i="50" a="1"/>
  <c r="L10" i="50" s="1"/>
  <c r="L11" i="50" a="1"/>
  <c r="L11" i="50" s="1"/>
  <c r="K11" i="50" s="1"/>
  <c r="L12" i="50" a="1"/>
  <c r="L12" i="50" s="1"/>
  <c r="K12" i="50" s="1"/>
  <c r="L13" i="49" a="1"/>
  <c r="L13" i="49" s="1"/>
  <c r="K13" i="49" s="1"/>
  <c r="L10" i="49" a="1"/>
  <c r="L10" i="49" s="1"/>
  <c r="L11" i="49" a="1"/>
  <c r="L11" i="49" s="1"/>
  <c r="K11" i="49" s="1"/>
  <c r="L12" i="49" a="1"/>
  <c r="L12" i="49" s="1"/>
  <c r="K12" i="49" s="1"/>
  <c r="L3" i="49"/>
  <c r="K3" i="49" s="1"/>
  <c r="K7" i="49" s="1"/>
  <c r="L3" i="48"/>
  <c r="K3" i="48" s="1"/>
  <c r="K7" i="48" s="1"/>
  <c r="L13" i="48" a="1"/>
  <c r="L13" i="48" s="1"/>
  <c r="K13" i="48" s="1"/>
  <c r="L10" i="48" a="1"/>
  <c r="L10" i="48" s="1"/>
  <c r="L11" i="48" a="1"/>
  <c r="L11" i="48" s="1"/>
  <c r="K11" i="48" s="1"/>
  <c r="L12" i="48" a="1"/>
  <c r="L12" i="48" s="1"/>
  <c r="K12" i="48" s="1"/>
  <c r="L3" i="47"/>
  <c r="K3" i="47" s="1"/>
  <c r="K7" i="47" s="1"/>
  <c r="L13" i="47" a="1"/>
  <c r="L13" i="47" s="1"/>
  <c r="K13" i="47" s="1"/>
  <c r="L10" i="47" a="1"/>
  <c r="L10" i="47" s="1"/>
  <c r="L11" i="47" a="1"/>
  <c r="L11" i="47" s="1"/>
  <c r="K11" i="47" s="1"/>
  <c r="L12" i="47" a="1"/>
  <c r="L12" i="47" s="1"/>
  <c r="K12" i="47" s="1"/>
  <c r="L3" i="46"/>
  <c r="K3" i="46" s="1"/>
  <c r="K7" i="46" s="1"/>
  <c r="L13" i="46" a="1"/>
  <c r="L13" i="46" s="1"/>
  <c r="K13" i="46" s="1"/>
  <c r="L10" i="46" a="1"/>
  <c r="L10" i="46" s="1"/>
  <c r="L11" i="46" a="1"/>
  <c r="L11" i="46" s="1"/>
  <c r="K11" i="46" s="1"/>
  <c r="L12" i="46" a="1"/>
  <c r="L12" i="46" s="1"/>
  <c r="K12" i="46" s="1"/>
  <c r="L3" i="45"/>
  <c r="K3" i="45" s="1"/>
  <c r="K7" i="45" s="1"/>
  <c r="L13" i="45" a="1"/>
  <c r="L13" i="45" s="1"/>
  <c r="K13" i="45" s="1"/>
  <c r="L10" i="45" a="1"/>
  <c r="L10" i="45" s="1"/>
  <c r="L11" i="45" a="1"/>
  <c r="L11" i="45" s="1"/>
  <c r="K11" i="45" s="1"/>
  <c r="L12" i="45" a="1"/>
  <c r="L12" i="45" s="1"/>
  <c r="K12" i="45" s="1"/>
  <c r="L13" i="44" a="1"/>
  <c r="L13" i="44" s="1"/>
  <c r="K13" i="44" s="1"/>
  <c r="L10" i="44" a="1"/>
  <c r="L10" i="44" s="1"/>
  <c r="L11" i="44" a="1"/>
  <c r="L11" i="44" s="1"/>
  <c r="K11" i="44" s="1"/>
  <c r="L12" i="44" a="1"/>
  <c r="L12" i="44" s="1"/>
  <c r="K12" i="44" s="1"/>
  <c r="L3" i="44"/>
  <c r="K3" i="44" s="1"/>
  <c r="K7" i="44" s="1"/>
  <c r="L3" i="43"/>
  <c r="K3" i="43" s="1"/>
  <c r="K7" i="43" s="1"/>
  <c r="L13" i="43" a="1"/>
  <c r="L13" i="43" s="1"/>
  <c r="K13" i="43" s="1"/>
  <c r="L11" i="43" a="1"/>
  <c r="L11" i="43" s="1"/>
  <c r="K11" i="43" s="1"/>
  <c r="L10" i="43" a="1"/>
  <c r="L10" i="43" s="1"/>
  <c r="L12" i="43" a="1"/>
  <c r="L12" i="43" s="1"/>
  <c r="K12" i="43" s="1"/>
  <c r="L13" i="42" a="1"/>
  <c r="L13" i="42" s="1"/>
  <c r="K13" i="42" s="1"/>
  <c r="L12" i="42" a="1"/>
  <c r="L12" i="42" s="1"/>
  <c r="K12" i="42" s="1"/>
  <c r="L10" i="42" a="1"/>
  <c r="L10" i="42" s="1"/>
  <c r="L11" i="42" a="1"/>
  <c r="L11" i="42" s="1"/>
  <c r="K11" i="42" s="1"/>
  <c r="L3" i="42"/>
  <c r="K3" i="42" s="1"/>
  <c r="K7" i="42" s="1"/>
  <c r="E3" i="41"/>
  <c r="F3" i="41" s="1"/>
  <c r="D42" i="41"/>
  <c r="E2" i="41"/>
  <c r="K2" i="41"/>
  <c r="C11" i="1"/>
  <c r="F11" i="1"/>
  <c r="E11" i="1"/>
  <c r="H11" i="1"/>
  <c r="G11" i="1"/>
  <c r="D11" i="1"/>
  <c r="B10" i="1"/>
  <c r="K5" i="1"/>
  <c r="C3" i="1"/>
  <c r="D4" i="1"/>
  <c r="L5" i="1"/>
  <c r="C4" i="1"/>
  <c r="B8" i="1"/>
  <c r="K3" i="1"/>
  <c r="G5" i="1"/>
  <c r="J5" i="1"/>
  <c r="J3" i="1"/>
  <c r="H3" i="1"/>
  <c r="E3" i="1"/>
  <c r="D5" i="1"/>
  <c r="M3" i="1"/>
  <c r="K4" i="1"/>
  <c r="G3" i="1"/>
  <c r="E4" i="1"/>
  <c r="G4" i="1"/>
  <c r="C5" i="1"/>
  <c r="L3" i="1"/>
  <c r="M4" i="1"/>
  <c r="L4" i="1"/>
  <c r="F3" i="1"/>
  <c r="J4" i="1"/>
  <c r="H5" i="1"/>
  <c r="F4" i="1"/>
  <c r="H4" i="1"/>
  <c r="M5" i="1"/>
  <c r="D3" i="1"/>
  <c r="E5" i="1"/>
  <c r="F5" i="1"/>
  <c r="K10" i="51" l="1"/>
  <c r="L14" i="51"/>
  <c r="K10" i="50"/>
  <c r="L14" i="50"/>
  <c r="K10" i="49"/>
  <c r="L14" i="49"/>
  <c r="K10" i="48"/>
  <c r="L14" i="48"/>
  <c r="K10" i="47"/>
  <c r="L14" i="47"/>
  <c r="K10" i="46"/>
  <c r="L14" i="46"/>
  <c r="K10" i="45"/>
  <c r="L14" i="45"/>
  <c r="K10" i="44"/>
  <c r="L14" i="44"/>
  <c r="K10" i="43"/>
  <c r="L14" i="43"/>
  <c r="K10" i="42"/>
  <c r="L14" i="42"/>
  <c r="B11" i="1"/>
  <c r="L4" i="41" a="1"/>
  <c r="L4" i="41" s="1"/>
  <c r="K4" i="41" s="1"/>
  <c r="L7" i="41" a="1"/>
  <c r="L7" i="41" s="1"/>
  <c r="L5" i="41" a="1"/>
  <c r="L5" i="41" s="1"/>
  <c r="K5" i="41" s="1"/>
  <c r="F2" i="41"/>
  <c r="L6" i="41" a="1"/>
  <c r="L6" i="41" s="1"/>
  <c r="K6" i="41" s="1"/>
  <c r="D42" i="10"/>
  <c r="D42" i="24"/>
  <c r="E42" i="2"/>
  <c r="D42" i="16"/>
  <c r="D42" i="13"/>
  <c r="D42" i="9"/>
  <c r="D42" i="7"/>
  <c r="D42" i="28"/>
  <c r="D42" i="27"/>
  <c r="D42" i="26"/>
  <c r="D42" i="25"/>
  <c r="D42" i="21"/>
  <c r="D42" i="20"/>
  <c r="D42" i="18"/>
  <c r="D42" i="17"/>
  <c r="D42" i="12"/>
  <c r="D42" i="11"/>
  <c r="D42" i="8"/>
  <c r="D42" i="6"/>
  <c r="E2" i="6"/>
  <c r="A1" i="1"/>
  <c r="L2" i="1"/>
  <c r="M2" i="1"/>
  <c r="F2" i="1"/>
  <c r="E2" i="1"/>
  <c r="D2" i="1"/>
  <c r="G2" i="1"/>
  <c r="H2" i="1"/>
  <c r="K2" i="1"/>
  <c r="C2" i="1"/>
  <c r="J2" i="1"/>
  <c r="K14" i="51" l="1"/>
  <c r="K14" i="50"/>
  <c r="K14" i="49"/>
  <c r="K14" i="48"/>
  <c r="K14" i="47"/>
  <c r="K14" i="46"/>
  <c r="K14" i="45"/>
  <c r="K14" i="44"/>
  <c r="K14" i="43"/>
  <c r="K14" i="42"/>
  <c r="L13" i="41" a="1"/>
  <c r="L13" i="41" s="1"/>
  <c r="K13" i="41" s="1"/>
  <c r="L10" i="41" a="1"/>
  <c r="L10" i="41" s="1"/>
  <c r="L11" i="41" a="1"/>
  <c r="L11" i="41" s="1"/>
  <c r="K11" i="41" s="1"/>
  <c r="L12" i="41" a="1"/>
  <c r="L12" i="41" s="1"/>
  <c r="K12" i="41" s="1"/>
  <c r="L3" i="41"/>
  <c r="K3" i="41" s="1"/>
  <c r="K7" i="41" s="1"/>
  <c r="D42" i="3"/>
  <c r="G6" i="1"/>
  <c r="M6" i="1"/>
  <c r="D6" i="1"/>
  <c r="J6" i="1"/>
  <c r="H6" i="1"/>
  <c r="K6" i="1"/>
  <c r="C6" i="1"/>
  <c r="B3" i="1"/>
  <c r="L6" i="1"/>
  <c r="E6" i="1"/>
  <c r="F6" i="1"/>
  <c r="B4" i="1"/>
  <c r="B5" i="1"/>
  <c r="K10" i="41" l="1"/>
  <c r="L14" i="41"/>
  <c r="M1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M2" i="27"/>
  <c r="M1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M2" i="26"/>
  <c r="M1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M2" i="25"/>
  <c r="M1" i="25"/>
  <c r="E15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M2" i="24"/>
  <c r="M1" i="24"/>
  <c r="E9" i="24"/>
  <c r="F9" i="24" s="1"/>
  <c r="E15" i="24"/>
  <c r="F15" i="24" s="1"/>
  <c r="E18" i="24"/>
  <c r="F18" i="24" s="1"/>
  <c r="E25" i="24"/>
  <c r="F25" i="24" s="1"/>
  <c r="E26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M2" i="21"/>
  <c r="M1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M2" i="2"/>
  <c r="M1" i="2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M2" i="18"/>
  <c r="M1" i="18"/>
  <c r="M2" i="17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M1" i="17"/>
  <c r="E23" i="17"/>
  <c r="E32" i="17"/>
  <c r="E33" i="17"/>
  <c r="E34" i="17"/>
  <c r="E35" i="17"/>
  <c r="E36" i="17"/>
  <c r="E37" i="17"/>
  <c r="E38" i="17"/>
  <c r="E39" i="17"/>
  <c r="E40" i="17"/>
  <c r="E41" i="17"/>
  <c r="E2" i="17"/>
  <c r="M2" i="16"/>
  <c r="M1" i="16"/>
  <c r="E25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M2" i="13"/>
  <c r="B2" i="1"/>
  <c r="K14" i="41" l="1"/>
  <c r="E13" i="18"/>
  <c r="E25" i="17"/>
  <c r="E17" i="16"/>
  <c r="E5" i="18"/>
  <c r="E23" i="24"/>
  <c r="F23" i="24" s="1"/>
  <c r="E22" i="24"/>
  <c r="F22" i="24" s="1"/>
  <c r="E28" i="17"/>
  <c r="E27" i="17"/>
  <c r="E19" i="17"/>
  <c r="E26" i="17"/>
  <c r="E18" i="17"/>
  <c r="E20" i="24"/>
  <c r="F20" i="24" s="1"/>
  <c r="E20" i="17"/>
  <c r="E7" i="25"/>
  <c r="E16" i="28"/>
  <c r="E8" i="28"/>
  <c r="L6" i="28" s="1" a="1"/>
  <c r="E15" i="28"/>
  <c r="E7" i="28"/>
  <c r="E24" i="17"/>
  <c r="E14" i="28"/>
  <c r="E6" i="28"/>
  <c r="E9" i="28"/>
  <c r="E31" i="17"/>
  <c r="E7" i="17"/>
  <c r="E30" i="17"/>
  <c r="E22" i="17"/>
  <c r="E12" i="28"/>
  <c r="E4" i="28"/>
  <c r="E29" i="17"/>
  <c r="E21" i="17"/>
  <c r="E10" i="28"/>
  <c r="E24" i="16"/>
  <c r="E10" i="25"/>
  <c r="E3" i="28"/>
  <c r="L7" i="28" s="1" a="1"/>
  <c r="E29" i="16"/>
  <c r="E21" i="16"/>
  <c r="E13" i="27"/>
  <c r="E22" i="16"/>
  <c r="E28" i="16"/>
  <c r="E20" i="16"/>
  <c r="E27" i="24"/>
  <c r="E19" i="24"/>
  <c r="F19" i="24" s="1"/>
  <c r="E27" i="16"/>
  <c r="E19" i="16"/>
  <c r="E26" i="16"/>
  <c r="E18" i="16"/>
  <c r="E16" i="26"/>
  <c r="E7" i="26"/>
  <c r="E13" i="28"/>
  <c r="E13" i="17"/>
  <c r="E24" i="24"/>
  <c r="F24" i="24" s="1"/>
  <c r="E14" i="26"/>
  <c r="E13" i="26"/>
  <c r="E23" i="16"/>
  <c r="E12" i="26"/>
  <c r="E4" i="26"/>
  <c r="E21" i="24"/>
  <c r="F21" i="24" s="1"/>
  <c r="E5" i="24"/>
  <c r="F5" i="24" s="1"/>
  <c r="E12" i="18"/>
  <c r="E9" i="27"/>
  <c r="E11" i="26"/>
  <c r="E2" i="2"/>
  <c r="F2" i="2" s="1"/>
  <c r="E17" i="27"/>
  <c r="E8" i="18"/>
  <c r="E8" i="2"/>
  <c r="F8" i="2" s="1"/>
  <c r="E15" i="21"/>
  <c r="E9" i="26"/>
  <c r="E11" i="28"/>
  <c r="E8" i="26"/>
  <c r="E16" i="18"/>
  <c r="E4" i="18"/>
  <c r="L6" i="18" s="1" a="1"/>
  <c r="E17" i="26"/>
  <c r="E15" i="2"/>
  <c r="F15" i="2" s="1"/>
  <c r="E12" i="16"/>
  <c r="E15" i="26"/>
  <c r="E3" i="26"/>
  <c r="E17" i="28"/>
  <c r="L4" i="28" s="1" a="1"/>
  <c r="E5" i="28"/>
  <c r="K2" i="28"/>
  <c r="E2" i="28"/>
  <c r="K2" i="27"/>
  <c r="E16" i="27"/>
  <c r="K2" i="26"/>
  <c r="E2" i="26"/>
  <c r="L6" i="26" s="1" a="1"/>
  <c r="E10" i="26"/>
  <c r="E6" i="26"/>
  <c r="K2" i="25"/>
  <c r="E2" i="25"/>
  <c r="K2" i="24"/>
  <c r="E10" i="24"/>
  <c r="F10" i="24" s="1"/>
  <c r="K2" i="21"/>
  <c r="E8" i="21"/>
  <c r="K2" i="2"/>
  <c r="E9" i="2"/>
  <c r="F9" i="2" s="1"/>
  <c r="E2" i="18"/>
  <c r="K2" i="18"/>
  <c r="K2" i="17"/>
  <c r="E6" i="17"/>
  <c r="K2" i="16"/>
  <c r="E10" i="16"/>
  <c r="E8" i="27"/>
  <c r="E5" i="27"/>
  <c r="E7" i="27"/>
  <c r="E14" i="27"/>
  <c r="E6" i="27"/>
  <c r="E12" i="27"/>
  <c r="E4" i="27"/>
  <c r="E11" i="27"/>
  <c r="E3" i="27"/>
  <c r="E2" i="27"/>
  <c r="E10" i="27"/>
  <c r="E15" i="27"/>
  <c r="E5" i="26"/>
  <c r="E12" i="25"/>
  <c r="E4" i="25"/>
  <c r="E11" i="25"/>
  <c r="E3" i="25"/>
  <c r="E17" i="25"/>
  <c r="E9" i="25"/>
  <c r="E16" i="25"/>
  <c r="E8" i="25"/>
  <c r="E14" i="25"/>
  <c r="E6" i="25"/>
  <c r="E13" i="25"/>
  <c r="E5" i="25"/>
  <c r="L6" i="25" s="1" a="1"/>
  <c r="E2" i="16"/>
  <c r="L7" i="16" s="1" a="1"/>
  <c r="E14" i="24"/>
  <c r="F14" i="24" s="1"/>
  <c r="E6" i="16"/>
  <c r="E11" i="16"/>
  <c r="E5" i="17"/>
  <c r="E16" i="21"/>
  <c r="E2" i="24"/>
  <c r="L7" i="24" s="1" a="1"/>
  <c r="E7" i="24"/>
  <c r="F7" i="24" s="1"/>
  <c r="E10" i="17"/>
  <c r="E12" i="2"/>
  <c r="F12" i="2" s="1"/>
  <c r="E12" i="24"/>
  <c r="F12" i="24" s="1"/>
  <c r="E6" i="24"/>
  <c r="F6" i="24" s="1"/>
  <c r="E4" i="17"/>
  <c r="L6" i="17" s="1" a="1"/>
  <c r="E16" i="17"/>
  <c r="E12" i="21"/>
  <c r="E15" i="17"/>
  <c r="E17" i="2"/>
  <c r="F17" i="2" s="1"/>
  <c r="E7" i="21"/>
  <c r="L4" i="21" s="1" a="1"/>
  <c r="E6" i="21"/>
  <c r="E13" i="24"/>
  <c r="F13" i="24" s="1"/>
  <c r="E4" i="24"/>
  <c r="F4" i="24" s="1"/>
  <c r="E17" i="24"/>
  <c r="F17" i="24" s="1"/>
  <c r="E8" i="24"/>
  <c r="F8" i="24" s="1"/>
  <c r="E3" i="24"/>
  <c r="F3" i="24" s="1"/>
  <c r="E16" i="24"/>
  <c r="F16" i="24" s="1"/>
  <c r="E11" i="24"/>
  <c r="F11" i="24" s="1"/>
  <c r="L4" i="24" a="1"/>
  <c r="E14" i="21"/>
  <c r="E5" i="21"/>
  <c r="E13" i="21"/>
  <c r="E4" i="21"/>
  <c r="L5" i="21" s="1" a="1"/>
  <c r="E10" i="21"/>
  <c r="E3" i="21"/>
  <c r="E2" i="21"/>
  <c r="E9" i="21"/>
  <c r="E17" i="21"/>
  <c r="E11" i="21"/>
  <c r="E11" i="2"/>
  <c r="F11" i="2" s="1"/>
  <c r="E16" i="2"/>
  <c r="F16" i="2" s="1"/>
  <c r="E3" i="2"/>
  <c r="F3" i="2" s="1"/>
  <c r="E14" i="2"/>
  <c r="F14" i="2" s="1"/>
  <c r="E13" i="2"/>
  <c r="F13" i="2" s="1"/>
  <c r="E7" i="2"/>
  <c r="F7" i="2" s="1"/>
  <c r="E10" i="2"/>
  <c r="F10" i="2" s="1"/>
  <c r="E6" i="2"/>
  <c r="F6" i="2" s="1"/>
  <c r="E5" i="2"/>
  <c r="F5" i="2" s="1"/>
  <c r="E4" i="2"/>
  <c r="F4" i="2" s="1"/>
  <c r="E11" i="18"/>
  <c r="E3" i="18"/>
  <c r="L4" i="18" s="1" a="1"/>
  <c r="E10" i="18"/>
  <c r="E17" i="18"/>
  <c r="E9" i="18"/>
  <c r="E15" i="18"/>
  <c r="E7" i="18"/>
  <c r="E14" i="18"/>
  <c r="E6" i="18"/>
  <c r="E14" i="17"/>
  <c r="E9" i="17"/>
  <c r="E3" i="17"/>
  <c r="E12" i="17"/>
  <c r="L4" i="17" s="1" a="1"/>
  <c r="E17" i="17"/>
  <c r="E11" i="17"/>
  <c r="E8" i="17"/>
  <c r="E4" i="16"/>
  <c r="E15" i="16"/>
  <c r="E7" i="16"/>
  <c r="E5" i="16"/>
  <c r="E14" i="16"/>
  <c r="E9" i="16"/>
  <c r="E3" i="16"/>
  <c r="E8" i="16"/>
  <c r="E13" i="16"/>
  <c r="E16" i="16"/>
  <c r="M1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M2" i="20"/>
  <c r="M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M2" i="12"/>
  <c r="M1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M2" i="11"/>
  <c r="M1" i="11"/>
  <c r="E18" i="11"/>
  <c r="F18" i="11" s="1"/>
  <c r="E19" i="11"/>
  <c r="F19" i="11" s="1"/>
  <c r="E20" i="11"/>
  <c r="F20" i="11" s="1"/>
  <c r="E21" i="11"/>
  <c r="F21" i="11" s="1"/>
  <c r="E22" i="11"/>
  <c r="F22" i="11" s="1"/>
  <c r="E23" i="11"/>
  <c r="F23" i="11" s="1"/>
  <c r="E24" i="11"/>
  <c r="F24" i="11" s="1"/>
  <c r="E25" i="11"/>
  <c r="F25" i="11" s="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18" i="10"/>
  <c r="F18" i="10" s="1"/>
  <c r="E19" i="10"/>
  <c r="F19" i="10" s="1"/>
  <c r="E20" i="10"/>
  <c r="F20" i="10" s="1"/>
  <c r="E21" i="10"/>
  <c r="F21" i="10" s="1"/>
  <c r="E22" i="10"/>
  <c r="F22" i="10" s="1"/>
  <c r="E23" i="10"/>
  <c r="F23" i="10" s="1"/>
  <c r="E24" i="10"/>
  <c r="F24" i="10" s="1"/>
  <c r="E25" i="10"/>
  <c r="F25" i="10" s="1"/>
  <c r="E26" i="10"/>
  <c r="F26" i="10" s="1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M2" i="10"/>
  <c r="M1" i="10"/>
  <c r="M2" i="9"/>
  <c r="M2" i="8"/>
  <c r="M1" i="9"/>
  <c r="E18" i="9"/>
  <c r="E19" i="9"/>
  <c r="E20" i="9"/>
  <c r="E21" i="9"/>
  <c r="E22" i="9"/>
  <c r="E23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M1" i="8"/>
  <c r="E9" i="8"/>
  <c r="F9" i="8" s="1"/>
  <c r="E10" i="8"/>
  <c r="F10" i="8" s="1"/>
  <c r="E11" i="8"/>
  <c r="F11" i="8" s="1"/>
  <c r="E17" i="8"/>
  <c r="F17" i="8" s="1"/>
  <c r="E18" i="8"/>
  <c r="F18" i="8" s="1"/>
  <c r="E19" i="8"/>
  <c r="F19" i="8" s="1"/>
  <c r="E20" i="8"/>
  <c r="F20" i="8" s="1"/>
  <c r="E21" i="8"/>
  <c r="F21" i="8" s="1"/>
  <c r="E22" i="8"/>
  <c r="F22" i="8" s="1"/>
  <c r="E23" i="8"/>
  <c r="F23" i="8" s="1"/>
  <c r="E24" i="8"/>
  <c r="F24" i="8" s="1"/>
  <c r="E25" i="8"/>
  <c r="F25" i="8" s="1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M2" i="7"/>
  <c r="M1" i="7"/>
  <c r="E24" i="7"/>
  <c r="F24" i="7" s="1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M2" i="6"/>
  <c r="M1" i="6"/>
  <c r="E8" i="6"/>
  <c r="E13" i="6"/>
  <c r="E14" i="6"/>
  <c r="E20" i="6"/>
  <c r="E22" i="6"/>
  <c r="E25" i="6"/>
  <c r="E32" i="6"/>
  <c r="E34" i="6"/>
  <c r="E35" i="6"/>
  <c r="E36" i="6"/>
  <c r="E37" i="6"/>
  <c r="E38" i="6"/>
  <c r="E39" i="6"/>
  <c r="E40" i="6"/>
  <c r="E41" i="6"/>
  <c r="AD10" i="1"/>
  <c r="B6" i="1"/>
  <c r="Z10" i="1"/>
  <c r="Y10" i="1"/>
  <c r="Q9" i="1"/>
  <c r="I10" i="1"/>
  <c r="L5" i="28" l="1" a="1"/>
  <c r="L5" i="28" s="1"/>
  <c r="K5" i="28" s="1"/>
  <c r="L7" i="26" a="1"/>
  <c r="L7" i="26" s="1"/>
  <c r="L6" i="24" a="1"/>
  <c r="L6" i="24" s="1"/>
  <c r="K6" i="24" s="1"/>
  <c r="L7" i="21" a="1"/>
  <c r="L7" i="21" s="1"/>
  <c r="L7" i="18" a="1"/>
  <c r="L7" i="18" s="1"/>
  <c r="L7" i="17" a="1"/>
  <c r="L7" i="17" s="1"/>
  <c r="L5" i="17" a="1"/>
  <c r="L5" i="26" a="1"/>
  <c r="L5" i="26" s="1"/>
  <c r="K5" i="26" s="1"/>
  <c r="L4" i="26" a="1"/>
  <c r="L4" i="26" s="1"/>
  <c r="K4" i="26" s="1"/>
  <c r="L6" i="21" a="1"/>
  <c r="L6" i="21" s="1"/>
  <c r="K6" i="21" s="1"/>
  <c r="L10" i="2" a="1"/>
  <c r="L11" i="2" a="1"/>
  <c r="L12" i="2" a="1"/>
  <c r="L13" i="2" a="1"/>
  <c r="L5" i="16" a="1"/>
  <c r="L5" i="16" s="1"/>
  <c r="K5" i="16" s="1"/>
  <c r="L5" i="24" a="1"/>
  <c r="L5" i="24" s="1"/>
  <c r="K5" i="24" s="1"/>
  <c r="F2" i="24"/>
  <c r="L5" i="18" a="1"/>
  <c r="L5" i="18" s="1"/>
  <c r="K5" i="18" s="1"/>
  <c r="E7" i="11"/>
  <c r="F7" i="11" s="1"/>
  <c r="E33" i="6"/>
  <c r="E21" i="6"/>
  <c r="E9" i="6"/>
  <c r="E8" i="11"/>
  <c r="F8" i="11" s="1"/>
  <c r="E15" i="12"/>
  <c r="E19" i="6"/>
  <c r="E31" i="6"/>
  <c r="E24" i="9"/>
  <c r="E23" i="7"/>
  <c r="F23" i="7" s="1"/>
  <c r="E22" i="7"/>
  <c r="F22" i="7" s="1"/>
  <c r="E26" i="6"/>
  <c r="E10" i="6"/>
  <c r="E9" i="11"/>
  <c r="F9" i="11" s="1"/>
  <c r="E20" i="13"/>
  <c r="E21" i="7"/>
  <c r="F21" i="7" s="1"/>
  <c r="E20" i="7"/>
  <c r="F20" i="7" s="1"/>
  <c r="E19" i="7"/>
  <c r="F19" i="7" s="1"/>
  <c r="E18" i="7"/>
  <c r="F18" i="7" s="1"/>
  <c r="E6" i="11"/>
  <c r="F6" i="11" s="1"/>
  <c r="E19" i="13"/>
  <c r="E17" i="9"/>
  <c r="E9" i="9"/>
  <c r="E23" i="13"/>
  <c r="E5" i="10"/>
  <c r="F5" i="10" s="1"/>
  <c r="E3" i="10"/>
  <c r="F3" i="10" s="1"/>
  <c r="E6" i="6"/>
  <c r="E13" i="10"/>
  <c r="F13" i="10" s="1"/>
  <c r="E5" i="11"/>
  <c r="F5" i="11" s="1"/>
  <c r="E7" i="6"/>
  <c r="E30" i="6"/>
  <c r="E18" i="6"/>
  <c r="E29" i="6"/>
  <c r="E17" i="6"/>
  <c r="E5" i="6"/>
  <c r="E16" i="11"/>
  <c r="F16" i="11" s="1"/>
  <c r="E4" i="11"/>
  <c r="F4" i="11" s="1"/>
  <c r="E24" i="13"/>
  <c r="E28" i="6"/>
  <c r="E16" i="6"/>
  <c r="E4" i="6"/>
  <c r="E11" i="10"/>
  <c r="F11" i="10" s="1"/>
  <c r="E3" i="11"/>
  <c r="E27" i="6"/>
  <c r="E15" i="6"/>
  <c r="E3" i="6"/>
  <c r="E14" i="11"/>
  <c r="F14" i="11" s="1"/>
  <c r="E22" i="13"/>
  <c r="E13" i="11"/>
  <c r="F13" i="11" s="1"/>
  <c r="E8" i="12"/>
  <c r="E21" i="13"/>
  <c r="E12" i="11"/>
  <c r="F12" i="11" s="1"/>
  <c r="E24" i="6"/>
  <c r="E12" i="6"/>
  <c r="E23" i="6"/>
  <c r="E11" i="6"/>
  <c r="E10" i="11"/>
  <c r="F10" i="11" s="1"/>
  <c r="E18" i="13"/>
  <c r="L4" i="28"/>
  <c r="K4" i="28" s="1"/>
  <c r="L6" i="28"/>
  <c r="K6" i="28" s="1"/>
  <c r="K2" i="13"/>
  <c r="L7" i="28"/>
  <c r="L6" i="26"/>
  <c r="K6" i="26" s="1"/>
  <c r="L6" i="25"/>
  <c r="K6" i="25" s="1"/>
  <c r="E9" i="13"/>
  <c r="E2" i="13"/>
  <c r="E3" i="12"/>
  <c r="E17" i="13"/>
  <c r="E16" i="13"/>
  <c r="E5" i="13"/>
  <c r="E3" i="13"/>
  <c r="L5" i="27" a="1"/>
  <c r="L5" i="27" s="1"/>
  <c r="K5" i="27" s="1"/>
  <c r="L7" i="27" a="1"/>
  <c r="L7" i="27" s="1"/>
  <c r="L4" i="27" a="1"/>
  <c r="L4" i="27" s="1"/>
  <c r="L6" i="27" a="1"/>
  <c r="L6" i="27" s="1"/>
  <c r="K6" i="27" s="1"/>
  <c r="L7" i="25" a="1"/>
  <c r="L7" i="25" s="1"/>
  <c r="L4" i="25" a="1"/>
  <c r="L4" i="25" s="1"/>
  <c r="L5" i="25" a="1"/>
  <c r="L5" i="25" s="1"/>
  <c r="K5" i="25" s="1"/>
  <c r="E17" i="10"/>
  <c r="F17" i="10" s="1"/>
  <c r="E9" i="10"/>
  <c r="F9" i="10" s="1"/>
  <c r="E14" i="12"/>
  <c r="E6" i="12"/>
  <c r="E15" i="8"/>
  <c r="F15" i="8" s="1"/>
  <c r="E16" i="10"/>
  <c r="F16" i="10" s="1"/>
  <c r="E8" i="10"/>
  <c r="F8" i="10" s="1"/>
  <c r="E13" i="12"/>
  <c r="E15" i="13"/>
  <c r="E10" i="10"/>
  <c r="F10" i="10" s="1"/>
  <c r="E7" i="12"/>
  <c r="E14" i="8"/>
  <c r="F14" i="8" s="1"/>
  <c r="E15" i="10"/>
  <c r="F15" i="10" s="1"/>
  <c r="E7" i="10"/>
  <c r="F7" i="10" s="1"/>
  <c r="E2" i="12"/>
  <c r="E12" i="12"/>
  <c r="E13" i="13"/>
  <c r="E13" i="8"/>
  <c r="F13" i="8" s="1"/>
  <c r="E5" i="8"/>
  <c r="F5" i="8" s="1"/>
  <c r="E14" i="10"/>
  <c r="F14" i="10" s="1"/>
  <c r="E6" i="10"/>
  <c r="F6" i="10" s="1"/>
  <c r="E8" i="13"/>
  <c r="L4" i="21"/>
  <c r="K4" i="21" s="1"/>
  <c r="E12" i="10"/>
  <c r="F12" i="10" s="1"/>
  <c r="E4" i="10"/>
  <c r="F4" i="10" s="1"/>
  <c r="E16" i="12"/>
  <c r="E9" i="12"/>
  <c r="L7" i="24"/>
  <c r="L4" i="24"/>
  <c r="L5" i="21"/>
  <c r="K5" i="21" s="1"/>
  <c r="L6" i="2" a="1"/>
  <c r="L6" i="2" s="1"/>
  <c r="K6" i="2" s="1"/>
  <c r="L7" i="2" a="1"/>
  <c r="L7" i="2" s="1"/>
  <c r="L4" i="2" a="1"/>
  <c r="L4" i="2" s="1"/>
  <c r="L5" i="2" a="1"/>
  <c r="L5" i="2" s="1"/>
  <c r="K5" i="2" s="1"/>
  <c r="L4" i="18"/>
  <c r="K4" i="18" s="1"/>
  <c r="L6" i="18"/>
  <c r="K6" i="18" s="1"/>
  <c r="L5" i="17"/>
  <c r="K5" i="17" s="1"/>
  <c r="L6" i="17"/>
  <c r="K6" i="17" s="1"/>
  <c r="L4" i="17"/>
  <c r="K4" i="17" s="1"/>
  <c r="L7" i="16"/>
  <c r="L6" i="16" a="1"/>
  <c r="L6" i="16" s="1"/>
  <c r="K6" i="16" s="1"/>
  <c r="L4" i="16" a="1"/>
  <c r="L4" i="16" s="1"/>
  <c r="E4" i="13"/>
  <c r="E11" i="13"/>
  <c r="E10" i="13"/>
  <c r="E7" i="13"/>
  <c r="E14" i="13"/>
  <c r="E6" i="13"/>
  <c r="E12" i="13"/>
  <c r="E17" i="11"/>
  <c r="F17" i="11" s="1"/>
  <c r="E5" i="9"/>
  <c r="E20" i="20"/>
  <c r="K2" i="20"/>
  <c r="K2" i="12"/>
  <c r="K2" i="11"/>
  <c r="E2" i="11"/>
  <c r="E2" i="10"/>
  <c r="F2" i="10" s="1"/>
  <c r="K2" i="9"/>
  <c r="K2" i="8"/>
  <c r="E2" i="8"/>
  <c r="E4" i="8"/>
  <c r="F4" i="8" s="1"/>
  <c r="E11" i="12"/>
  <c r="E5" i="12"/>
  <c r="E17" i="12"/>
  <c r="E4" i="12"/>
  <c r="E10" i="12"/>
  <c r="E11" i="11"/>
  <c r="F11" i="11" s="1"/>
  <c r="E15" i="11"/>
  <c r="F15" i="11" s="1"/>
  <c r="E11" i="9"/>
  <c r="E12" i="9"/>
  <c r="E3" i="9"/>
  <c r="E2" i="9"/>
  <c r="L6" i="9" s="1" a="1"/>
  <c r="E10" i="9"/>
  <c r="E4" i="9"/>
  <c r="E16" i="9"/>
  <c r="L4" i="9" s="1" a="1"/>
  <c r="E15" i="9"/>
  <c r="E7" i="9"/>
  <c r="E8" i="9"/>
  <c r="E14" i="9"/>
  <c r="E6" i="9"/>
  <c r="E13" i="9"/>
  <c r="E16" i="8"/>
  <c r="F16" i="8" s="1"/>
  <c r="E8" i="8"/>
  <c r="F8" i="8" s="1"/>
  <c r="E7" i="8"/>
  <c r="F7" i="8" s="1"/>
  <c r="E3" i="8"/>
  <c r="F3" i="8" s="1"/>
  <c r="E12" i="8"/>
  <c r="F12" i="8" s="1"/>
  <c r="E6" i="8"/>
  <c r="K2" i="7"/>
  <c r="E2" i="7"/>
  <c r="F2" i="7" s="1"/>
  <c r="E3" i="7"/>
  <c r="F3" i="7" s="1"/>
  <c r="K2" i="6"/>
  <c r="E17" i="7"/>
  <c r="F17" i="7" s="1"/>
  <c r="E9" i="7"/>
  <c r="F9" i="7" s="1"/>
  <c r="E16" i="7"/>
  <c r="F16" i="7" s="1"/>
  <c r="E8" i="7"/>
  <c r="F8" i="7" s="1"/>
  <c r="E10" i="7"/>
  <c r="F10" i="7" s="1"/>
  <c r="E15" i="7"/>
  <c r="F15" i="7" s="1"/>
  <c r="E7" i="7"/>
  <c r="F7" i="7" s="1"/>
  <c r="E13" i="7"/>
  <c r="F13" i="7" s="1"/>
  <c r="E5" i="7"/>
  <c r="F5" i="7" s="1"/>
  <c r="E14" i="7"/>
  <c r="F14" i="7" s="1"/>
  <c r="E12" i="7"/>
  <c r="F12" i="7" s="1"/>
  <c r="E4" i="7"/>
  <c r="F4" i="7" s="1"/>
  <c r="E6" i="7"/>
  <c r="F6" i="7" s="1"/>
  <c r="E11" i="7"/>
  <c r="F11" i="7" s="1"/>
  <c r="M2" i="5"/>
  <c r="M1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T10" i="1"/>
  <c r="S10" i="1"/>
  <c r="Q8" i="1"/>
  <c r="R10" i="1"/>
  <c r="V10" i="1"/>
  <c r="U10" i="1"/>
  <c r="X10" i="1"/>
  <c r="AC10" i="1"/>
  <c r="Q10" i="1"/>
  <c r="P9" i="1"/>
  <c r="L6" i="11" l="1" a="1"/>
  <c r="L6" i="11" s="1"/>
  <c r="K6" i="11" s="1"/>
  <c r="L4" i="11" a="1"/>
  <c r="L7" i="9" a="1"/>
  <c r="L7" i="9" s="1"/>
  <c r="L5" i="13" a="1"/>
  <c r="L5" i="13" s="1"/>
  <c r="K5" i="13" s="1"/>
  <c r="L4" i="13" a="1"/>
  <c r="L4" i="13" s="1"/>
  <c r="K4" i="13" s="1"/>
  <c r="L6" i="12" a="1"/>
  <c r="L6" i="12" s="1"/>
  <c r="K6" i="12" s="1"/>
  <c r="L5" i="9" a="1"/>
  <c r="L5" i="9" s="1"/>
  <c r="K5" i="9" s="1"/>
  <c r="L5" i="11" a="1"/>
  <c r="L5" i="11" s="1"/>
  <c r="K5" i="11" s="1"/>
  <c r="F3" i="11"/>
  <c r="L7" i="11" a="1"/>
  <c r="L7" i="11" s="1"/>
  <c r="F2" i="11"/>
  <c r="L4" i="8" a="1"/>
  <c r="L4" i="8" s="1"/>
  <c r="K4" i="8" s="1"/>
  <c r="F2" i="8"/>
  <c r="L6" i="8" a="1"/>
  <c r="L6" i="8" s="1"/>
  <c r="K6" i="8" s="1"/>
  <c r="F6" i="8"/>
  <c r="L7" i="8" a="1"/>
  <c r="L7" i="8" s="1"/>
  <c r="E17" i="5"/>
  <c r="E18" i="5"/>
  <c r="E10" i="5"/>
  <c r="E19" i="5"/>
  <c r="E11" i="5"/>
  <c r="E3" i="5"/>
  <c r="E15" i="5"/>
  <c r="E7" i="5"/>
  <c r="E9" i="5"/>
  <c r="E13" i="5"/>
  <c r="E5" i="5"/>
  <c r="L3" i="28"/>
  <c r="K3" i="28" s="1"/>
  <c r="K7" i="28" s="1"/>
  <c r="L3" i="26"/>
  <c r="K3" i="26" s="1"/>
  <c r="K7" i="26" s="1"/>
  <c r="E12" i="20"/>
  <c r="E19" i="20"/>
  <c r="E8" i="20"/>
  <c r="K4" i="27"/>
  <c r="L3" i="27"/>
  <c r="K3" i="27" s="1"/>
  <c r="K4" i="25"/>
  <c r="L3" i="25"/>
  <c r="K3" i="25" s="1"/>
  <c r="E12" i="5"/>
  <c r="E4" i="5"/>
  <c r="L4" i="5" s="1" a="1"/>
  <c r="E15" i="20"/>
  <c r="E11" i="20"/>
  <c r="E9" i="20"/>
  <c r="E18" i="20"/>
  <c r="E16" i="5"/>
  <c r="E8" i="5"/>
  <c r="E5" i="20"/>
  <c r="E2" i="20"/>
  <c r="E4" i="20"/>
  <c r="E14" i="5"/>
  <c r="E6" i="5"/>
  <c r="L6" i="5" s="1" a="1"/>
  <c r="E3" i="20"/>
  <c r="K4" i="24"/>
  <c r="L3" i="24"/>
  <c r="K3" i="24" s="1"/>
  <c r="L3" i="21"/>
  <c r="K3" i="21" s="1"/>
  <c r="K7" i="21" s="1"/>
  <c r="K4" i="2"/>
  <c r="L3" i="2"/>
  <c r="K3" i="2" s="1"/>
  <c r="L3" i="18"/>
  <c r="K3" i="18" s="1"/>
  <c r="K7" i="18" s="1"/>
  <c r="L3" i="17"/>
  <c r="K3" i="17" s="1"/>
  <c r="K7" i="17" s="1"/>
  <c r="K4" i="16"/>
  <c r="L3" i="16"/>
  <c r="K3" i="16" s="1"/>
  <c r="L7" i="13" a="1"/>
  <c r="L7" i="13" s="1"/>
  <c r="L6" i="13" a="1"/>
  <c r="L6" i="13" s="1"/>
  <c r="K6" i="13" s="1"/>
  <c r="E16" i="20"/>
  <c r="E21" i="20"/>
  <c r="E14" i="20"/>
  <c r="E17" i="20"/>
  <c r="E6" i="20"/>
  <c r="E10" i="20"/>
  <c r="E13" i="20"/>
  <c r="E7" i="20"/>
  <c r="L4" i="11"/>
  <c r="K4" i="11" s="1"/>
  <c r="L4" i="9"/>
  <c r="K4" i="9" s="1"/>
  <c r="L4" i="12" a="1"/>
  <c r="L4" i="12" s="1"/>
  <c r="L7" i="12" a="1"/>
  <c r="L7" i="12" s="1"/>
  <c r="L5" i="12" a="1"/>
  <c r="L5" i="12" s="1"/>
  <c r="K5" i="12" s="1"/>
  <c r="L6" i="9"/>
  <c r="K6" i="9" s="1"/>
  <c r="L5" i="8" a="1"/>
  <c r="L5" i="8" s="1"/>
  <c r="K5" i="8" s="1"/>
  <c r="Q11" i="1"/>
  <c r="K2" i="5"/>
  <c r="D42" i="5"/>
  <c r="E2" i="5"/>
  <c r="E40" i="3"/>
  <c r="F40" i="3" s="1"/>
  <c r="E41" i="3"/>
  <c r="F41" i="3" s="1"/>
  <c r="P10" i="1"/>
  <c r="P8" i="1"/>
  <c r="L7" i="5" l="1" a="1"/>
  <c r="L7" i="5" s="1"/>
  <c r="L5" i="5" a="1"/>
  <c r="L5" i="5" s="1"/>
  <c r="K5" i="5" s="1"/>
  <c r="L5" i="20" a="1"/>
  <c r="L5" i="20" s="1"/>
  <c r="K5" i="20" s="1"/>
  <c r="L4" i="20" a="1"/>
  <c r="L4" i="20" s="1"/>
  <c r="K4" i="20" s="1"/>
  <c r="L7" i="20" a="1"/>
  <c r="L7" i="20" s="1"/>
  <c r="L6" i="20" a="1"/>
  <c r="L6" i="20" s="1"/>
  <c r="K6" i="20" s="1"/>
  <c r="K7" i="27"/>
  <c r="K7" i="2"/>
  <c r="K7" i="25"/>
  <c r="K7" i="24"/>
  <c r="K7" i="16"/>
  <c r="L3" i="13"/>
  <c r="K3" i="13" s="1"/>
  <c r="K7" i="13" s="1"/>
  <c r="L3" i="11"/>
  <c r="K3" i="11" s="1"/>
  <c r="K7" i="11" s="1"/>
  <c r="K4" i="12"/>
  <c r="L3" i="12"/>
  <c r="K3" i="12" s="1"/>
  <c r="L3" i="9"/>
  <c r="K3" i="9" s="1"/>
  <c r="K7" i="9" s="1"/>
  <c r="L3" i="8"/>
  <c r="K3" i="8" s="1"/>
  <c r="K7" i="8" s="1"/>
  <c r="P11" i="1"/>
  <c r="L4" i="5"/>
  <c r="K4" i="5" s="1"/>
  <c r="L6" i="5"/>
  <c r="K6" i="5" s="1"/>
  <c r="M2" i="4"/>
  <c r="M2" i="3"/>
  <c r="O9" i="1"/>
  <c r="K7" i="12" l="1"/>
  <c r="L3" i="20"/>
  <c r="K3" i="20" s="1"/>
  <c r="K7" i="20" s="1"/>
  <c r="L3" i="5"/>
  <c r="K3" i="5" s="1"/>
  <c r="K7" i="5" s="1"/>
  <c r="M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P7" i="1"/>
  <c r="AA7" i="1"/>
  <c r="AC7" i="1"/>
  <c r="Q7" i="1"/>
  <c r="I7" i="1"/>
  <c r="T7" i="1"/>
  <c r="AD7" i="1"/>
  <c r="Z7" i="1"/>
  <c r="U7" i="1"/>
  <c r="V7" i="1"/>
  <c r="W7" i="1"/>
  <c r="R7" i="1"/>
  <c r="X7" i="1"/>
  <c r="O7" i="1"/>
  <c r="AB7" i="1"/>
  <c r="S7" i="1"/>
  <c r="Y7" i="1"/>
  <c r="E2" i="4" l="1"/>
  <c r="D42" i="4"/>
  <c r="K2" i="4"/>
  <c r="O8" i="1"/>
  <c r="O10" i="1"/>
  <c r="O11" i="1" l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AD9" i="1"/>
  <c r="AB9" i="1"/>
  <c r="I9" i="1"/>
  <c r="AC9" i="1"/>
  <c r="R9" i="1"/>
  <c r="AA9" i="1"/>
  <c r="X9" i="1"/>
  <c r="Y9" i="1"/>
  <c r="S9" i="1"/>
  <c r="V9" i="1"/>
  <c r="Z9" i="1"/>
  <c r="T9" i="1"/>
  <c r="W9" i="1"/>
  <c r="U9" i="1"/>
  <c r="K2" i="3" l="1"/>
  <c r="F34" i="28"/>
  <c r="F18" i="27"/>
  <c r="F14" i="26"/>
  <c r="F38" i="25"/>
  <c r="F26" i="25"/>
  <c r="F14" i="21"/>
  <c r="F30" i="21"/>
  <c r="F30" i="20"/>
  <c r="F14" i="18"/>
  <c r="F26" i="17"/>
  <c r="F34" i="16"/>
  <c r="F14" i="13"/>
  <c r="F14" i="12"/>
  <c r="F14" i="9"/>
  <c r="F14" i="6"/>
  <c r="F3" i="5"/>
  <c r="N10" i="1"/>
  <c r="N8" i="1"/>
  <c r="K2" i="10" l="1"/>
  <c r="F26" i="24"/>
  <c r="F30" i="27"/>
  <c r="F14" i="17"/>
  <c r="F26" i="21"/>
  <c r="F38" i="21"/>
  <c r="F14" i="20"/>
  <c r="F26" i="27"/>
  <c r="F38" i="16"/>
  <c r="F18" i="25"/>
  <c r="F30" i="16"/>
  <c r="F34" i="25"/>
  <c r="F18" i="17"/>
  <c r="F22" i="17"/>
  <c r="F22" i="16"/>
  <c r="F22" i="20"/>
  <c r="F22" i="21"/>
  <c r="F34" i="27"/>
  <c r="F26" i="20"/>
  <c r="F30" i="24"/>
  <c r="F30" i="17"/>
  <c r="F18" i="16"/>
  <c r="F26" i="28"/>
  <c r="F30" i="28"/>
  <c r="F18" i="28"/>
  <c r="F22" i="25"/>
  <c r="F38" i="24"/>
  <c r="F22" i="27"/>
  <c r="F38" i="27"/>
  <c r="F38" i="28"/>
  <c r="F18" i="21"/>
  <c r="F30" i="25"/>
  <c r="F14" i="25"/>
  <c r="F14" i="27"/>
  <c r="F38" i="20"/>
  <c r="F34" i="24"/>
  <c r="F22" i="28"/>
  <c r="F26" i="16"/>
  <c r="F18" i="20"/>
  <c r="F34" i="20"/>
  <c r="F34" i="21"/>
  <c r="F14" i="28"/>
  <c r="F14" i="16"/>
  <c r="F33" i="28"/>
  <c r="F24" i="28"/>
  <c r="F19" i="28"/>
  <c r="F29" i="28"/>
  <c r="F20" i="28"/>
  <c r="F15" i="28"/>
  <c r="F21" i="28"/>
  <c r="F13" i="28"/>
  <c r="F6" i="28"/>
  <c r="F17" i="28"/>
  <c r="F11" i="28"/>
  <c r="F4" i="28"/>
  <c r="F3" i="28"/>
  <c r="F9" i="28"/>
  <c r="F25" i="28"/>
  <c r="F7" i="28"/>
  <c r="F39" i="28"/>
  <c r="F8" i="28"/>
  <c r="F12" i="28"/>
  <c r="F40" i="28"/>
  <c r="F35" i="28"/>
  <c r="F10" i="28"/>
  <c r="F36" i="28"/>
  <c r="F31" i="28"/>
  <c r="F41" i="28"/>
  <c r="F32" i="28"/>
  <c r="F27" i="28"/>
  <c r="F16" i="28"/>
  <c r="F5" i="28"/>
  <c r="F37" i="28"/>
  <c r="F28" i="28"/>
  <c r="F23" i="28"/>
  <c r="F29" i="27"/>
  <c r="F20" i="27"/>
  <c r="F15" i="27"/>
  <c r="F19" i="27"/>
  <c r="F21" i="27"/>
  <c r="F13" i="27"/>
  <c r="F6" i="27"/>
  <c r="F17" i="27"/>
  <c r="F11" i="27"/>
  <c r="F4" i="27"/>
  <c r="F3" i="27"/>
  <c r="F9" i="27"/>
  <c r="F33" i="27"/>
  <c r="F7" i="27"/>
  <c r="F5" i="27"/>
  <c r="F39" i="27"/>
  <c r="F24" i="27"/>
  <c r="F25" i="27"/>
  <c r="F12" i="27"/>
  <c r="F40" i="27"/>
  <c r="F35" i="27"/>
  <c r="F8" i="27"/>
  <c r="F10" i="27"/>
  <c r="F36" i="27"/>
  <c r="F31" i="27"/>
  <c r="F16" i="27"/>
  <c r="F41" i="27"/>
  <c r="F32" i="27"/>
  <c r="F27" i="27"/>
  <c r="F37" i="27"/>
  <c r="F28" i="27"/>
  <c r="F23" i="27"/>
  <c r="F29" i="26"/>
  <c r="F20" i="26"/>
  <c r="F15" i="26"/>
  <c r="F13" i="26"/>
  <c r="F6" i="26"/>
  <c r="F33" i="26"/>
  <c r="F8" i="26"/>
  <c r="F21" i="26"/>
  <c r="F17" i="26"/>
  <c r="F11" i="26"/>
  <c r="F4" i="26"/>
  <c r="F19" i="26"/>
  <c r="F16" i="26"/>
  <c r="F3" i="26"/>
  <c r="F9" i="26"/>
  <c r="F38" i="26"/>
  <c r="F24" i="26"/>
  <c r="F7" i="26"/>
  <c r="F34" i="26"/>
  <c r="F25" i="26"/>
  <c r="F5" i="26"/>
  <c r="F39" i="26"/>
  <c r="F30" i="26"/>
  <c r="F12" i="26"/>
  <c r="F40" i="26"/>
  <c r="F35" i="26"/>
  <c r="F26" i="26"/>
  <c r="F10" i="26"/>
  <c r="F22" i="26"/>
  <c r="F36" i="26"/>
  <c r="F31" i="26"/>
  <c r="F41" i="26"/>
  <c r="F32" i="26"/>
  <c r="F27" i="26"/>
  <c r="F18" i="26"/>
  <c r="F37" i="26"/>
  <c r="F28" i="26"/>
  <c r="F23" i="26"/>
  <c r="F33" i="25"/>
  <c r="F24" i="25"/>
  <c r="F19" i="25"/>
  <c r="F29" i="25"/>
  <c r="F20" i="25"/>
  <c r="F15" i="25"/>
  <c r="F13" i="25"/>
  <c r="F6" i="25"/>
  <c r="F17" i="25"/>
  <c r="F11" i="25"/>
  <c r="F4" i="25"/>
  <c r="F3" i="25"/>
  <c r="F5" i="25"/>
  <c r="F39" i="25"/>
  <c r="F25" i="25"/>
  <c r="F12" i="25"/>
  <c r="F40" i="25"/>
  <c r="F35" i="25"/>
  <c r="F8" i="25"/>
  <c r="F10" i="25"/>
  <c r="F36" i="25"/>
  <c r="F31" i="25"/>
  <c r="F21" i="25"/>
  <c r="F41" i="25"/>
  <c r="F32" i="25"/>
  <c r="F27" i="25"/>
  <c r="F16" i="25"/>
  <c r="F9" i="25"/>
  <c r="F7" i="25"/>
  <c r="F37" i="25"/>
  <c r="F28" i="25"/>
  <c r="F23" i="25"/>
  <c r="F29" i="24"/>
  <c r="F33" i="24"/>
  <c r="F39" i="24"/>
  <c r="F40" i="24"/>
  <c r="F35" i="24"/>
  <c r="F36" i="24"/>
  <c r="F31" i="24"/>
  <c r="F41" i="24"/>
  <c r="F32" i="24"/>
  <c r="F27" i="24"/>
  <c r="F37" i="24"/>
  <c r="F28" i="24"/>
  <c r="F24" i="21"/>
  <c r="F19" i="21"/>
  <c r="F29" i="21"/>
  <c r="F20" i="21"/>
  <c r="F15" i="21"/>
  <c r="F21" i="21"/>
  <c r="F17" i="21"/>
  <c r="F11" i="21"/>
  <c r="F4" i="21"/>
  <c r="F13" i="21"/>
  <c r="F3" i="21"/>
  <c r="F9" i="21"/>
  <c r="F7" i="21"/>
  <c r="F25" i="21"/>
  <c r="F5" i="21"/>
  <c r="F39" i="21"/>
  <c r="F33" i="21"/>
  <c r="F6" i="21"/>
  <c r="F12" i="21"/>
  <c r="F40" i="21"/>
  <c r="F35" i="21"/>
  <c r="F16" i="21"/>
  <c r="F10" i="21"/>
  <c r="F36" i="21"/>
  <c r="F31" i="21"/>
  <c r="F8" i="21"/>
  <c r="F41" i="21"/>
  <c r="F32" i="21"/>
  <c r="F27" i="21"/>
  <c r="F37" i="21"/>
  <c r="F28" i="21"/>
  <c r="F23" i="21"/>
  <c r="F29" i="20"/>
  <c r="F20" i="20"/>
  <c r="F15" i="20"/>
  <c r="F33" i="20"/>
  <c r="F16" i="20"/>
  <c r="F8" i="20"/>
  <c r="F13" i="20"/>
  <c r="F6" i="20"/>
  <c r="F17" i="20"/>
  <c r="F11" i="20"/>
  <c r="F4" i="20"/>
  <c r="F3" i="20"/>
  <c r="F9" i="20"/>
  <c r="F7" i="20"/>
  <c r="F19" i="20"/>
  <c r="F5" i="20"/>
  <c r="F39" i="20"/>
  <c r="F24" i="20"/>
  <c r="F40" i="20"/>
  <c r="F35" i="20"/>
  <c r="F10" i="20"/>
  <c r="F36" i="20"/>
  <c r="F31" i="20"/>
  <c r="F25" i="20"/>
  <c r="F12" i="20"/>
  <c r="F32" i="20"/>
  <c r="F27" i="20"/>
  <c r="F21" i="20"/>
  <c r="F41" i="20"/>
  <c r="F37" i="20"/>
  <c r="F28" i="20"/>
  <c r="F23" i="20"/>
  <c r="F29" i="18"/>
  <c r="F20" i="18"/>
  <c r="F15" i="18"/>
  <c r="F25" i="18"/>
  <c r="F16" i="18"/>
  <c r="F8" i="18"/>
  <c r="F21" i="18"/>
  <c r="F13" i="18"/>
  <c r="F6" i="18"/>
  <c r="F24" i="18"/>
  <c r="F17" i="18"/>
  <c r="F11" i="18"/>
  <c r="F4" i="18"/>
  <c r="F3" i="18"/>
  <c r="F9" i="18"/>
  <c r="F38" i="18"/>
  <c r="F7" i="18"/>
  <c r="F34" i="18"/>
  <c r="F5" i="18"/>
  <c r="F39" i="18"/>
  <c r="F30" i="18"/>
  <c r="F33" i="18"/>
  <c r="F12" i="18"/>
  <c r="F40" i="18"/>
  <c r="F35" i="18"/>
  <c r="F26" i="18"/>
  <c r="F10" i="18"/>
  <c r="F36" i="18"/>
  <c r="F31" i="18"/>
  <c r="F22" i="18"/>
  <c r="F41" i="18"/>
  <c r="F32" i="18"/>
  <c r="F27" i="18"/>
  <c r="F18" i="18"/>
  <c r="F19" i="18"/>
  <c r="F37" i="18"/>
  <c r="F28" i="18"/>
  <c r="F23" i="18"/>
  <c r="F33" i="17"/>
  <c r="F28" i="17"/>
  <c r="F15" i="17"/>
  <c r="F25" i="17"/>
  <c r="F20" i="17"/>
  <c r="F27" i="17"/>
  <c r="F21" i="17"/>
  <c r="F16" i="17"/>
  <c r="F19" i="17"/>
  <c r="F17" i="17"/>
  <c r="F34" i="17"/>
  <c r="F8" i="17"/>
  <c r="F29" i="17"/>
  <c r="F3" i="17"/>
  <c r="F13" i="17"/>
  <c r="F6" i="17"/>
  <c r="F4" i="17"/>
  <c r="F5" i="17"/>
  <c r="F9" i="17"/>
  <c r="F39" i="17"/>
  <c r="F12" i="17"/>
  <c r="F38" i="17"/>
  <c r="F24" i="17"/>
  <c r="F7" i="17"/>
  <c r="F10" i="17"/>
  <c r="F40" i="17"/>
  <c r="F35" i="17"/>
  <c r="F11" i="17"/>
  <c r="F36" i="17"/>
  <c r="F31" i="17"/>
  <c r="F41" i="17"/>
  <c r="F37" i="17"/>
  <c r="F32" i="17"/>
  <c r="F23" i="17"/>
  <c r="F20" i="16"/>
  <c r="F15" i="16"/>
  <c r="F33" i="16"/>
  <c r="F13" i="16"/>
  <c r="F6" i="16"/>
  <c r="F24" i="16"/>
  <c r="F4" i="16"/>
  <c r="F19" i="16"/>
  <c r="F17" i="16"/>
  <c r="F3" i="16"/>
  <c r="F9" i="16"/>
  <c r="F29" i="16"/>
  <c r="F11" i="16"/>
  <c r="F7" i="16"/>
  <c r="F25" i="16"/>
  <c r="F39" i="16"/>
  <c r="F21" i="16"/>
  <c r="F5" i="16"/>
  <c r="F12" i="16"/>
  <c r="F40" i="16"/>
  <c r="F35" i="16"/>
  <c r="F16" i="16"/>
  <c r="F36" i="16"/>
  <c r="F31" i="16"/>
  <c r="F8" i="16"/>
  <c r="F32" i="16"/>
  <c r="F27" i="16"/>
  <c r="F10" i="16"/>
  <c r="F41" i="16"/>
  <c r="F37" i="16"/>
  <c r="F28" i="16"/>
  <c r="F23" i="16"/>
  <c r="F31" i="13"/>
  <c r="F19" i="13"/>
  <c r="F27" i="13"/>
  <c r="F6" i="13"/>
  <c r="F38" i="13"/>
  <c r="F23" i="13"/>
  <c r="F18" i="13"/>
  <c r="F33" i="13"/>
  <c r="F17" i="13"/>
  <c r="F7" i="13"/>
  <c r="F11" i="13"/>
  <c r="F4" i="13"/>
  <c r="F29" i="13"/>
  <c r="F8" i="13"/>
  <c r="F9" i="13"/>
  <c r="F34" i="13"/>
  <c r="F20" i="13"/>
  <c r="F13" i="13"/>
  <c r="F40" i="13"/>
  <c r="F30" i="13"/>
  <c r="F24" i="13"/>
  <c r="F16" i="13"/>
  <c r="F3" i="13"/>
  <c r="F12" i="13"/>
  <c r="F10" i="13"/>
  <c r="F36" i="13"/>
  <c r="F15" i="13"/>
  <c r="F26" i="13"/>
  <c r="F25" i="13"/>
  <c r="F41" i="13"/>
  <c r="F32" i="13"/>
  <c r="F39" i="13"/>
  <c r="F22" i="13"/>
  <c r="F21" i="13"/>
  <c r="F5" i="13"/>
  <c r="F37" i="13"/>
  <c r="F28" i="13"/>
  <c r="F35" i="13"/>
  <c r="F24" i="12"/>
  <c r="F29" i="12"/>
  <c r="F20" i="12"/>
  <c r="F18" i="12"/>
  <c r="F26" i="12"/>
  <c r="F16" i="12"/>
  <c r="F39" i="12"/>
  <c r="F21" i="12"/>
  <c r="F15" i="12"/>
  <c r="F35" i="12"/>
  <c r="F13" i="12"/>
  <c r="F31" i="12"/>
  <c r="F22" i="12"/>
  <c r="F17" i="12"/>
  <c r="F11" i="12"/>
  <c r="F27" i="12"/>
  <c r="F25" i="12"/>
  <c r="F19" i="12"/>
  <c r="F7" i="12"/>
  <c r="F9" i="12"/>
  <c r="F23" i="12"/>
  <c r="F37" i="12"/>
  <c r="F12" i="12"/>
  <c r="F5" i="12"/>
  <c r="F8" i="12"/>
  <c r="F33" i="12"/>
  <c r="F40" i="12"/>
  <c r="F6" i="12"/>
  <c r="F28" i="12"/>
  <c r="F10" i="12"/>
  <c r="F38" i="12"/>
  <c r="F3" i="12"/>
  <c r="F36" i="12"/>
  <c r="F34" i="12"/>
  <c r="F4" i="12"/>
  <c r="F41" i="12"/>
  <c r="F32" i="12"/>
  <c r="F30" i="12"/>
  <c r="F36" i="11"/>
  <c r="F39" i="11"/>
  <c r="F32" i="11"/>
  <c r="F35" i="11"/>
  <c r="F40" i="11"/>
  <c r="F28" i="11"/>
  <c r="F31" i="11"/>
  <c r="F27" i="11"/>
  <c r="F37" i="11"/>
  <c r="F34" i="11"/>
  <c r="F29" i="11"/>
  <c r="F38" i="11"/>
  <c r="F41" i="11"/>
  <c r="F26" i="11"/>
  <c r="F30" i="11"/>
  <c r="F33" i="11"/>
  <c r="F27" i="10"/>
  <c r="F29" i="10"/>
  <c r="F35" i="10"/>
  <c r="F34" i="10"/>
  <c r="F33" i="10"/>
  <c r="F30" i="10"/>
  <c r="F39" i="10"/>
  <c r="F40" i="10"/>
  <c r="F36" i="10"/>
  <c r="F28" i="10"/>
  <c r="F31" i="10"/>
  <c r="F38" i="10"/>
  <c r="F41" i="10"/>
  <c r="F37" i="10"/>
  <c r="F32" i="10"/>
  <c r="F40" i="9"/>
  <c r="F34" i="9"/>
  <c r="F41" i="9"/>
  <c r="F13" i="9"/>
  <c r="F36" i="9"/>
  <c r="F11" i="9"/>
  <c r="F32" i="9"/>
  <c r="F9" i="9"/>
  <c r="F22" i="9"/>
  <c r="F28" i="9"/>
  <c r="F20" i="9"/>
  <c r="F35" i="9"/>
  <c r="F4" i="9"/>
  <c r="F18" i="9"/>
  <c r="F25" i="9"/>
  <c r="F16" i="9"/>
  <c r="F23" i="9"/>
  <c r="F39" i="9"/>
  <c r="F26" i="9"/>
  <c r="F33" i="9"/>
  <c r="F24" i="9"/>
  <c r="F17" i="9"/>
  <c r="F7" i="9"/>
  <c r="F31" i="9"/>
  <c r="F27" i="9"/>
  <c r="F29" i="9"/>
  <c r="F15" i="9"/>
  <c r="F37" i="9"/>
  <c r="F21" i="9"/>
  <c r="F12" i="9"/>
  <c r="F5" i="9"/>
  <c r="F10" i="9"/>
  <c r="F3" i="9"/>
  <c r="F6" i="9"/>
  <c r="F19" i="9"/>
  <c r="F8" i="9"/>
  <c r="F30" i="9"/>
  <c r="F38" i="9"/>
  <c r="F34" i="8"/>
  <c r="F41" i="8"/>
  <c r="F40" i="8"/>
  <c r="F39" i="8"/>
  <c r="F35" i="8"/>
  <c r="F29" i="8"/>
  <c r="F32" i="8"/>
  <c r="F31" i="8"/>
  <c r="F27" i="8"/>
  <c r="F37" i="8"/>
  <c r="F36" i="8"/>
  <c r="F30" i="8"/>
  <c r="F33" i="8"/>
  <c r="F26" i="8"/>
  <c r="F38" i="8"/>
  <c r="F28" i="8"/>
  <c r="F34" i="7"/>
  <c r="F26" i="7"/>
  <c r="F37" i="7"/>
  <c r="F35" i="7"/>
  <c r="F27" i="7"/>
  <c r="F36" i="7"/>
  <c r="F33" i="7"/>
  <c r="F32" i="7"/>
  <c r="F29" i="7"/>
  <c r="F28" i="7"/>
  <c r="F30" i="7"/>
  <c r="F41" i="7"/>
  <c r="F25" i="7"/>
  <c r="F38" i="7"/>
  <c r="F40" i="7"/>
  <c r="F39" i="7"/>
  <c r="F31" i="7"/>
  <c r="F21" i="6"/>
  <c r="F3" i="6"/>
  <c r="F26" i="6"/>
  <c r="F23" i="6"/>
  <c r="F13" i="6"/>
  <c r="F17" i="6"/>
  <c r="F7" i="6"/>
  <c r="F11" i="6"/>
  <c r="F33" i="6"/>
  <c r="F9" i="6"/>
  <c r="F22" i="6"/>
  <c r="F16" i="6"/>
  <c r="F5" i="6"/>
  <c r="F31" i="6"/>
  <c r="F20" i="6"/>
  <c r="F25" i="6"/>
  <c r="F39" i="6"/>
  <c r="F30" i="6"/>
  <c r="F40" i="6"/>
  <c r="F12" i="6"/>
  <c r="F8" i="6"/>
  <c r="F36" i="6"/>
  <c r="F15" i="6"/>
  <c r="F19" i="6"/>
  <c r="F10" i="6"/>
  <c r="F6" i="6"/>
  <c r="F32" i="6"/>
  <c r="F38" i="6"/>
  <c r="F18" i="6"/>
  <c r="F29" i="6"/>
  <c r="F35" i="6"/>
  <c r="F27" i="6"/>
  <c r="F41" i="6"/>
  <c r="F4" i="6"/>
  <c r="F28" i="6"/>
  <c r="F37" i="6"/>
  <c r="F34" i="6"/>
  <c r="F24" i="6"/>
  <c r="F32" i="5"/>
  <c r="F28" i="5"/>
  <c r="F34" i="5"/>
  <c r="F24" i="5"/>
  <c r="F10" i="5"/>
  <c r="F20" i="5"/>
  <c r="F29" i="5"/>
  <c r="F17" i="5"/>
  <c r="F16" i="5"/>
  <c r="F21" i="5"/>
  <c r="F30" i="5"/>
  <c r="F7" i="5"/>
  <c r="F27" i="5"/>
  <c r="F5" i="5"/>
  <c r="F23" i="5"/>
  <c r="F31" i="5"/>
  <c r="F6" i="5"/>
  <c r="F9" i="5"/>
  <c r="F19" i="5"/>
  <c r="F36" i="5"/>
  <c r="F39" i="5"/>
  <c r="F12" i="5"/>
  <c r="F13" i="5"/>
  <c r="F15" i="5"/>
  <c r="F41" i="5"/>
  <c r="F8" i="5"/>
  <c r="F4" i="5"/>
  <c r="F25" i="5"/>
  <c r="F38" i="5"/>
  <c r="F11" i="5"/>
  <c r="F18" i="5"/>
  <c r="F35" i="5"/>
  <c r="F26" i="5"/>
  <c r="F37" i="5"/>
  <c r="F22" i="5"/>
  <c r="F14" i="5"/>
  <c r="F33" i="5"/>
  <c r="F40" i="5"/>
  <c r="I8" i="1"/>
  <c r="AA8" i="1"/>
  <c r="AC8" i="1"/>
  <c r="AB10" i="1"/>
  <c r="U8" i="1"/>
  <c r="Z8" i="1"/>
  <c r="V8" i="1"/>
  <c r="S8" i="1"/>
  <c r="AD8" i="1"/>
  <c r="Y8" i="1"/>
  <c r="R8" i="1"/>
  <c r="AB8" i="1"/>
  <c r="T8" i="1"/>
  <c r="X8" i="1"/>
  <c r="L10" i="24" l="1" a="1"/>
  <c r="L11" i="24" a="1"/>
  <c r="L13" i="24" a="1"/>
  <c r="L12" i="24" a="1"/>
  <c r="L13" i="11" a="1"/>
  <c r="L11" i="11" a="1"/>
  <c r="L10" i="11" a="1"/>
  <c r="L12" i="11" a="1"/>
  <c r="L12" i="10" a="1"/>
  <c r="L11" i="10" a="1"/>
  <c r="L10" i="10" a="1"/>
  <c r="L13" i="10" a="1"/>
  <c r="L12" i="8" a="1"/>
  <c r="L11" i="8" a="1"/>
  <c r="L10" i="8" a="1"/>
  <c r="L13" i="8" a="1"/>
  <c r="L13" i="7" a="1"/>
  <c r="L11" i="7" a="1"/>
  <c r="L12" i="7" a="1"/>
  <c r="L10" i="7" a="1"/>
  <c r="AB11" i="1"/>
  <c r="I11" i="1"/>
  <c r="AD11" i="1"/>
  <c r="Z11" i="1"/>
  <c r="Y11" i="1"/>
  <c r="X11" i="1"/>
  <c r="AC11" i="1"/>
  <c r="V11" i="1"/>
  <c r="L5" i="10" a="1"/>
  <c r="L5" i="10" s="1"/>
  <c r="K5" i="10" s="1"/>
  <c r="L7" i="10" a="1"/>
  <c r="L7" i="10" s="1"/>
  <c r="L4" i="10" a="1"/>
  <c r="L4" i="10" s="1"/>
  <c r="K4" i="10" s="1"/>
  <c r="L6" i="10" a="1"/>
  <c r="L6" i="10" s="1"/>
  <c r="K6" i="10" s="1"/>
  <c r="U11" i="1"/>
  <c r="T11" i="1"/>
  <c r="S11" i="1"/>
  <c r="L7" i="7" a="1"/>
  <c r="L7" i="7" s="1"/>
  <c r="L4" i="7" a="1"/>
  <c r="L4" i="7" s="1"/>
  <c r="L6" i="7" a="1"/>
  <c r="L6" i="7" s="1"/>
  <c r="K6" i="7" s="1"/>
  <c r="L5" i="7" a="1"/>
  <c r="L5" i="7" s="1"/>
  <c r="K5" i="7" s="1"/>
  <c r="R11" i="1"/>
  <c r="L5" i="6" a="1"/>
  <c r="L5" i="6" s="1"/>
  <c r="K5" i="6" s="1"/>
  <c r="L7" i="6" a="1"/>
  <c r="L7" i="6" s="1"/>
  <c r="L4" i="6" a="1"/>
  <c r="L4" i="6" s="1"/>
  <c r="L6" i="6" a="1"/>
  <c r="L6" i="6" s="1"/>
  <c r="K6" i="6" s="1"/>
  <c r="F2" i="28"/>
  <c r="F2" i="27"/>
  <c r="F2" i="26"/>
  <c r="F2" i="25"/>
  <c r="F2" i="21"/>
  <c r="F2" i="20"/>
  <c r="F2" i="18"/>
  <c r="F2" i="17"/>
  <c r="F2" i="16"/>
  <c r="F2" i="13"/>
  <c r="F2" i="9"/>
  <c r="F2" i="6"/>
  <c r="F2" i="5"/>
  <c r="F41" i="4"/>
  <c r="M1" i="3"/>
  <c r="AA10" i="1"/>
  <c r="N9" i="1"/>
  <c r="L13" i="28" l="1" a="1"/>
  <c r="L12" i="28" a="1"/>
  <c r="L10" i="28" a="1"/>
  <c r="L11" i="28" a="1"/>
  <c r="L11" i="28" s="1"/>
  <c r="K11" i="28" s="1"/>
  <c r="L10" i="27" a="1"/>
  <c r="L10" i="27" s="1"/>
  <c r="L11" i="27" a="1"/>
  <c r="L11" i="27" s="1"/>
  <c r="K11" i="27" s="1"/>
  <c r="L12" i="27" a="1"/>
  <c r="L12" i="27" s="1"/>
  <c r="K12" i="27" s="1"/>
  <c r="L13" i="27" a="1"/>
  <c r="L13" i="27" s="1"/>
  <c r="K13" i="27" s="1"/>
  <c r="L10" i="26" a="1"/>
  <c r="L10" i="26" s="1"/>
  <c r="L12" i="26" a="1"/>
  <c r="L13" i="26" a="1"/>
  <c r="L11" i="26" a="1"/>
  <c r="L11" i="26" s="1"/>
  <c r="K11" i="26" s="1"/>
  <c r="L12" i="25" a="1"/>
  <c r="L12" i="25" s="1"/>
  <c r="K12" i="25" s="1"/>
  <c r="L10" i="25" a="1"/>
  <c r="L10" i="25" s="1"/>
  <c r="L11" i="25" a="1"/>
  <c r="L11" i="25" s="1"/>
  <c r="K11" i="25" s="1"/>
  <c r="L13" i="25" a="1"/>
  <c r="L13" i="25" s="1"/>
  <c r="K13" i="25" s="1"/>
  <c r="L13" i="21" a="1"/>
  <c r="L13" i="21" s="1"/>
  <c r="K13" i="21" s="1"/>
  <c r="L12" i="21" a="1"/>
  <c r="L11" i="21" a="1"/>
  <c r="L10" i="21" a="1"/>
  <c r="L10" i="21" s="1"/>
  <c r="L11" i="18" a="1"/>
  <c r="L11" i="18" s="1"/>
  <c r="K11" i="18" s="1"/>
  <c r="L10" i="18" a="1"/>
  <c r="L10" i="18" s="1"/>
  <c r="L12" i="18" a="1"/>
  <c r="L12" i="18" s="1"/>
  <c r="K12" i="18" s="1"/>
  <c r="L13" i="18" a="1"/>
  <c r="L13" i="17" a="1"/>
  <c r="L13" i="17" s="1"/>
  <c r="K13" i="17" s="1"/>
  <c r="L12" i="17" a="1"/>
  <c r="L12" i="17" s="1"/>
  <c r="K12" i="17" s="1"/>
  <c r="L11" i="17" a="1"/>
  <c r="L11" i="17" s="1"/>
  <c r="K11" i="17" s="1"/>
  <c r="L10" i="17" a="1"/>
  <c r="L10" i="17" s="1"/>
  <c r="L11" i="16" a="1"/>
  <c r="L11" i="16" s="1"/>
  <c r="K11" i="16" s="1"/>
  <c r="L10" i="16" a="1"/>
  <c r="L10" i="16" s="1"/>
  <c r="L13" i="16" a="1"/>
  <c r="L13" i="16" s="1"/>
  <c r="K13" i="16" s="1"/>
  <c r="L12" i="16" a="1"/>
  <c r="L12" i="16" s="1"/>
  <c r="K12" i="16" s="1"/>
  <c r="L10" i="13" a="1"/>
  <c r="L10" i="13" s="1"/>
  <c r="L13" i="13" a="1"/>
  <c r="L13" i="13" s="1"/>
  <c r="K13" i="13" s="1"/>
  <c r="L12" i="13" a="1"/>
  <c r="L12" i="13" s="1"/>
  <c r="K12" i="13" s="1"/>
  <c r="L11" i="13" a="1"/>
  <c r="L11" i="13" s="1"/>
  <c r="K11" i="13" s="1"/>
  <c r="L10" i="20" a="1"/>
  <c r="L10" i="20" s="1"/>
  <c r="L11" i="20" a="1"/>
  <c r="L11" i="20" s="1"/>
  <c r="K11" i="20" s="1"/>
  <c r="L12" i="20" a="1"/>
  <c r="L12" i="20" s="1"/>
  <c r="K12" i="20" s="1"/>
  <c r="L13" i="20" a="1"/>
  <c r="L11" i="9" a="1"/>
  <c r="L11" i="9" s="1"/>
  <c r="K11" i="9" s="1"/>
  <c r="L10" i="9" a="1"/>
  <c r="L10" i="9" s="1"/>
  <c r="L13" i="9" a="1"/>
  <c r="L13" i="9" s="1"/>
  <c r="K13" i="9" s="1"/>
  <c r="L12" i="9" a="1"/>
  <c r="L12" i="9" s="1"/>
  <c r="K12" i="9" s="1"/>
  <c r="L10" i="6" a="1"/>
  <c r="L10" i="6" s="1"/>
  <c r="L11" i="6" a="1"/>
  <c r="L11" i="6" s="1"/>
  <c r="K11" i="6" s="1"/>
  <c r="L13" i="6" a="1"/>
  <c r="L12" i="6" a="1"/>
  <c r="L12" i="6" s="1"/>
  <c r="K12" i="6" s="1"/>
  <c r="L12" i="5" a="1"/>
  <c r="L12" i="5" s="1"/>
  <c r="K12" i="5" s="1"/>
  <c r="L11" i="5" a="1"/>
  <c r="L11" i="5" s="1"/>
  <c r="K11" i="5" s="1"/>
  <c r="L13" i="5" a="1"/>
  <c r="L13" i="5" s="1"/>
  <c r="K13" i="5" s="1"/>
  <c r="L10" i="5" a="1"/>
  <c r="L10" i="5" s="1"/>
  <c r="L13" i="20"/>
  <c r="K13" i="20" s="1"/>
  <c r="L12" i="28"/>
  <c r="K12" i="28" s="1"/>
  <c r="L10" i="28"/>
  <c r="L13" i="28"/>
  <c r="K13" i="28" s="1"/>
  <c r="L13" i="6"/>
  <c r="K13" i="6" s="1"/>
  <c r="L11" i="21"/>
  <c r="K11" i="21" s="1"/>
  <c r="L12" i="21"/>
  <c r="K12" i="21" s="1"/>
  <c r="L11" i="7"/>
  <c r="K11" i="7" s="1"/>
  <c r="L10" i="7"/>
  <c r="L13" i="7"/>
  <c r="K13" i="7" s="1"/>
  <c r="L12" i="7"/>
  <c r="K12" i="7" s="1"/>
  <c r="L12" i="2"/>
  <c r="K12" i="2" s="1"/>
  <c r="L13" i="2"/>
  <c r="K13" i="2" s="1"/>
  <c r="L10" i="2"/>
  <c r="L11" i="2"/>
  <c r="K11" i="2" s="1"/>
  <c r="L12" i="24"/>
  <c r="K12" i="24" s="1"/>
  <c r="L11" i="24"/>
  <c r="K11" i="24" s="1"/>
  <c r="L13" i="24"/>
  <c r="K13" i="24" s="1"/>
  <c r="L10" i="24"/>
  <c r="L13" i="18"/>
  <c r="K13" i="18" s="1"/>
  <c r="L12" i="26"/>
  <c r="K12" i="26" s="1"/>
  <c r="L13" i="26"/>
  <c r="K13" i="26" s="1"/>
  <c r="L10" i="8"/>
  <c r="L13" i="8"/>
  <c r="K13" i="8" s="1"/>
  <c r="L11" i="8"/>
  <c r="K11" i="8" s="1"/>
  <c r="L12" i="8"/>
  <c r="K12" i="8" s="1"/>
  <c r="L12" i="10"/>
  <c r="K12" i="10" s="1"/>
  <c r="L13" i="10"/>
  <c r="K13" i="10" s="1"/>
  <c r="L11" i="10"/>
  <c r="K11" i="10" s="1"/>
  <c r="L10" i="10"/>
  <c r="L12" i="11"/>
  <c r="K12" i="11" s="1"/>
  <c r="L11" i="11"/>
  <c r="K11" i="11" s="1"/>
  <c r="L10" i="11"/>
  <c r="L13" i="11"/>
  <c r="K13" i="11" s="1"/>
  <c r="AA11" i="1"/>
  <c r="L3" i="10"/>
  <c r="K3" i="10" s="1"/>
  <c r="K7" i="10" s="1"/>
  <c r="K4" i="7"/>
  <c r="L3" i="7"/>
  <c r="K3" i="7" s="1"/>
  <c r="K4" i="6"/>
  <c r="L3" i="6"/>
  <c r="K3" i="6" s="1"/>
  <c r="N11" i="1"/>
  <c r="E8" i="3"/>
  <c r="E15" i="3"/>
  <c r="E4" i="3"/>
  <c r="E17" i="3"/>
  <c r="E14" i="3"/>
  <c r="E16" i="3"/>
  <c r="E13" i="3"/>
  <c r="E3" i="3"/>
  <c r="E12" i="3"/>
  <c r="E11" i="3"/>
  <c r="E10" i="3"/>
  <c r="E9" i="3"/>
  <c r="E7" i="3"/>
  <c r="E6" i="3"/>
  <c r="E2" i="3"/>
  <c r="E5" i="3"/>
  <c r="F2" i="4"/>
  <c r="F40" i="4"/>
  <c r="F8" i="4"/>
  <c r="F9" i="4"/>
  <c r="F23" i="4"/>
  <c r="F10" i="4"/>
  <c r="F5" i="4"/>
  <c r="F7" i="4"/>
  <c r="F21" i="4"/>
  <c r="F39" i="4"/>
  <c r="F30" i="4"/>
  <c r="F26" i="4"/>
  <c r="F6" i="4"/>
  <c r="F31" i="4"/>
  <c r="F14" i="4"/>
  <c r="F13" i="4"/>
  <c r="F35" i="4"/>
  <c r="F19" i="4"/>
  <c r="F24" i="4"/>
  <c r="F38" i="4"/>
  <c r="F11" i="4"/>
  <c r="F17" i="4"/>
  <c r="F34" i="4"/>
  <c r="F4" i="4"/>
  <c r="F3" i="4"/>
  <c r="F36" i="4"/>
  <c r="F32" i="4"/>
  <c r="F28" i="4"/>
  <c r="F37" i="4"/>
  <c r="F33" i="4"/>
  <c r="F20" i="4"/>
  <c r="F18" i="4"/>
  <c r="F29" i="4"/>
  <c r="F16" i="4"/>
  <c r="F27" i="4"/>
  <c r="F22" i="4"/>
  <c r="F25" i="4"/>
  <c r="F12" i="4"/>
  <c r="F15" i="4"/>
  <c r="T3" i="1"/>
  <c r="AB5" i="1"/>
  <c r="U3" i="1"/>
  <c r="AA4" i="1"/>
  <c r="Y4" i="1"/>
  <c r="AD3" i="1"/>
  <c r="Q3" i="1"/>
  <c r="R4" i="1"/>
  <c r="Z4" i="1"/>
  <c r="N7" i="1"/>
  <c r="T4" i="1"/>
  <c r="U5" i="1"/>
  <c r="S4" i="1"/>
  <c r="AA3" i="1"/>
  <c r="AB3" i="1"/>
  <c r="P3" i="1"/>
  <c r="AC4" i="1"/>
  <c r="Y3" i="1"/>
  <c r="AD4" i="1"/>
  <c r="AC5" i="1"/>
  <c r="U4" i="1"/>
  <c r="AC3" i="1"/>
  <c r="I3" i="1"/>
  <c r="Z5" i="1"/>
  <c r="AA5" i="1"/>
  <c r="Z3" i="1"/>
  <c r="I4" i="1"/>
  <c r="T5" i="1"/>
  <c r="X5" i="1"/>
  <c r="I5" i="1"/>
  <c r="P5" i="1"/>
  <c r="V3" i="1"/>
  <c r="Q4" i="1"/>
  <c r="S3" i="1"/>
  <c r="P4" i="1"/>
  <c r="R5" i="1"/>
  <c r="V5" i="1"/>
  <c r="AD5" i="1"/>
  <c r="X4" i="1"/>
  <c r="Q5" i="1"/>
  <c r="X3" i="1"/>
  <c r="R3" i="1"/>
  <c r="AB4" i="1"/>
  <c r="L13" i="4" l="1" a="1"/>
  <c r="L13" i="4" s="1"/>
  <c r="K13" i="4" s="1"/>
  <c r="L12" i="4" a="1"/>
  <c r="L12" i="4" s="1"/>
  <c r="K12" i="4" s="1"/>
  <c r="L10" i="4" a="1"/>
  <c r="L10" i="4" s="1"/>
  <c r="L11" i="4" a="1"/>
  <c r="L11" i="4" s="1"/>
  <c r="K11" i="4" s="1"/>
  <c r="K10" i="25"/>
  <c r="L14" i="25"/>
  <c r="L14" i="6"/>
  <c r="K10" i="6"/>
  <c r="L14" i="27"/>
  <c r="K10" i="27"/>
  <c r="K10" i="11"/>
  <c r="L14" i="11"/>
  <c r="L14" i="2"/>
  <c r="K10" i="2"/>
  <c r="K10" i="16"/>
  <c r="L14" i="16"/>
  <c r="L14" i="21"/>
  <c r="K10" i="21"/>
  <c r="K10" i="28"/>
  <c r="L14" i="28"/>
  <c r="L14" i="26"/>
  <c r="K10" i="26"/>
  <c r="K10" i="9"/>
  <c r="L14" i="9"/>
  <c r="L14" i="10"/>
  <c r="K10" i="10"/>
  <c r="K10" i="24"/>
  <c r="L14" i="24"/>
  <c r="K10" i="20"/>
  <c r="L14" i="20"/>
  <c r="K10" i="5"/>
  <c r="L14" i="5"/>
  <c r="L14" i="13"/>
  <c r="K10" i="13"/>
  <c r="K10" i="18"/>
  <c r="L14" i="18"/>
  <c r="K10" i="7"/>
  <c r="L14" i="7"/>
  <c r="L14" i="8"/>
  <c r="K10" i="8"/>
  <c r="L14" i="17"/>
  <c r="K10" i="17"/>
  <c r="K7" i="7"/>
  <c r="K7" i="6"/>
  <c r="L5" i="4" a="1"/>
  <c r="L5" i="4" s="1"/>
  <c r="K5" i="4" s="1"/>
  <c r="L4" i="4" a="1"/>
  <c r="L4" i="4" s="1"/>
  <c r="L7" i="4" a="1"/>
  <c r="L7" i="4" s="1"/>
  <c r="L6" i="4" a="1"/>
  <c r="L6" i="4" s="1"/>
  <c r="K6" i="4" s="1"/>
  <c r="F33" i="3"/>
  <c r="F24" i="3"/>
  <c r="F18" i="3"/>
  <c r="F22" i="3"/>
  <c r="F32" i="3"/>
  <c r="F21" i="3"/>
  <c r="F30" i="3"/>
  <c r="F34" i="3"/>
  <c r="F26" i="3"/>
  <c r="F29" i="3"/>
  <c r="F19" i="3"/>
  <c r="F37" i="3"/>
  <c r="F27" i="3"/>
  <c r="F20" i="3"/>
  <c r="F31" i="3"/>
  <c r="F36" i="3"/>
  <c r="F39" i="3"/>
  <c r="F28" i="3"/>
  <c r="U2" i="1"/>
  <c r="AC2" i="1"/>
  <c r="O5" i="1"/>
  <c r="AA2" i="1"/>
  <c r="Y5" i="1"/>
  <c r="O4" i="1"/>
  <c r="S2" i="1"/>
  <c r="R2" i="1"/>
  <c r="S5" i="1"/>
  <c r="O3" i="1"/>
  <c r="AB2" i="1"/>
  <c r="T2" i="1"/>
  <c r="V4" i="1"/>
  <c r="X2" i="1"/>
  <c r="Y2" i="1"/>
  <c r="P2" i="1"/>
  <c r="Q2" i="1"/>
  <c r="AD2" i="1"/>
  <c r="V2" i="1"/>
  <c r="Z2" i="1"/>
  <c r="I2" i="1"/>
  <c r="K14" i="13" l="1"/>
  <c r="K14" i="21"/>
  <c r="K14" i="9"/>
  <c r="K14" i="26"/>
  <c r="K14" i="6"/>
  <c r="K14" i="7"/>
  <c r="K14" i="5"/>
  <c r="K14" i="17"/>
  <c r="K14" i="24"/>
  <c r="K14" i="20"/>
  <c r="K14" i="10"/>
  <c r="K14" i="16"/>
  <c r="K14" i="11"/>
  <c r="K14" i="2"/>
  <c r="K14" i="27"/>
  <c r="K14" i="25"/>
  <c r="K14" i="8"/>
  <c r="K14" i="18"/>
  <c r="K14" i="28"/>
  <c r="L14" i="4"/>
  <c r="K10" i="4"/>
  <c r="K4" i="4"/>
  <c r="L3" i="4"/>
  <c r="K3" i="4" s="1"/>
  <c r="F35" i="3"/>
  <c r="F25" i="3"/>
  <c r="F38" i="3"/>
  <c r="F23" i="3"/>
  <c r="E1" i="40"/>
  <c r="T6" i="1"/>
  <c r="O2" i="1"/>
  <c r="V6" i="1"/>
  <c r="Y6" i="1"/>
  <c r="AD6" i="1"/>
  <c r="K14" i="4" l="1"/>
  <c r="K7" i="4"/>
  <c r="F9" i="3"/>
  <c r="F16" i="3"/>
  <c r="F17" i="3"/>
  <c r="F3" i="3"/>
  <c r="Z6" i="1"/>
  <c r="P6" i="1"/>
  <c r="AC6" i="1"/>
  <c r="X6" i="1"/>
  <c r="AB6" i="1"/>
  <c r="AA6" i="1"/>
  <c r="I6" i="1"/>
  <c r="U6" i="1"/>
  <c r="R6" i="1"/>
  <c r="Q6" i="1"/>
  <c r="S6" i="1"/>
  <c r="F2" i="3" l="1"/>
  <c r="L6" i="3" a="1"/>
  <c r="L4" i="3" a="1"/>
  <c r="L5" i="3" a="1"/>
  <c r="L7" i="3" a="1"/>
  <c r="O6" i="1"/>
  <c r="L7" i="3" l="1"/>
  <c r="F8" i="3"/>
  <c r="F5" i="3"/>
  <c r="F6" i="3"/>
  <c r="F13" i="3"/>
  <c r="F14" i="3"/>
  <c r="F12" i="3"/>
  <c r="L6" i="3"/>
  <c r="K6" i="3" s="1"/>
  <c r="F7" i="3"/>
  <c r="F11" i="3"/>
  <c r="L5" i="3"/>
  <c r="K5" i="3" s="1"/>
  <c r="L4" i="3"/>
  <c r="K4" i="3" s="1"/>
  <c r="F4" i="3"/>
  <c r="L3" i="3" l="1"/>
  <c r="K3" i="3" s="1"/>
  <c r="K7" i="3" s="1"/>
  <c r="F15" i="3"/>
  <c r="F10" i="3"/>
  <c r="L10" i="3" s="1" a="1"/>
  <c r="L10" i="3" l="1"/>
  <c r="K10" i="3" s="1"/>
  <c r="L13" i="3" a="1"/>
  <c r="L13" i="3" s="1"/>
  <c r="K13" i="3" s="1"/>
  <c r="L12" i="3" a="1"/>
  <c r="L12" i="3" s="1"/>
  <c r="K12" i="3" s="1"/>
  <c r="L11" i="3" a="1"/>
  <c r="L11" i="3" s="1"/>
  <c r="K11" i="3" s="1"/>
  <c r="N3" i="1"/>
  <c r="N2" i="1"/>
  <c r="K14" i="3" l="1"/>
  <c r="L14" i="3"/>
  <c r="W10" i="1"/>
  <c r="W8" i="1"/>
  <c r="N5" i="1"/>
  <c r="N6" i="1"/>
  <c r="B12" i="1" l="1"/>
  <c r="W11" i="1"/>
  <c r="AE11" i="1" s="1"/>
  <c r="N4" i="1"/>
  <c r="F2" i="12" l="1"/>
  <c r="L13" i="12" l="1" a="1"/>
  <c r="L13" i="12" s="1"/>
  <c r="K13" i="12" s="1"/>
  <c r="L12" i="12" a="1"/>
  <c r="L12" i="12" s="1"/>
  <c r="K12" i="12" s="1"/>
  <c r="L10" i="12" a="1"/>
  <c r="L10" i="12" s="1"/>
  <c r="L11" i="12" a="1"/>
  <c r="L11" i="12" s="1"/>
  <c r="K11" i="12" s="1"/>
  <c r="W3" i="1"/>
  <c r="L14" i="12" l="1"/>
  <c r="K10" i="12"/>
  <c r="W5" i="1"/>
  <c r="W2" i="1"/>
  <c r="K14" i="12" l="1"/>
  <c r="W6" i="1"/>
  <c r="W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9E7D46-5168-46F6-BD6B-A004F51E6098}" keepAlive="1" name="Запрос — Лист1" description="Соединение с запросом &quot;Лист1&quot; в книге." type="5" refreshedVersion="7" background="1" saveData="1">
    <dbPr connection="Provider=Microsoft.Mashup.OleDb.1;Data Source=$Workbook$;Location=Лист1;Extended Properties=&quot;&quot;" command="SELECT * FROM [Лист1]"/>
  </connection>
  <connection id="2" xr16:uid="{A45907A1-97AC-45B2-AB52-9B58C6E4F074}" keepAlive="1" name="Запрос — Лист1 (10)" description="Соединение с запросом &quot;Лист1 (10)&quot; в книге." type="5" refreshedVersion="7" background="1" saveData="1">
    <dbPr connection="Provider=Microsoft.Mashup.OleDb.1;Data Source=$Workbook$;Location=&quot;Лист1 (10)&quot;;Extended Properties=&quot;&quot;" command="SELECT * FROM [Лист1 (10)]"/>
  </connection>
  <connection id="3" xr16:uid="{B9E18606-5324-4941-9351-F8A9637ECCBB}" keepAlive="1" name="Запрос — Лист1 (11)" description="Соединение с запросом &quot;Лист1 (11)&quot; в книге." type="5" refreshedVersion="7" background="1" saveData="1">
    <dbPr connection="Provider=Microsoft.Mashup.OleDb.1;Data Source=$Workbook$;Location=&quot;Лист1 (11)&quot;;Extended Properties=&quot;&quot;" command="SELECT * FROM [Лист1 (11)]"/>
  </connection>
  <connection id="4" xr16:uid="{2FA430E6-E86C-4105-BB9A-84382D53FF52}" keepAlive="1" name="Запрос — Лист1 (12)" description="Соединение с запросом &quot;Лист1 (12)&quot; в книге." type="5" refreshedVersion="7" background="1" saveData="1">
    <dbPr connection="Provider=Microsoft.Mashup.OleDb.1;Data Source=$Workbook$;Location=&quot;Лист1 (12)&quot;;Extended Properties=&quot;&quot;" command="SELECT * FROM [Лист1 (12)]"/>
  </connection>
  <connection id="5" xr16:uid="{394CFDCC-E711-4649-97D8-106DD9DC66FE}" keepAlive="1" name="Запрос — Лист1 (13)" description="Соединение с запросом &quot;Лист1 (13)&quot; в книге." type="5" refreshedVersion="7" background="1" saveData="1">
    <dbPr connection="Provider=Microsoft.Mashup.OleDb.1;Data Source=$Workbook$;Location=&quot;Лист1 (13)&quot;;Extended Properties=&quot;&quot;" command="SELECT * FROM [Лист1 (13)]"/>
  </connection>
  <connection id="6" xr16:uid="{62F35578-42AD-45A6-8C03-3504AA7F54B9}" keepAlive="1" name="Запрос — Лист1 (14)" description="Соединение с запросом &quot;Лист1 (14)&quot; в книге." type="5" refreshedVersion="7" background="1" saveData="1">
    <dbPr connection="Provider=Microsoft.Mashup.OleDb.1;Data Source=$Workbook$;Location=&quot;Лист1 (14)&quot;;Extended Properties=&quot;&quot;" command="SELECT * FROM [Лист1 (14)]"/>
  </connection>
  <connection id="7" xr16:uid="{D1ED3EB6-51B9-4C69-9779-59B5734EF40B}" keepAlive="1" name="Запрос — Лист1 (15)" description="Соединение с запросом &quot;Лист1 (15)&quot; в книге." type="5" refreshedVersion="7" background="1" saveData="1">
    <dbPr connection="Provider=Microsoft.Mashup.OleDb.1;Data Source=$Workbook$;Location=&quot;Лист1 (15)&quot;;Extended Properties=&quot;&quot;" command="SELECT * FROM [Лист1 (15)]"/>
  </connection>
  <connection id="8" xr16:uid="{14548E50-A3FC-42BE-A73C-702585B47E62}" keepAlive="1" name="Запрос — Лист1 (16)" description="Соединение с запросом &quot;Лист1 (16)&quot; в книге." type="5" refreshedVersion="7" background="1" saveData="1">
    <dbPr connection="Provider=Microsoft.Mashup.OleDb.1;Data Source=$Workbook$;Location=&quot;Лист1 (16)&quot;;Extended Properties=&quot;&quot;" command="SELECT * FROM [Лист1 (16)]"/>
  </connection>
  <connection id="9" xr16:uid="{96527327-C0EC-4A20-9374-7C88F2B59317}" keepAlive="1" name="Запрос — Лист1 (17)" description="Соединение с запросом &quot;Лист1 (17)&quot; в книге." type="5" refreshedVersion="7" background="1" saveData="1">
    <dbPr connection="Provider=Microsoft.Mashup.OleDb.1;Data Source=$Workbook$;Location=&quot;Лист1 (17)&quot;;Extended Properties=&quot;&quot;" command="SELECT * FROM [Лист1 (17)]"/>
  </connection>
  <connection id="10" xr16:uid="{2EC6599C-A43A-413E-9541-460581D03DB5}" keepAlive="1" name="Запрос — Лист1 (18)" description="Соединение с запросом &quot;Лист1 (18)&quot; в книге." type="5" refreshedVersion="7" background="1" saveData="1">
    <dbPr connection="Provider=Microsoft.Mashup.OleDb.1;Data Source=$Workbook$;Location=&quot;Лист1 (18)&quot;;Extended Properties=&quot;&quot;" command="SELECT * FROM [Лист1 (18)]"/>
  </connection>
  <connection id="11" xr16:uid="{B3CF2AC4-4A47-44A6-9BD8-298841300E84}" keepAlive="1" name="Запрос — Лист1 (19)" description="Соединение с запросом &quot;Лист1 (19)&quot; в книге." type="5" refreshedVersion="7" background="1" saveData="1">
    <dbPr connection="Provider=Microsoft.Mashup.OleDb.1;Data Source=$Workbook$;Location=&quot;Лист1 (19)&quot;;Extended Properties=&quot;&quot;" command="SELECT * FROM [Лист1 (19)]"/>
  </connection>
  <connection id="12" xr16:uid="{857555C8-B026-4253-8A12-73D1DE87C74B}" keepAlive="1" name="Запрос — Лист1 (2)" description="Соединение с запросом &quot;Лист1 (2)&quot; в книге." type="5" refreshedVersion="7" background="1" saveData="1">
    <dbPr connection="Provider=Microsoft.Mashup.OleDb.1;Data Source=$Workbook$;Location=&quot;Лист1 (2)&quot;;Extended Properties=&quot;&quot;" command="SELECT * FROM [Лист1 (2)]"/>
  </connection>
  <connection id="13" xr16:uid="{6F519782-4BB0-4808-AFD9-1FA5DA66A81E}" keepAlive="1" name="Запрос — Лист1 (20)" description="Соединение с запросом &quot;Лист1 (20)&quot; в книге." type="5" refreshedVersion="7" background="1" saveData="1">
    <dbPr connection="Provider=Microsoft.Mashup.OleDb.1;Data Source=$Workbook$;Location=&quot;Лист1 (20)&quot;;Extended Properties=&quot;&quot;" command="SELECT * FROM [Лист1 (20)]"/>
  </connection>
  <connection id="14" xr16:uid="{BBDF52DF-1737-4583-AF70-DB8A6F6E22B2}" keepAlive="1" name="Запрос — Лист1 (23)" description="Соединение с запросом &quot;Лист1 (23)&quot; в книге." type="5" refreshedVersion="7" background="1" saveData="1">
    <dbPr connection="Provider=Microsoft.Mashup.OleDb.1;Data Source=$Workbook$;Location=&quot;Лист1 (23)&quot;;Extended Properties=&quot;&quot;" command="SELECT * FROM [Лист1 (23)]"/>
  </connection>
  <connection id="15" xr16:uid="{A26639BE-49E6-4D83-A337-9396BDB17EF2}" keepAlive="1" name="Запрос — Лист1 (24)" description="Соединение с запросом &quot;Лист1 (24)&quot; в книге." type="5" refreshedVersion="7" background="1" saveData="1">
    <dbPr connection="Provider=Microsoft.Mashup.OleDb.1;Data Source=$Workbook$;Location=&quot;Лист1 (24)&quot;;Extended Properties=&quot;&quot;" command="SELECT * FROM [Лист1 (24)]"/>
  </connection>
  <connection id="16" xr16:uid="{0DDB6CF3-07CC-4BA1-89C8-DAC982E0857F}" keepAlive="1" name="Запрос — Лист1 (25)" description="Соединение с запросом &quot;Лист1 (25)&quot; в книге." type="5" refreshedVersion="7" background="1" saveData="1">
    <dbPr connection="Provider=Microsoft.Mashup.OleDb.1;Data Source=$Workbook$;Location=&quot;Лист1 (25)&quot;;Extended Properties=&quot;&quot;" command="SELECT * FROM [Лист1 (25)]"/>
  </connection>
  <connection id="17" xr16:uid="{80C69579-B2AD-4751-AADE-D54B8AD8E638}" keepAlive="1" name="Запрос — Лист1 (26)" description="Соединение с запросом &quot;Лист1 (26)&quot; в книге." type="5" refreshedVersion="7" background="1" saveData="1">
    <dbPr connection="Provider=Microsoft.Mashup.OleDb.1;Data Source=$Workbook$;Location=&quot;Лист1 (26)&quot;;Extended Properties=&quot;&quot;" command="SELECT * FROM [Лист1 (26)]"/>
  </connection>
  <connection id="18" xr16:uid="{D784A62C-6B2B-4D9E-92E3-82EB66D1DC00}" keepAlive="1" name="Запрос — Лист1 (27)" description="Соединение с запросом &quot;Лист1 (27)&quot; в книге." type="5" refreshedVersion="7" background="1" saveData="1">
    <dbPr connection="Provider=Microsoft.Mashup.OleDb.1;Data Source=$Workbook$;Location=&quot;Лист1 (27)&quot;;Extended Properties=&quot;&quot;" command="SELECT * FROM [Лист1 (27)]"/>
  </connection>
  <connection id="19" xr16:uid="{74C3E13D-4C38-482D-A817-7C36FF736CB1}" keepAlive="1" name="Запрос — Лист1 (33)" description="Соединение с запросом &quot;Лист1 (33)&quot; в книге." type="5" refreshedVersion="7" background="1" saveData="1">
    <dbPr connection="Provider=Microsoft.Mashup.OleDb.1;Data Source=$Workbook$;Location=&quot;Лист1 (33)&quot;;Extended Properties=&quot;&quot;" command="SELECT * FROM [Лист1 (33)]"/>
  </connection>
  <connection id="20" xr16:uid="{ECF8B7A6-565A-4C9F-99E2-287F7F6B08D5}" keepAlive="1" name="Запрос — Лист1 (34)" description="Соединение с запросом &quot;Лист1 (34)&quot; в книге." type="5" refreshedVersion="7" background="1" saveData="1">
    <dbPr connection="Provider=Microsoft.Mashup.OleDb.1;Data Source=$Workbook$;Location=&quot;Лист1 (34)&quot;;Extended Properties=&quot;&quot;" command="SELECT * FROM [Лист1 (34)]"/>
  </connection>
  <connection id="21" xr16:uid="{FAB6B0C9-5F59-43F6-AF7E-8C99161A5C77}" keepAlive="1" name="Запрос — Лист1 (38)" description="Соединение с запросом &quot;Лист1 (38)&quot; в книге." type="5" refreshedVersion="7" background="1" saveData="1">
    <dbPr connection="Provider=Microsoft.Mashup.OleDb.1;Data Source=$Workbook$;Location=&quot;Лист1 (38)&quot;;Extended Properties=&quot;&quot;" command="SELECT * FROM [Лист1 (38)]"/>
  </connection>
  <connection id="22" xr16:uid="{61304121-0144-4B4C-81BA-3437BF154F7C}" keepAlive="1" name="Запрос — Лист1 (39)" description="Соединение с запросом &quot;Лист1 (39)&quot; в книге." type="5" refreshedVersion="7" background="1" saveData="1">
    <dbPr connection="Provider=Microsoft.Mashup.OleDb.1;Data Source=$Workbook$;Location=&quot;Лист1 (39)&quot;;Extended Properties=&quot;&quot;" command="SELECT * FROM [Лист1 (39)]"/>
  </connection>
  <connection id="23" xr16:uid="{E1CF79DA-DF00-4377-BEF3-68AFB8AC8D3D}" keepAlive="1" name="Запрос — Лист1 (4)" description="Соединение с запросом &quot;Лист1 (4)&quot; в книге." type="5" refreshedVersion="7" background="1" saveData="1">
    <dbPr connection="Provider=Microsoft.Mashup.OleDb.1;Data Source=$Workbook$;Location=&quot;Лист1 (4)&quot;;Extended Properties=&quot;&quot;" command="SELECT * FROM [Лист1 (4)]"/>
  </connection>
  <connection id="24" xr16:uid="{75B257DF-B0FA-4B75-9AD3-74CFEF889CD1}" keepAlive="1" name="Запрос — Лист1 (40)" description="Соединение с запросом &quot;Лист1 (40)&quot; в книге." type="5" refreshedVersion="7" background="1" saveData="1">
    <dbPr connection="Provider=Microsoft.Mashup.OleDb.1;Data Source=$Workbook$;Location=&quot;Лист1 (40)&quot;;Extended Properties=&quot;&quot;" command="SELECT * FROM [Лист1 (40)]"/>
  </connection>
  <connection id="25" xr16:uid="{D5965401-1AEF-490E-8480-B785F84C24A5}" keepAlive="1" name="Запрос — Лист1 (41)" description="Соединение с запросом &quot;Лист1 (41)&quot; в книге." type="5" refreshedVersion="7" background="1" saveData="1">
    <dbPr connection="Provider=Microsoft.Mashup.OleDb.1;Data Source=$Workbook$;Location=&quot;Лист1 (41)&quot;;Extended Properties=&quot;&quot;" command="SELECT * FROM [Лист1 (41)]"/>
  </connection>
  <connection id="26" xr16:uid="{4FD872AD-72CB-42F7-A163-5DDAA8A70D4F}" keepAlive="1" name="Запрос — Лист1 (42)" description="Соединение с запросом &quot;Лист1 (42)&quot; в книге." type="5" refreshedVersion="7" background="1" saveData="1">
    <dbPr connection="Provider=Microsoft.Mashup.OleDb.1;Data Source=$Workbook$;Location=&quot;Лист1 (42)&quot;;Extended Properties=&quot;&quot;" command="SELECT * FROM [Лист1 (42)]"/>
  </connection>
  <connection id="27" xr16:uid="{112E79D1-EE09-4676-AD2B-3E26B08CD0EA}" keepAlive="1" name="Запрос — Лист1 (43)" description="Соединение с запросом &quot;Лист1 (43)&quot; в книге." type="5" refreshedVersion="7" background="1" saveData="1">
    <dbPr connection="Provider=Microsoft.Mashup.OleDb.1;Data Source=$Workbook$;Location=&quot;Лист1 (43)&quot;;Extended Properties=&quot;&quot;" command="SELECT * FROM [Лист1 (43)]"/>
  </connection>
  <connection id="28" xr16:uid="{6CF920FF-EDC1-4473-92F3-E60B80FA432F}" keepAlive="1" name="Запрос — Лист1 (44)" description="Соединение с запросом &quot;Лист1 (44)&quot; в книге." type="5" refreshedVersion="7" background="1" saveData="1">
    <dbPr connection="Provider=Microsoft.Mashup.OleDb.1;Data Source=$Workbook$;Location=&quot;Лист1 (44)&quot;;Extended Properties=&quot;&quot;" command="SELECT * FROM [Лист1 (44)]"/>
  </connection>
  <connection id="29" xr16:uid="{14C2D4C4-46D8-4C98-A125-F92707C400D4}" keepAlive="1" name="Запрос — Лист1 (45)" description="Соединение с запросом &quot;Лист1 (45)&quot; в книге." type="5" refreshedVersion="7" background="1" saveData="1">
    <dbPr connection="Provider=Microsoft.Mashup.OleDb.1;Data Source=$Workbook$;Location=&quot;Лист1 (45)&quot;;Extended Properties=&quot;&quot;" command="SELECT * FROM [Лист1 (45)]"/>
  </connection>
  <connection id="30" xr16:uid="{2BAE79C7-18C9-4E33-A811-8AC8210DB71D}" keepAlive="1" name="Запрос — Лист1 (46)" description="Соединение с запросом &quot;Лист1 (46)&quot; в книге." type="5" refreshedVersion="7" background="1" saveData="1">
    <dbPr connection="Provider=Microsoft.Mashup.OleDb.1;Data Source=$Workbook$;Location=&quot;Лист1 (46)&quot;;Extended Properties=&quot;&quot;" command="SELECT * FROM [Лист1 (46)]"/>
  </connection>
  <connection id="31" xr16:uid="{968A84D8-DBAB-441F-A055-B316C7D2E410}" keepAlive="1" name="Запрос — Лист1 (47)" description="Соединение с запросом &quot;Лист1 (47)&quot; в книге." type="5" refreshedVersion="7" background="1" saveData="1">
    <dbPr connection="Provider=Microsoft.Mashup.OleDb.1;Data Source=$Workbook$;Location=&quot;Лист1 (47)&quot;;Extended Properties=&quot;&quot;" command="SELECT * FROM [Лист1 (47)]"/>
  </connection>
  <connection id="32" xr16:uid="{25DF7441-C7F6-40E0-B4B6-73758F2FAAAF}" keepAlive="1" name="Запрос — Лист1 (48)" description="Соединение с запросом &quot;Лист1 (48)&quot; в книге." type="5" refreshedVersion="7" background="1" saveData="1">
    <dbPr connection="Provider=Microsoft.Mashup.OleDb.1;Data Source=$Workbook$;Location=&quot;Лист1 (48)&quot;;Extended Properties=&quot;&quot;" command="SELECT * FROM [Лист1 (48)]"/>
  </connection>
  <connection id="33" xr16:uid="{689EDF89-7A61-4BB4-AA3C-B4268C15571C}" keepAlive="1" name="Запрос — Лист1 (5)" description="Соединение с запросом &quot;Лист1 (5)&quot; в книге." type="5" refreshedVersion="7" background="1" saveData="1">
    <dbPr connection="Provider=Microsoft.Mashup.OleDb.1;Data Source=$Workbook$;Location=&quot;Лист1 (5)&quot;;Extended Properties=&quot;&quot;" command="SELECT * FROM [Лист1 (5)]"/>
  </connection>
  <connection id="34" xr16:uid="{9CDEC23B-C989-4DAF-A0E7-735D6300E310}" keepAlive="1" name="Запрос — Лист1 (6)" description="Соединение с запросом &quot;Лист1 (6)&quot; в книге." type="5" refreshedVersion="7" background="1" saveData="1">
    <dbPr connection="Provider=Microsoft.Mashup.OleDb.1;Data Source=$Workbook$;Location=&quot;Лист1 (6)&quot;;Extended Properties=&quot;&quot;" command="SELECT * FROM [Лист1 (6)]"/>
  </connection>
  <connection id="35" xr16:uid="{FFE9AB68-0C67-4673-956F-A237B70E4A12}" keepAlive="1" name="Запрос — Лист1 (7)" description="Соединение с запросом &quot;Лист1 (7)&quot; в книге." type="5" refreshedVersion="7" background="1" saveData="1">
    <dbPr connection="Provider=Microsoft.Mashup.OleDb.1;Data Source=$Workbook$;Location=&quot;Лист1 (7)&quot;;Extended Properties=&quot;&quot;" command="SELECT * FROM [Лист1 (7)]"/>
  </connection>
  <connection id="36" xr16:uid="{9C7B0C06-9149-4919-93FD-E9AEFF23818E}" keepAlive="1" name="Запрос — Лист1 (8)" description="Соединение с запросом &quot;Лист1 (8)&quot; в книге." type="5" refreshedVersion="7" background="1" saveData="1">
    <dbPr connection="Provider=Microsoft.Mashup.OleDb.1;Data Source=$Workbook$;Location=&quot;Лист1 (8)&quot;;Extended Properties=&quot;&quot;" command="SELECT * FROM [Лист1 (8)]"/>
  </connection>
  <connection id="37" xr16:uid="{01D06854-6CC2-4959-88BC-C64915DBCC30}" keepAlive="1" name="Запрос — Лист1 (9)" description="Соединение с запросом &quot;Лист1 (9)&quot; в книге." type="5" refreshedVersion="7" background="1" saveData="1">
    <dbPr connection="Provider=Microsoft.Mashup.OleDb.1;Data Source=$Workbook$;Location=&quot;Лист1 (9)&quot;;Extended Properties=&quot;&quot;" command="SELECT * FROM [Лист1 (9)]"/>
  </connection>
</connections>
</file>

<file path=xl/sharedStrings.xml><?xml version="1.0" encoding="utf-8"?>
<sst xmlns="http://schemas.openxmlformats.org/spreadsheetml/2006/main" count="1306" uniqueCount="58">
  <si>
    <t>ЭЖД-21</t>
  </si>
  <si>
    <t>ЭЖД-22</t>
  </si>
  <si>
    <t>ЭЖД-23</t>
  </si>
  <si>
    <t>до 10%</t>
  </si>
  <si>
    <t>от 10% до 30%</t>
  </si>
  <si>
    <t>от 30% до 50%</t>
  </si>
  <si>
    <t>от 50% до 70%</t>
  </si>
  <si>
    <t>больше 70%</t>
  </si>
  <si>
    <t>№</t>
  </si>
  <si>
    <t>Пропусков в часах</t>
  </si>
  <si>
    <t>Недель заполнено</t>
  </si>
  <si>
    <t>Людей в группе</t>
  </si>
  <si>
    <t>Процент пропусков</t>
  </si>
  <si>
    <t>УПб-41</t>
  </si>
  <si>
    <t>ЭМб-41</t>
  </si>
  <si>
    <t>ЭЖД-46у</t>
  </si>
  <si>
    <t>ЭЖД-45у</t>
  </si>
  <si>
    <t>ЭЖД-44у</t>
  </si>
  <si>
    <t>ЭЖД-43</t>
  </si>
  <si>
    <t>ЭЖД-42</t>
  </si>
  <si>
    <t>ЭЖД-41</t>
  </si>
  <si>
    <t>ЭЖД-33</t>
  </si>
  <si>
    <t>ЭЖД-32</t>
  </si>
  <si>
    <t>ЭЖД-31</t>
  </si>
  <si>
    <t>Упб-31</t>
  </si>
  <si>
    <t>Мб-31</t>
  </si>
  <si>
    <t>Эб-31</t>
  </si>
  <si>
    <t>Процент посещаемости</t>
  </si>
  <si>
    <t>от 50% до 75%</t>
  </si>
  <si>
    <t>от 75% до 90%</t>
  </si>
  <si>
    <t>Свыше 90%</t>
  </si>
  <si>
    <t>%</t>
  </si>
  <si>
    <t>Всего пар</t>
  </si>
  <si>
    <t>Пропуски</t>
  </si>
  <si>
    <t>Посещаемость</t>
  </si>
  <si>
    <t>Индекс</t>
  </si>
  <si>
    <t>Группа</t>
  </si>
  <si>
    <t xml:space="preserve">Недель </t>
  </si>
  <si>
    <t/>
  </si>
  <si>
    <t>Количество людей в группе</t>
  </si>
  <si>
    <t>Сумма</t>
  </si>
  <si>
    <t>Пропущено часов</t>
  </si>
  <si>
    <t>от 0% до 30%</t>
  </si>
  <si>
    <t>ЭЖД-51</t>
  </si>
  <si>
    <t>ЭЖД-52</t>
  </si>
  <si>
    <t>ЭЖД-53</t>
  </si>
  <si>
    <t>ЭЖД-54у</t>
  </si>
  <si>
    <t>ЭЖД-55у</t>
  </si>
  <si>
    <t>ЭЖД-56у</t>
  </si>
  <si>
    <t>ЭЖД-57у</t>
  </si>
  <si>
    <t>Эб-51</t>
  </si>
  <si>
    <t>Мб-51</t>
  </si>
  <si>
    <t>Мб-52</t>
  </si>
  <si>
    <t>УПб-51</t>
  </si>
  <si>
    <t>1</t>
  </si>
  <si>
    <t>Итого</t>
  </si>
  <si>
    <t>Column18</t>
  </si>
  <si>
    <t>Эбт-51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</si>
</sst>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h:mm;@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wrapText="1"/>
    </xf>
    <xf numFmtId="0" fontId="0" fillId="0" borderId="2" xfId="0" applyBorder="1"/>
    <xf numFmtId="0" fontId="0" fillId="2" borderId="2" xfId="0" applyFill="1" applyBorder="1"/>
    <xf numFmtId="0" fontId="1" fillId="0" borderId="2" xfId="0" applyFont="1" applyBorder="1" applyAlignment="1">
      <alignment wrapText="1"/>
    </xf>
    <xf numFmtId="0" fontId="1" fillId="0" borderId="1" xfId="0" applyNumberFormat="1" applyFont="1" applyBorder="1" applyAlignment="1">
      <alignment horizontal="right" wrapText="1"/>
    </xf>
    <xf numFmtId="0" fontId="0" fillId="0" borderId="3" xfId="0" applyFill="1" applyBorder="1"/>
    <xf numFmtId="0" fontId="1" fillId="0" borderId="2" xfId="0" applyFont="1" applyFill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3" xfId="0" applyNumberFormat="1" applyFill="1" applyBorder="1"/>
    <xf numFmtId="0" fontId="1" fillId="0" borderId="5" xfId="0" applyFont="1" applyFill="1" applyBorder="1" applyAlignment="1">
      <alignment wrapText="1"/>
    </xf>
    <xf numFmtId="0" fontId="1" fillId="0" borderId="2" xfId="0" applyNumberFormat="1" applyFont="1" applyBorder="1" applyAlignment="1">
      <alignment horizontal="right" wrapText="1"/>
    </xf>
    <xf numFmtId="0" fontId="0" fillId="0" borderId="0" xfId="0" applyBorder="1"/>
    <xf numFmtId="164" fontId="1" fillId="2" borderId="1" xfId="0" applyNumberFormat="1" applyFont="1" applyFill="1" applyBorder="1" applyAlignment="1">
      <alignment wrapText="1"/>
    </xf>
    <xf numFmtId="0" fontId="0" fillId="2" borderId="3" xfId="0" applyFill="1" applyBorder="1"/>
    <xf numFmtId="0" fontId="0" fillId="0" borderId="0" xfId="0" quotePrefix="1"/>
    <xf numFmtId="0" fontId="0" fillId="0" borderId="4" xfId="0" applyBorder="1" applyAlignment="1">
      <alignment horizontal="center" vertical="center" textRotation="90"/>
    </xf>
  </cellXfs>
  <cellStyles count="1">
    <cellStyle name="Обычный" xfId="0" builtinId="0"/>
  </cellStyles>
  <dxfs count="127"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63" Type="http://schemas.openxmlformats.org/officeDocument/2006/relationships/externalLink" Target="externalLinks/externalLink28.xml"/><Relationship Id="rId68" Type="http://schemas.openxmlformats.org/officeDocument/2006/relationships/externalLink" Target="externalLinks/externalLink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53" Type="http://schemas.openxmlformats.org/officeDocument/2006/relationships/externalLink" Target="externalLinks/externalLink18.xml"/><Relationship Id="rId58" Type="http://schemas.openxmlformats.org/officeDocument/2006/relationships/externalLink" Target="externalLinks/externalLink23.xml"/><Relationship Id="rId66" Type="http://schemas.openxmlformats.org/officeDocument/2006/relationships/externalLink" Target="externalLinks/externalLink31.xml"/><Relationship Id="rId7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56" Type="http://schemas.openxmlformats.org/officeDocument/2006/relationships/externalLink" Target="externalLinks/externalLink21.xml"/><Relationship Id="rId64" Type="http://schemas.openxmlformats.org/officeDocument/2006/relationships/externalLink" Target="externalLinks/externalLink29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6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externalLink" Target="externalLinks/externalLink11.xml"/><Relationship Id="rId59" Type="http://schemas.openxmlformats.org/officeDocument/2006/relationships/externalLink" Target="externalLinks/externalLink24.xml"/><Relationship Id="rId67" Type="http://schemas.openxmlformats.org/officeDocument/2006/relationships/externalLink" Target="externalLinks/externalLink3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54" Type="http://schemas.openxmlformats.org/officeDocument/2006/relationships/externalLink" Target="externalLinks/externalLink19.xml"/><Relationship Id="rId62" Type="http://schemas.openxmlformats.org/officeDocument/2006/relationships/externalLink" Target="externalLinks/externalLink27.xml"/><Relationship Id="rId70" Type="http://schemas.openxmlformats.org/officeDocument/2006/relationships/connections" Target="connections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externalLink" Target="externalLinks/externalLink14.xml"/><Relationship Id="rId57" Type="http://schemas.openxmlformats.org/officeDocument/2006/relationships/externalLink" Target="externalLinks/externalLink2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externalLink" Target="externalLinks/externalLink17.xml"/><Relationship Id="rId60" Type="http://schemas.openxmlformats.org/officeDocument/2006/relationships/externalLink" Target="externalLinks/externalLink25.xml"/><Relationship Id="rId65" Type="http://schemas.openxmlformats.org/officeDocument/2006/relationships/externalLink" Target="externalLinks/externalLink30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4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5.xml"/><Relationship Id="rId55" Type="http://schemas.openxmlformats.org/officeDocument/2006/relationships/externalLink" Target="externalLinks/externalLink20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Лист1!$A$2</c:f>
              <c:strCache>
                <c:ptCount val="1"/>
                <c:pt idx="0">
                  <c:v>от 0% до 30%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Лист1!$B$1:$AD$1</c:f>
              <c:strCache>
                <c:ptCount val="29"/>
                <c:pt idx="0">
                  <c:v>ЭЖД-51</c:v>
                </c:pt>
                <c:pt idx="1">
                  <c:v>ЭЖД-52</c:v>
                </c:pt>
                <c:pt idx="2">
                  <c:v>ЭЖД-53</c:v>
                </c:pt>
                <c:pt idx="3">
                  <c:v>ЭЖД-54у</c:v>
                </c:pt>
                <c:pt idx="4">
                  <c:v>ЭЖД-55у</c:v>
                </c:pt>
                <c:pt idx="5">
                  <c:v>ЭЖД-56у</c:v>
                </c:pt>
                <c:pt idx="6">
                  <c:v>ЭЖД-57у</c:v>
                </c:pt>
                <c:pt idx="7">
                  <c:v>Эбт-51</c:v>
                </c:pt>
                <c:pt idx="8">
                  <c:v>Эб-51</c:v>
                </c:pt>
                <c:pt idx="9">
                  <c:v>Мб-51</c:v>
                </c:pt>
                <c:pt idx="10">
                  <c:v>Мб-52</c:v>
                </c:pt>
                <c:pt idx="11">
                  <c:v>УПб-51</c:v>
                </c:pt>
                <c:pt idx="12">
                  <c:v>УПб-41</c:v>
                </c:pt>
                <c:pt idx="13">
                  <c:v>ЭМб-41</c:v>
                </c:pt>
                <c:pt idx="14">
                  <c:v>ЭЖД-46у</c:v>
                </c:pt>
                <c:pt idx="15">
                  <c:v>ЭЖД-45у</c:v>
                </c:pt>
                <c:pt idx="16">
                  <c:v>ЭЖД-44у</c:v>
                </c:pt>
                <c:pt idx="17">
                  <c:v>ЭЖД-43</c:v>
                </c:pt>
                <c:pt idx="18">
                  <c:v>ЭЖД-42</c:v>
                </c:pt>
                <c:pt idx="19">
                  <c:v>ЭЖД-41</c:v>
                </c:pt>
                <c:pt idx="20">
                  <c:v>ЭЖД-33</c:v>
                </c:pt>
                <c:pt idx="21">
                  <c:v>ЭЖД-32</c:v>
                </c:pt>
                <c:pt idx="22">
                  <c:v>ЭЖД-31</c:v>
                </c:pt>
                <c:pt idx="23">
                  <c:v>Упб-31</c:v>
                </c:pt>
                <c:pt idx="24">
                  <c:v>Мб-31</c:v>
                </c:pt>
                <c:pt idx="25">
                  <c:v>Эб-31</c:v>
                </c:pt>
                <c:pt idx="26">
                  <c:v>ЭЖД-21</c:v>
                </c:pt>
                <c:pt idx="27">
                  <c:v>ЭЖД-22</c:v>
                </c:pt>
                <c:pt idx="28">
                  <c:v>ЭЖД-23</c:v>
                </c:pt>
              </c:strCache>
            </c:strRef>
          </c:cat>
          <c:val>
            <c:numRef>
              <c:f>Лист1!$B$2:$AD$2</c:f>
              <c:numCache>
                <c:formatCode>General</c:formatCode>
                <c:ptCount val="29"/>
                <c:pt idx="0">
                  <c:v>12</c:v>
                </c:pt>
                <c:pt idx="1">
                  <c:v>0</c:v>
                </c:pt>
                <c:pt idx="2">
                  <c:v>21</c:v>
                </c:pt>
                <c:pt idx="3">
                  <c:v>10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15</c:v>
                </c:pt>
                <c:pt idx="20">
                  <c:v>5</c:v>
                </c:pt>
                <c:pt idx="21">
                  <c:v>4</c:v>
                </c:pt>
                <c:pt idx="22">
                  <c:v>0</c:v>
                </c:pt>
                <c:pt idx="23">
                  <c:v>12</c:v>
                </c:pt>
                <c:pt idx="24">
                  <c:v>15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8E-4AF5-8E2F-0A3CDB64FE62}"/>
            </c:ext>
          </c:extLst>
        </c:ser>
        <c:ser>
          <c:idx val="2"/>
          <c:order val="1"/>
          <c:tx>
            <c:strRef>
              <c:f>Лист1!$A$3</c:f>
              <c:strCache>
                <c:ptCount val="1"/>
                <c:pt idx="0">
                  <c:v>от 30% до 50%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Лист1!$B$1:$AD$1</c:f>
              <c:strCache>
                <c:ptCount val="29"/>
                <c:pt idx="0">
                  <c:v>ЭЖД-51</c:v>
                </c:pt>
                <c:pt idx="1">
                  <c:v>ЭЖД-52</c:v>
                </c:pt>
                <c:pt idx="2">
                  <c:v>ЭЖД-53</c:v>
                </c:pt>
                <c:pt idx="3">
                  <c:v>ЭЖД-54у</c:v>
                </c:pt>
                <c:pt idx="4">
                  <c:v>ЭЖД-55у</c:v>
                </c:pt>
                <c:pt idx="5">
                  <c:v>ЭЖД-56у</c:v>
                </c:pt>
                <c:pt idx="6">
                  <c:v>ЭЖД-57у</c:v>
                </c:pt>
                <c:pt idx="7">
                  <c:v>Эбт-51</c:v>
                </c:pt>
                <c:pt idx="8">
                  <c:v>Эб-51</c:v>
                </c:pt>
                <c:pt idx="9">
                  <c:v>Мб-51</c:v>
                </c:pt>
                <c:pt idx="10">
                  <c:v>Мб-52</c:v>
                </c:pt>
                <c:pt idx="11">
                  <c:v>УПб-51</c:v>
                </c:pt>
                <c:pt idx="12">
                  <c:v>УПб-41</c:v>
                </c:pt>
                <c:pt idx="13">
                  <c:v>ЭМб-41</c:v>
                </c:pt>
                <c:pt idx="14">
                  <c:v>ЭЖД-46у</c:v>
                </c:pt>
                <c:pt idx="15">
                  <c:v>ЭЖД-45у</c:v>
                </c:pt>
                <c:pt idx="16">
                  <c:v>ЭЖД-44у</c:v>
                </c:pt>
                <c:pt idx="17">
                  <c:v>ЭЖД-43</c:v>
                </c:pt>
                <c:pt idx="18">
                  <c:v>ЭЖД-42</c:v>
                </c:pt>
                <c:pt idx="19">
                  <c:v>ЭЖД-41</c:v>
                </c:pt>
                <c:pt idx="20">
                  <c:v>ЭЖД-33</c:v>
                </c:pt>
                <c:pt idx="21">
                  <c:v>ЭЖД-32</c:v>
                </c:pt>
                <c:pt idx="22">
                  <c:v>ЭЖД-31</c:v>
                </c:pt>
                <c:pt idx="23">
                  <c:v>Упб-31</c:v>
                </c:pt>
                <c:pt idx="24">
                  <c:v>Мб-31</c:v>
                </c:pt>
                <c:pt idx="25">
                  <c:v>Эб-31</c:v>
                </c:pt>
                <c:pt idx="26">
                  <c:v>ЭЖД-21</c:v>
                </c:pt>
                <c:pt idx="27">
                  <c:v>ЭЖД-22</c:v>
                </c:pt>
                <c:pt idx="28">
                  <c:v>ЭЖД-23</c:v>
                </c:pt>
              </c:strCache>
            </c:strRef>
          </c:cat>
          <c:val>
            <c:numRef>
              <c:f>Лист1!$B$3:$AD$3</c:f>
              <c:numCache>
                <c:formatCode>General</c:formatCode>
                <c:ptCount val="29"/>
                <c:pt idx="0">
                  <c:v>6</c:v>
                </c:pt>
                <c:pt idx="1">
                  <c:v>10</c:v>
                </c:pt>
                <c:pt idx="2">
                  <c:v>25</c:v>
                </c:pt>
                <c:pt idx="3">
                  <c:v>10</c:v>
                </c:pt>
                <c:pt idx="4">
                  <c:v>6</c:v>
                </c:pt>
                <c:pt idx="5">
                  <c:v>6</c:v>
                </c:pt>
                <c:pt idx="6">
                  <c:v>12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36</c:v>
                </c:pt>
                <c:pt idx="11">
                  <c:v>0</c:v>
                </c:pt>
                <c:pt idx="12">
                  <c:v>7</c:v>
                </c:pt>
                <c:pt idx="13">
                  <c:v>4</c:v>
                </c:pt>
                <c:pt idx="14">
                  <c:v>0</c:v>
                </c:pt>
                <c:pt idx="15">
                  <c:v>5</c:v>
                </c:pt>
                <c:pt idx="16">
                  <c:v>13</c:v>
                </c:pt>
                <c:pt idx="17">
                  <c:v>26</c:v>
                </c:pt>
                <c:pt idx="18">
                  <c:v>5</c:v>
                </c:pt>
                <c:pt idx="19">
                  <c:v>0</c:v>
                </c:pt>
                <c:pt idx="20">
                  <c:v>36</c:v>
                </c:pt>
                <c:pt idx="21">
                  <c:v>22</c:v>
                </c:pt>
                <c:pt idx="22">
                  <c:v>8</c:v>
                </c:pt>
                <c:pt idx="23">
                  <c:v>15</c:v>
                </c:pt>
                <c:pt idx="24">
                  <c:v>12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E-4AF5-8E2F-0A3CDB64FE62}"/>
            </c:ext>
          </c:extLst>
        </c:ser>
        <c:ser>
          <c:idx val="3"/>
          <c:order val="2"/>
          <c:tx>
            <c:strRef>
              <c:f>Лист1!$A$4</c:f>
              <c:strCache>
                <c:ptCount val="1"/>
                <c:pt idx="0">
                  <c:v>от 50% до 75%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Лист1!$B$1:$AD$1</c:f>
              <c:strCache>
                <c:ptCount val="29"/>
                <c:pt idx="0">
                  <c:v>ЭЖД-51</c:v>
                </c:pt>
                <c:pt idx="1">
                  <c:v>ЭЖД-52</c:v>
                </c:pt>
                <c:pt idx="2">
                  <c:v>ЭЖД-53</c:v>
                </c:pt>
                <c:pt idx="3">
                  <c:v>ЭЖД-54у</c:v>
                </c:pt>
                <c:pt idx="4">
                  <c:v>ЭЖД-55у</c:v>
                </c:pt>
                <c:pt idx="5">
                  <c:v>ЭЖД-56у</c:v>
                </c:pt>
                <c:pt idx="6">
                  <c:v>ЭЖД-57у</c:v>
                </c:pt>
                <c:pt idx="7">
                  <c:v>Эбт-51</c:v>
                </c:pt>
                <c:pt idx="8">
                  <c:v>Эб-51</c:v>
                </c:pt>
                <c:pt idx="9">
                  <c:v>Мб-51</c:v>
                </c:pt>
                <c:pt idx="10">
                  <c:v>Мб-52</c:v>
                </c:pt>
                <c:pt idx="11">
                  <c:v>УПб-51</c:v>
                </c:pt>
                <c:pt idx="12">
                  <c:v>УПб-41</c:v>
                </c:pt>
                <c:pt idx="13">
                  <c:v>ЭМб-41</c:v>
                </c:pt>
                <c:pt idx="14">
                  <c:v>ЭЖД-46у</c:v>
                </c:pt>
                <c:pt idx="15">
                  <c:v>ЭЖД-45у</c:v>
                </c:pt>
                <c:pt idx="16">
                  <c:v>ЭЖД-44у</c:v>
                </c:pt>
                <c:pt idx="17">
                  <c:v>ЭЖД-43</c:v>
                </c:pt>
                <c:pt idx="18">
                  <c:v>ЭЖД-42</c:v>
                </c:pt>
                <c:pt idx="19">
                  <c:v>ЭЖД-41</c:v>
                </c:pt>
                <c:pt idx="20">
                  <c:v>ЭЖД-33</c:v>
                </c:pt>
                <c:pt idx="21">
                  <c:v>ЭЖД-32</c:v>
                </c:pt>
                <c:pt idx="22">
                  <c:v>ЭЖД-31</c:v>
                </c:pt>
                <c:pt idx="23">
                  <c:v>Упб-31</c:v>
                </c:pt>
                <c:pt idx="24">
                  <c:v>Мб-31</c:v>
                </c:pt>
                <c:pt idx="25">
                  <c:v>Эб-31</c:v>
                </c:pt>
                <c:pt idx="26">
                  <c:v>ЭЖД-21</c:v>
                </c:pt>
                <c:pt idx="27">
                  <c:v>ЭЖД-22</c:v>
                </c:pt>
                <c:pt idx="28">
                  <c:v>ЭЖД-23</c:v>
                </c:pt>
              </c:strCache>
            </c:strRef>
          </c:cat>
          <c:val>
            <c:numRef>
              <c:f>Лист1!$B$4:$AD$4</c:f>
              <c:numCache>
                <c:formatCode>General</c:formatCode>
                <c:ptCount val="29"/>
                <c:pt idx="0">
                  <c:v>35</c:v>
                </c:pt>
                <c:pt idx="1">
                  <c:v>24</c:v>
                </c:pt>
                <c:pt idx="2">
                  <c:v>29</c:v>
                </c:pt>
                <c:pt idx="3">
                  <c:v>20</c:v>
                </c:pt>
                <c:pt idx="4">
                  <c:v>6</c:v>
                </c:pt>
                <c:pt idx="5">
                  <c:v>24</c:v>
                </c:pt>
                <c:pt idx="6">
                  <c:v>18</c:v>
                </c:pt>
                <c:pt idx="7">
                  <c:v>17</c:v>
                </c:pt>
                <c:pt idx="8">
                  <c:v>7</c:v>
                </c:pt>
                <c:pt idx="9">
                  <c:v>5</c:v>
                </c:pt>
                <c:pt idx="10">
                  <c:v>36</c:v>
                </c:pt>
                <c:pt idx="11">
                  <c:v>33</c:v>
                </c:pt>
                <c:pt idx="12">
                  <c:v>7</c:v>
                </c:pt>
                <c:pt idx="13">
                  <c:v>29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26</c:v>
                </c:pt>
                <c:pt idx="18">
                  <c:v>11</c:v>
                </c:pt>
                <c:pt idx="19">
                  <c:v>30</c:v>
                </c:pt>
                <c:pt idx="20">
                  <c:v>18</c:v>
                </c:pt>
                <c:pt idx="21">
                  <c:v>35</c:v>
                </c:pt>
                <c:pt idx="22">
                  <c:v>46</c:v>
                </c:pt>
                <c:pt idx="23">
                  <c:v>27</c:v>
                </c:pt>
                <c:pt idx="24">
                  <c:v>15</c:v>
                </c:pt>
                <c:pt idx="25">
                  <c:v>22</c:v>
                </c:pt>
                <c:pt idx="26">
                  <c:v>35</c:v>
                </c:pt>
                <c:pt idx="27">
                  <c:v>50</c:v>
                </c:pt>
                <c:pt idx="2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8E-4AF5-8E2F-0A3CDB64FE62}"/>
            </c:ext>
          </c:extLst>
        </c:ser>
        <c:ser>
          <c:idx val="4"/>
          <c:order val="3"/>
          <c:tx>
            <c:strRef>
              <c:f>Лист1!$A$5</c:f>
              <c:strCache>
                <c:ptCount val="1"/>
                <c:pt idx="0">
                  <c:v>от 75% до 90%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Лист1!$B$1:$AD$1</c:f>
              <c:strCache>
                <c:ptCount val="29"/>
                <c:pt idx="0">
                  <c:v>ЭЖД-51</c:v>
                </c:pt>
                <c:pt idx="1">
                  <c:v>ЭЖД-52</c:v>
                </c:pt>
                <c:pt idx="2">
                  <c:v>ЭЖД-53</c:v>
                </c:pt>
                <c:pt idx="3">
                  <c:v>ЭЖД-54у</c:v>
                </c:pt>
                <c:pt idx="4">
                  <c:v>ЭЖД-55у</c:v>
                </c:pt>
                <c:pt idx="5">
                  <c:v>ЭЖД-56у</c:v>
                </c:pt>
                <c:pt idx="6">
                  <c:v>ЭЖД-57у</c:v>
                </c:pt>
                <c:pt idx="7">
                  <c:v>Эбт-51</c:v>
                </c:pt>
                <c:pt idx="8">
                  <c:v>Эб-51</c:v>
                </c:pt>
                <c:pt idx="9">
                  <c:v>Мб-51</c:v>
                </c:pt>
                <c:pt idx="10">
                  <c:v>Мб-52</c:v>
                </c:pt>
                <c:pt idx="11">
                  <c:v>УПб-51</c:v>
                </c:pt>
                <c:pt idx="12">
                  <c:v>УПб-41</c:v>
                </c:pt>
                <c:pt idx="13">
                  <c:v>ЭМб-41</c:v>
                </c:pt>
                <c:pt idx="14">
                  <c:v>ЭЖД-46у</c:v>
                </c:pt>
                <c:pt idx="15">
                  <c:v>ЭЖД-45у</c:v>
                </c:pt>
                <c:pt idx="16">
                  <c:v>ЭЖД-44у</c:v>
                </c:pt>
                <c:pt idx="17">
                  <c:v>ЭЖД-43</c:v>
                </c:pt>
                <c:pt idx="18">
                  <c:v>ЭЖД-42</c:v>
                </c:pt>
                <c:pt idx="19">
                  <c:v>ЭЖД-41</c:v>
                </c:pt>
                <c:pt idx="20">
                  <c:v>ЭЖД-33</c:v>
                </c:pt>
                <c:pt idx="21">
                  <c:v>ЭЖД-32</c:v>
                </c:pt>
                <c:pt idx="22">
                  <c:v>ЭЖД-31</c:v>
                </c:pt>
                <c:pt idx="23">
                  <c:v>Упб-31</c:v>
                </c:pt>
                <c:pt idx="24">
                  <c:v>Мб-31</c:v>
                </c:pt>
                <c:pt idx="25">
                  <c:v>Эб-31</c:v>
                </c:pt>
                <c:pt idx="26">
                  <c:v>ЭЖД-21</c:v>
                </c:pt>
                <c:pt idx="27">
                  <c:v>ЭЖД-22</c:v>
                </c:pt>
                <c:pt idx="28">
                  <c:v>ЭЖД-23</c:v>
                </c:pt>
              </c:strCache>
            </c:strRef>
          </c:cat>
          <c:val>
            <c:numRef>
              <c:f>Лист1!$B$5:$AD$5</c:f>
              <c:numCache>
                <c:formatCode>General</c:formatCode>
                <c:ptCount val="29"/>
                <c:pt idx="0">
                  <c:v>35</c:v>
                </c:pt>
                <c:pt idx="1">
                  <c:v>43</c:v>
                </c:pt>
                <c:pt idx="2">
                  <c:v>7</c:v>
                </c:pt>
                <c:pt idx="3">
                  <c:v>30</c:v>
                </c:pt>
                <c:pt idx="4">
                  <c:v>19</c:v>
                </c:pt>
                <c:pt idx="5">
                  <c:v>41</c:v>
                </c:pt>
                <c:pt idx="6">
                  <c:v>24</c:v>
                </c:pt>
                <c:pt idx="7">
                  <c:v>17</c:v>
                </c:pt>
                <c:pt idx="8">
                  <c:v>40</c:v>
                </c:pt>
                <c:pt idx="9">
                  <c:v>33</c:v>
                </c:pt>
                <c:pt idx="10">
                  <c:v>9</c:v>
                </c:pt>
                <c:pt idx="11">
                  <c:v>25</c:v>
                </c:pt>
                <c:pt idx="12">
                  <c:v>47</c:v>
                </c:pt>
                <c:pt idx="13">
                  <c:v>38</c:v>
                </c:pt>
                <c:pt idx="14">
                  <c:v>20</c:v>
                </c:pt>
                <c:pt idx="15">
                  <c:v>30</c:v>
                </c:pt>
                <c:pt idx="16">
                  <c:v>19</c:v>
                </c:pt>
                <c:pt idx="17">
                  <c:v>13</c:v>
                </c:pt>
                <c:pt idx="18">
                  <c:v>32</c:v>
                </c:pt>
                <c:pt idx="19">
                  <c:v>20</c:v>
                </c:pt>
                <c:pt idx="20">
                  <c:v>32</c:v>
                </c:pt>
                <c:pt idx="21">
                  <c:v>22</c:v>
                </c:pt>
                <c:pt idx="22">
                  <c:v>23</c:v>
                </c:pt>
                <c:pt idx="23">
                  <c:v>23</c:v>
                </c:pt>
                <c:pt idx="24">
                  <c:v>19</c:v>
                </c:pt>
                <c:pt idx="25">
                  <c:v>44</c:v>
                </c:pt>
                <c:pt idx="26">
                  <c:v>39</c:v>
                </c:pt>
                <c:pt idx="27">
                  <c:v>27</c:v>
                </c:pt>
                <c:pt idx="2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8E-4AF5-8E2F-0A3CDB64FE62}"/>
            </c:ext>
          </c:extLst>
        </c:ser>
        <c:ser>
          <c:idx val="5"/>
          <c:order val="4"/>
          <c:tx>
            <c:strRef>
              <c:f>Лист1!$A$6</c:f>
              <c:strCache>
                <c:ptCount val="1"/>
                <c:pt idx="0">
                  <c:v>Свыше 90%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Лист1!$B$1:$AD$1</c:f>
              <c:strCache>
                <c:ptCount val="29"/>
                <c:pt idx="0">
                  <c:v>ЭЖД-51</c:v>
                </c:pt>
                <c:pt idx="1">
                  <c:v>ЭЖД-52</c:v>
                </c:pt>
                <c:pt idx="2">
                  <c:v>ЭЖД-53</c:v>
                </c:pt>
                <c:pt idx="3">
                  <c:v>ЭЖД-54у</c:v>
                </c:pt>
                <c:pt idx="4">
                  <c:v>ЭЖД-55у</c:v>
                </c:pt>
                <c:pt idx="5">
                  <c:v>ЭЖД-56у</c:v>
                </c:pt>
                <c:pt idx="6">
                  <c:v>ЭЖД-57у</c:v>
                </c:pt>
                <c:pt idx="7">
                  <c:v>Эбт-51</c:v>
                </c:pt>
                <c:pt idx="8">
                  <c:v>Эб-51</c:v>
                </c:pt>
                <c:pt idx="9">
                  <c:v>Мб-51</c:v>
                </c:pt>
                <c:pt idx="10">
                  <c:v>Мб-52</c:v>
                </c:pt>
                <c:pt idx="11">
                  <c:v>УПб-51</c:v>
                </c:pt>
                <c:pt idx="12">
                  <c:v>УПб-41</c:v>
                </c:pt>
                <c:pt idx="13">
                  <c:v>ЭМб-41</c:v>
                </c:pt>
                <c:pt idx="14">
                  <c:v>ЭЖД-46у</c:v>
                </c:pt>
                <c:pt idx="15">
                  <c:v>ЭЖД-45у</c:v>
                </c:pt>
                <c:pt idx="16">
                  <c:v>ЭЖД-44у</c:v>
                </c:pt>
                <c:pt idx="17">
                  <c:v>ЭЖД-43</c:v>
                </c:pt>
                <c:pt idx="18">
                  <c:v>ЭЖД-42</c:v>
                </c:pt>
                <c:pt idx="19">
                  <c:v>ЭЖД-41</c:v>
                </c:pt>
                <c:pt idx="20">
                  <c:v>ЭЖД-33</c:v>
                </c:pt>
                <c:pt idx="21">
                  <c:v>ЭЖД-32</c:v>
                </c:pt>
                <c:pt idx="22">
                  <c:v>ЭЖД-31</c:v>
                </c:pt>
                <c:pt idx="23">
                  <c:v>Упб-31</c:v>
                </c:pt>
                <c:pt idx="24">
                  <c:v>Мб-31</c:v>
                </c:pt>
                <c:pt idx="25">
                  <c:v>Эб-31</c:v>
                </c:pt>
                <c:pt idx="26">
                  <c:v>ЭЖД-21</c:v>
                </c:pt>
                <c:pt idx="27">
                  <c:v>ЭЖД-22</c:v>
                </c:pt>
                <c:pt idx="28">
                  <c:v>ЭЖД-23</c:v>
                </c:pt>
              </c:strCache>
            </c:strRef>
          </c:cat>
          <c:val>
            <c:numRef>
              <c:f>Лист1!$B$6:$AD$6</c:f>
              <c:numCache>
                <c:formatCode>General</c:formatCode>
                <c:ptCount val="29"/>
                <c:pt idx="0">
                  <c:v>12</c:v>
                </c:pt>
                <c:pt idx="1">
                  <c:v>23</c:v>
                </c:pt>
                <c:pt idx="2">
                  <c:v>18</c:v>
                </c:pt>
                <c:pt idx="3">
                  <c:v>30</c:v>
                </c:pt>
                <c:pt idx="4">
                  <c:v>63</c:v>
                </c:pt>
                <c:pt idx="5">
                  <c:v>29</c:v>
                </c:pt>
                <c:pt idx="6">
                  <c:v>46</c:v>
                </c:pt>
                <c:pt idx="7">
                  <c:v>66</c:v>
                </c:pt>
                <c:pt idx="8">
                  <c:v>46</c:v>
                </c:pt>
                <c:pt idx="9">
                  <c:v>62</c:v>
                </c:pt>
                <c:pt idx="10">
                  <c:v>10</c:v>
                </c:pt>
                <c:pt idx="11">
                  <c:v>42</c:v>
                </c:pt>
                <c:pt idx="12">
                  <c:v>39</c:v>
                </c:pt>
                <c:pt idx="13">
                  <c:v>29</c:v>
                </c:pt>
                <c:pt idx="14">
                  <c:v>80</c:v>
                </c:pt>
                <c:pt idx="15">
                  <c:v>35</c:v>
                </c:pt>
                <c:pt idx="16">
                  <c:v>37</c:v>
                </c:pt>
                <c:pt idx="17">
                  <c:v>31</c:v>
                </c:pt>
                <c:pt idx="18">
                  <c:v>52</c:v>
                </c:pt>
                <c:pt idx="19">
                  <c:v>35</c:v>
                </c:pt>
                <c:pt idx="20">
                  <c:v>9</c:v>
                </c:pt>
                <c:pt idx="21">
                  <c:v>17</c:v>
                </c:pt>
                <c:pt idx="22">
                  <c:v>23</c:v>
                </c:pt>
                <c:pt idx="23">
                  <c:v>23</c:v>
                </c:pt>
                <c:pt idx="24">
                  <c:v>39</c:v>
                </c:pt>
                <c:pt idx="25">
                  <c:v>34</c:v>
                </c:pt>
                <c:pt idx="26">
                  <c:v>26</c:v>
                </c:pt>
                <c:pt idx="27">
                  <c:v>13</c:v>
                </c:pt>
                <c:pt idx="2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8-438C-8CAC-27D7D150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5452704"/>
        <c:axId val="2135446464"/>
      </c:barChart>
      <c:catAx>
        <c:axId val="21354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135446464"/>
        <c:crosses val="autoZero"/>
        <c:auto val="1"/>
        <c:lblAlgn val="ctr"/>
        <c:lblOffset val="100"/>
        <c:noMultiLvlLbl val="0"/>
      </c:catAx>
      <c:valAx>
        <c:axId val="213544646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13545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</xdr:colOff>
      <xdr:row>13</xdr:row>
      <xdr:rowOff>621</xdr:rowOff>
    </xdr:from>
    <xdr:to>
      <xdr:col>13</xdr:col>
      <xdr:colOff>646043</xdr:colOff>
      <xdr:row>36</xdr:row>
      <xdr:rowOff>16565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5639537-186C-592B-AE99-7F83146D8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4&#1091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5&#109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6&#1091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57&#1091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73;-5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2;&#1073;-5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2;&#1073;-5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9;&#1055;&#1073;-5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9;&#1055;&#1073;-4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52;&#1073;-4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6&#1091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5&#1091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4&#1091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2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4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3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32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3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9;&#1055;&#1073;-31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2;&#1073;-3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73;-31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2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22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6;&#1044;-2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8;&#1058;&#1055;&#1073;-2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73;-2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9;&#1055;&#1073;-21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52;&#1073;-21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Yandex.Disk/!&#1055;&#1072;&#1087;&#1082;&#1072;%20&#1079;&#1072;&#1084;&#1072;%20&#1087;&#1086;%20&#1091;&#1095;&#1077;&#1073;&#1085;&#1086;&#1081;%20&#1088;&#1072;&#1073;&#1086;&#1090;&#1077;/&#1055;&#1086;&#1089;&#1077;&#1097;&#1077;&#1085;&#1080;&#1077;%20&#1075;&#1088;&#1091;&#1087;&#1087;_&#1076;&#1080;&#1072;&#1075;&#1088;&#1072;&#1084;&#1084;&#1099;/2025-2026/&#1069;&#1041;&#1090;-5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222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243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15</v>
          </cell>
        </row>
        <row r="2">
          <cell r="R2">
            <v>213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231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216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214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212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10</v>
          </cell>
        </row>
        <row r="2">
          <cell r="R2">
            <v>147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15</v>
          </cell>
        </row>
        <row r="2">
          <cell r="R2">
            <v>218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">
          <cell r="U1">
            <v>9</v>
          </cell>
        </row>
        <row r="2">
          <cell r="R2">
            <v>135</v>
          </cell>
        </row>
      </sheetData>
      <sheetData sheetId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233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14</v>
          </cell>
        </row>
        <row r="2">
          <cell r="R2">
            <v>168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15</v>
          </cell>
        </row>
        <row r="2">
          <cell r="R2">
            <v>189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">
          <cell r="U1">
            <v>16</v>
          </cell>
        </row>
        <row r="2">
          <cell r="R2">
            <v>160</v>
          </cell>
        </row>
      </sheetData>
      <sheetData sheetId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140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146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177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">
          <cell r="U1">
            <v>14</v>
          </cell>
        </row>
        <row r="2">
          <cell r="R2">
            <v>158</v>
          </cell>
        </row>
      </sheetData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183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11</v>
          </cell>
        </row>
        <row r="2">
          <cell r="R2">
            <v>109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153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154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203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15</v>
          </cell>
        </row>
        <row r="2">
          <cell r="R2">
            <v>168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209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123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">
          <cell r="U1">
            <v>16</v>
          </cell>
        </row>
        <row r="2">
          <cell r="R2">
            <v>108</v>
          </cell>
        </row>
      </sheetData>
      <sheetData sheetId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16</v>
          </cell>
        </row>
        <row r="2">
          <cell r="R2">
            <v>144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8</v>
          </cell>
        </row>
        <row r="2">
          <cell r="R2">
            <v>92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9</v>
          </cell>
        </row>
        <row r="2">
          <cell r="R2">
            <v>114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9</v>
          </cell>
        </row>
        <row r="2">
          <cell r="R2">
            <v>122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U1">
            <v>8</v>
          </cell>
        </row>
        <row r="2">
          <cell r="R2">
            <v>100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ЭБт-51"/>
    </sheetNames>
    <sheetDataSet>
      <sheetData sheetId="0">
        <row r="1">
          <cell r="U1">
            <v>16</v>
          </cell>
        </row>
        <row r="2">
          <cell r="R2">
            <v>231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1A839157-A98B-4AE4-90CD-3241204496D6}" autoFormatId="16" applyNumberFormats="0" applyBorderFormats="0" applyFontFormats="0" applyPatternFormats="0" applyAlignmentFormats="0" applyWidthHeightFormats="0">
  <queryTableRefresh nextId="11">
    <queryTableFields count="2">
      <queryTableField id="8" name="1" tableColumnId="2"/>
      <queryTableField id="10" name="Итого" tableColumnId="1"/>
    </queryTableFields>
    <queryTableDeletedFields count="1">
      <deletedField name="Индекс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BFB98458-1646-4CED-A95B-4DE9A5646877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4" xr16:uid="{05CF1257-48F2-4CFF-83E8-0B8716193F3C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194DFABA-F155-4134-8922-2E4B16FCEF6A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2A39097D-CD36-439F-8996-D6821206560C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C127D30F-F8D8-4E7B-B853-E0AC0D10D19C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22C56F8A-3BEF-4643-9096-5AEC82945E34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99FC158A-6581-4EF2-883F-4631BD55062F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E8FF2217-FF6D-443D-9C29-02C1B66B4E8F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957D35AB-38CC-4C79-8778-05854CB01262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5D831F5B-3418-4850-B14A-CC9B25DC9B49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B5C3D13-17FF-459D-B274-EAE84516F07A}" autoFormatId="16" applyNumberFormats="0" applyBorderFormats="0" applyFontFormats="0" applyPatternFormats="0" applyAlignmentFormats="0" applyWidthHeightFormats="0">
  <queryTableRefresh nextId="8">
    <queryTableFields count="2">
      <queryTableField id="4" name="Индекс" tableColumnId="2"/>
      <queryTableField id="7" name="Итого" tableColumnId="1"/>
    </queryTableFields>
    <queryTableDeletedFields count="1">
      <deletedField name="Индекс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CF53D0D-E33D-4AA7-AEDF-5B812FFC9DBC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18A7CF1E-AD15-460C-B137-1DCB56F31421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0FF5B58B-9D3F-4CF4-897A-D65A15157C70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4" xr16:uid="{B5353721-62B3-4320-BC8B-73C8B5D40AF7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" xr16:uid="{DCE655D3-50F5-4A60-9D3D-F866CF3BD353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AA03EF66-6051-48E2-AC49-121CE62E8161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857C3576-6D1E-436D-BDF2-2BDE7223D9AD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4F30586-E39D-4560-AA70-CD1CAF215DAA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62CF079-1BB3-413A-819C-C55ACEAA4D5A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49A6CE4-CD66-460F-8782-5252056F7EF2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B7E85F3-083C-4186-B132-4066475FC29C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20F4CBC9-7312-40C7-9409-B5DBB974C09A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06580E1-CBC0-467B-AA0C-42CFD917987B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4A4A908-8563-454E-903D-69E460429196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2434558-8D36-4C28-8AFE-C5CBCFFF3C38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6C9E23AF-67BD-4B20-83F9-11791012D04D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9661129A-8244-4372-9234-21402D608927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C4479A6A-F8DC-4A83-9DD2-EDD68749740A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F90528FF-4A06-4874-9EE0-97C10063114E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DD2D6BC9-FEED-4DE9-8462-850C90749353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854383D3-07E8-4DD3-9D4A-680004C5AAA0}" autoFormatId="16" applyNumberFormats="0" applyBorderFormats="0" applyFontFormats="0" applyPatternFormats="0" applyAlignmentFormats="0" applyWidthHeightFormats="0">
  <queryTableRefresh nextId="5">
    <queryTableFields count="2">
      <queryTableField id="1" name="Индекс" tableColumnId="1"/>
      <queryTableField id="4" name="Column18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1728F3-CAAD-48F3-8E93-C23141820158}" name="Лист122" displayName="Лист122" ref="B1:C41" tableType="queryTable" totalsRowShown="0" headerRowBorderDxfId="126" tableBorderDxfId="125">
  <autoFilter ref="B1:C41" xr:uid="{161728F3-CAAD-48F3-8E93-C23141820158}"/>
  <tableColumns count="2">
    <tableColumn id="2" xr3:uid="{9FFF3738-E6A1-4A72-A99D-9FB5B9C9222F}" uniqueName="2" name="1" queryTableFieldId="8"/>
    <tableColumn id="1" xr3:uid="{D1C67FFD-B55D-4C55-98A4-26AB0F660CA2}" uniqueName="1" name="Итого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A91A044-F0C6-48B6-85F2-65F875C6A1C2}" name="Лист12223" displayName="Лист12223" ref="B1:C41" tableType="queryTable" totalsRowShown="0" headerRowBorderDxfId="124" tableBorderDxfId="123">
  <autoFilter ref="B1:C41" xr:uid="{8A91A044-F0C6-48B6-85F2-65F875C6A1C2}"/>
  <tableColumns count="2">
    <tableColumn id="2" xr3:uid="{CEEC3B95-7958-43E1-A53C-349A946C59B2}" uniqueName="2" name="Индекс" queryTableFieldId="4"/>
    <tableColumn id="1" xr3:uid="{1D9C604C-B67C-4F8E-B60B-CADD02DD0BC2}" uniqueName="1" name="Итого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FFDCFD7-8A98-4CE0-AC98-DD6DCEC44E4A}" name="Лист12236" displayName="Лист12236" ref="B1:C41" tableType="queryTable" totalsRowShown="0" headerRowBorderDxfId="122" tableBorderDxfId="121">
  <autoFilter ref="B1:C41" xr:uid="{4FFDCFD7-8A98-4CE0-AC98-DD6DCEC44E4A}"/>
  <tableColumns count="2">
    <tableColumn id="2" xr3:uid="{5BD05B2A-249F-4F46-A6AC-4537C64ADF4E}" uniqueName="2" name="Индекс" queryTableFieldId="4"/>
    <tableColumn id="1" xr3:uid="{F9C0BCD6-63A3-4954-824E-4A4A0E07D263}" uniqueName="1" name="Итого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39AA55C-9C18-4148-824A-D16F7855473E}" name="Лист1223637" displayName="Лист1223637" ref="B1:C41" tableType="queryTable" totalsRowShown="0" headerRowBorderDxfId="120" tableBorderDxfId="119">
  <autoFilter ref="B1:C41" xr:uid="{239AA55C-9C18-4148-824A-D16F7855473E}"/>
  <tableColumns count="2">
    <tableColumn id="2" xr3:uid="{F3541EF1-E487-4213-97D0-D3333C089FEA}" uniqueName="2" name="Индекс" queryTableFieldId="4"/>
    <tableColumn id="1" xr3:uid="{EF615E0C-08F6-43CF-BDF0-AA56592A3FFD}" uniqueName="1" name="Итого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9D5F426-6BDE-4D55-B6AC-9381DE57A59B}" name="Лист122363738" displayName="Лист122363738" ref="B1:C41" tableType="queryTable" totalsRowShown="0" headerRowBorderDxfId="118" tableBorderDxfId="117">
  <autoFilter ref="B1:C41" xr:uid="{A9D5F426-6BDE-4D55-B6AC-9381DE57A59B}"/>
  <tableColumns count="2">
    <tableColumn id="2" xr3:uid="{5F6D4D0A-26AD-4C7E-BFC3-76FEA5A90CF9}" uniqueName="2" name="Индекс" queryTableFieldId="4"/>
    <tableColumn id="1" xr3:uid="{DE8D4FFA-FDD3-4B7B-85A9-52417045A800}" uniqueName="1" name="Итого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E95722C-DDAC-4886-982D-0D73310F140C}" name="Лист12236373839" displayName="Лист12236373839" ref="B1:C41" tableType="queryTable" totalsRowShown="0" headerRowBorderDxfId="116" tableBorderDxfId="115">
  <autoFilter ref="B1:C41" xr:uid="{2E95722C-DDAC-4886-982D-0D73310F140C}"/>
  <tableColumns count="2">
    <tableColumn id="2" xr3:uid="{DCEA3E53-D89B-4930-AD49-BF53D1F577D0}" uniqueName="2" name="Индекс" queryTableFieldId="4"/>
    <tableColumn id="1" xr3:uid="{C40FE297-D261-458D-8CE1-DA470CA4AB91}" uniqueName="1" name="Итого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CFB6FE2F-77F6-459F-B2C1-7E9AD6367C31}" name="Лист1223637383940" displayName="Лист1223637383940" ref="B1:C41" tableType="queryTable" totalsRowShown="0" headerRowBorderDxfId="114" tableBorderDxfId="113">
  <autoFilter ref="B1:C41" xr:uid="{CFB6FE2F-77F6-459F-B2C1-7E9AD6367C31}"/>
  <tableColumns count="2">
    <tableColumn id="2" xr3:uid="{FF233249-A320-43FA-9139-DF218D1E878E}" uniqueName="2" name="Индекс" queryTableFieldId="4"/>
    <tableColumn id="1" xr3:uid="{6E58EDFA-BA26-4B8F-BFB5-EB2C9F8407BC}" uniqueName="1" name="Итого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537785A-C09C-4737-98D8-EAF38BA58397}" name="Лист122363738394041" displayName="Лист122363738394041" ref="B1:C41" tableType="queryTable" totalsRowShown="0" headerRowBorderDxfId="112" tableBorderDxfId="111">
  <autoFilter ref="B1:C41" xr:uid="{8537785A-C09C-4737-98D8-EAF38BA58397}"/>
  <tableColumns count="2">
    <tableColumn id="2" xr3:uid="{CD2D1363-A9AE-470A-8FBE-3FD77C6131FE}" uniqueName="2" name="Индекс" queryTableFieldId="4"/>
    <tableColumn id="1" xr3:uid="{DCDC9C12-412F-4E2B-88A5-3066BDF8245D}" uniqueName="1" name="Итого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6C8BE908-A9E1-43AA-9E11-16168E56D4AF}" name="Лист12236373839404142" displayName="Лист12236373839404142" ref="B1:C41" tableType="queryTable" totalsRowShown="0" headerRowBorderDxfId="110" tableBorderDxfId="109">
  <autoFilter ref="B1:C41" xr:uid="{6C8BE908-A9E1-43AA-9E11-16168E56D4AF}"/>
  <tableColumns count="2">
    <tableColumn id="2" xr3:uid="{8B3E4A65-AED6-4ECA-9E50-0212BF905AC6}" uniqueName="2" name="Индекс" queryTableFieldId="4"/>
    <tableColumn id="1" xr3:uid="{E3692C0F-2C9C-4491-AC80-D86C209E55B0}" uniqueName="1" name="Итого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91F6064-7F22-4B60-AB48-D7C2D72F73D8}" name="Лист1223637383940414243" displayName="Лист1223637383940414243" ref="B1:C41" tableType="queryTable" totalsRowShown="0" headerRowBorderDxfId="108" tableBorderDxfId="107">
  <autoFilter ref="B1:C41" xr:uid="{591F6064-7F22-4B60-AB48-D7C2D72F73D8}"/>
  <tableColumns count="2">
    <tableColumn id="2" xr3:uid="{8506D34F-9554-4D79-8F4A-966ABE741B24}" uniqueName="2" name="Индекс" queryTableFieldId="4"/>
    <tableColumn id="1" xr3:uid="{ED6B4AF2-86F8-49B0-80A0-ADD225C4F72B}" uniqueName="1" name="Итого" queryTableField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3FB5E97-D249-4ACC-AD9A-ADAE4D4F6FE5}" name="Лист122363738394041424344" displayName="Лист122363738394041424344" ref="B1:C41" tableType="queryTable" totalsRowShown="0" headerRowBorderDxfId="106" tableBorderDxfId="105">
  <autoFilter ref="B1:C41" xr:uid="{33FB5E97-D249-4ACC-AD9A-ADAE4D4F6FE5}"/>
  <tableColumns count="2">
    <tableColumn id="2" xr3:uid="{83472CCB-7B8E-4C31-94AC-662E5E67EC0E}" uniqueName="2" name="Индекс" queryTableFieldId="4"/>
    <tableColumn id="1" xr3:uid="{EF378877-B34D-4685-BD94-28250D45E515}" uniqueName="1" name="Итого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D9BF21-9FA8-4291-9166-7ED3A72DC50D}" name="Лист1" displayName="Лист1" ref="B1:C41" tableType="queryTable" totalsRowShown="0" headerRowBorderDxfId="104" tableBorderDxfId="103">
  <autoFilter ref="B1:C41" xr:uid="{6CD9BF21-9FA8-4291-9166-7ED3A72DC50D}"/>
  <tableColumns count="2">
    <tableColumn id="2" xr3:uid="{0996FF7B-7A0A-4ECF-B99F-8D346253503F}" uniqueName="2" name="Индекс" queryTableFieldId="4"/>
    <tableColumn id="1" xr3:uid="{3C64A9AD-836B-4BD5-B844-7F89007A4527}" uniqueName="1" name="Итого" queryTableFieldId="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1522A9-0796-4620-BB38-1AD93CA08A48}" name="Лист1__2" displayName="Лист1__2" ref="B1:C41" tableType="queryTable" totalsRowShown="0" headerRowDxfId="102" headerRowBorderDxfId="101" tableBorderDxfId="100" totalsRowBorderDxfId="99">
  <autoFilter ref="B1:C41" xr:uid="{C71522A9-0796-4620-BB38-1AD93CA08A48}"/>
  <tableColumns count="2">
    <tableColumn id="1" xr3:uid="{6DDA4633-60ED-4033-B558-ED869393BA7F}" uniqueName="1" name="Индекс" queryTableFieldId="1" dataDxfId="98"/>
    <tableColumn id="2" xr3:uid="{05C3653E-C664-4B47-B24C-5B79B3E32E58}" uniqueName="2" name="Column18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98FC3-927D-46E1-A37B-41B4FDABEED7}" name="Лист1__4" displayName="Лист1__4" ref="B1:C41" tableType="queryTable" totalsRowShown="0" headerRowDxfId="97" headerRowBorderDxfId="96" tableBorderDxfId="95">
  <autoFilter ref="B1:C41" xr:uid="{D5398FC3-927D-46E1-A37B-41B4FDABEED7}"/>
  <tableColumns count="2">
    <tableColumn id="1" xr3:uid="{EE04FFC2-19D9-4E6F-BE4A-7C0014999F7F}" uniqueName="1" name="Индекс" queryTableFieldId="1" dataDxfId="94"/>
    <tableColumn id="2" xr3:uid="{A1B91782-6B69-4F7F-B9C6-9C079481E87A}" uniqueName="2" name="Column18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B39B77-824E-433D-8C08-3DEF088C649C}" name="Лист1__5" displayName="Лист1__5" ref="B1:C41" tableType="queryTable" totalsRowShown="0" headerRowDxfId="93" headerRowBorderDxfId="92" tableBorderDxfId="91" totalsRowBorderDxfId="90">
  <autoFilter ref="B1:C41" xr:uid="{33B39B77-824E-433D-8C08-3DEF088C649C}"/>
  <tableColumns count="2">
    <tableColumn id="1" xr3:uid="{30A256D8-EC1D-48F8-ACA8-28E262149012}" uniqueName="1" name="Индекс" queryTableFieldId="1" dataDxfId="89"/>
    <tableColumn id="2" xr3:uid="{1C5F9AD6-AE32-4B61-A08D-DD74FFB01C5C}" uniqueName="2" name="Column18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97370B-82A1-4AB1-A82F-7652881FDDF6}" name="Лист1__6" displayName="Лист1__6" ref="B1:C41" tableType="queryTable" totalsRowShown="0" headerRowDxfId="88" headerRowBorderDxfId="87" tableBorderDxfId="86" totalsRowBorderDxfId="85">
  <autoFilter ref="B1:C41" xr:uid="{E197370B-82A1-4AB1-A82F-7652881FDDF6}"/>
  <tableColumns count="2">
    <tableColumn id="1" xr3:uid="{0CA56A2D-70C8-4879-819F-CA4A720AF76A}" uniqueName="1" name="Индекс" queryTableFieldId="1" dataDxfId="84"/>
    <tableColumn id="2" xr3:uid="{49F55B1B-5F17-4713-8C37-8760CE9033B3}" uniqueName="2" name="Column18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2106B8-E6A1-4490-964A-2C4B986B13BE}" name="Лист1__7" displayName="Лист1__7" ref="B1:C41" tableType="queryTable" totalsRowShown="0" headerRowDxfId="83" headerRowBorderDxfId="82" tableBorderDxfId="81" totalsRowBorderDxfId="80">
  <autoFilter ref="B1:C41" xr:uid="{552106B8-E6A1-4490-964A-2C4B986B13BE}"/>
  <tableColumns count="2">
    <tableColumn id="1" xr3:uid="{4A0E432C-8D63-41B3-ADC1-2E49F27E4EA4}" uniqueName="1" name="Индекс" queryTableFieldId="1" dataDxfId="79"/>
    <tableColumn id="2" xr3:uid="{A712DFDB-3C9A-42EB-AB81-AAC1F032F305}" uniqueName="2" name="Column18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674971-76AF-4BE2-B2EE-403FD21820B1}" name="Лист1__8" displayName="Лист1__8" ref="B1:C41" tableType="queryTable" totalsRowShown="0" headerRowDxfId="78" headerRowBorderDxfId="77" tableBorderDxfId="76" totalsRowBorderDxfId="75">
  <autoFilter ref="B1:C41" xr:uid="{A0674971-76AF-4BE2-B2EE-403FD21820B1}"/>
  <tableColumns count="2">
    <tableColumn id="1" xr3:uid="{C81E485A-9EF7-48A8-88CE-11A6E7B6D95E}" uniqueName="1" name="Индекс" queryTableFieldId="1" dataDxfId="74"/>
    <tableColumn id="2" xr3:uid="{DC395B49-C6B0-46F6-8803-F0911C0A2510}" uniqueName="2" name="Column18" queryTableFieldId="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ED6395A-552D-43AD-AF6D-5EBA0CF7851C}" name="Лист1__9" displayName="Лист1__9" ref="B1:C41" tableType="queryTable" totalsRowShown="0" headerRowDxfId="73" headerRowBorderDxfId="72" tableBorderDxfId="71" totalsRowBorderDxfId="70">
  <autoFilter ref="B1:C41" xr:uid="{4ED6395A-552D-43AD-AF6D-5EBA0CF7851C}"/>
  <tableColumns count="2">
    <tableColumn id="1" xr3:uid="{E2DC47D0-637E-49FA-BFB1-9314ABFD9ADC}" uniqueName="1" name="Индекс" queryTableFieldId="1" dataDxfId="69"/>
    <tableColumn id="2" xr3:uid="{3DAF78C9-618D-406F-B09C-23E57A2A6163}" uniqueName="2" name="Column18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1527DE-8CAF-4AC1-97E7-9E3A7BA150CB}" name="Лист1__10" displayName="Лист1__10" ref="B1:C41" tableType="queryTable" totalsRowShown="0" headerRowDxfId="68" headerRowBorderDxfId="67" tableBorderDxfId="66">
  <autoFilter ref="B1:C41" xr:uid="{CC1527DE-8CAF-4AC1-97E7-9E3A7BA150CB}"/>
  <tableColumns count="2">
    <tableColumn id="1" xr3:uid="{1E2485A2-5B0A-4265-B127-C250E2C2A125}" uniqueName="1" name="Индекс" queryTableFieldId="1" dataDxfId="65"/>
    <tableColumn id="2" xr3:uid="{5BD1FD26-0F31-45CD-9BFD-644854651F06}" uniqueName="2" name="Column18" queryTableFieldId="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BC667B2-6266-4D9C-A21F-F809D8B9919C}" name="Лист1__11" displayName="Лист1__11" ref="B1:C41" tableType="queryTable" totalsRowShown="0" headerRowDxfId="64" headerRowBorderDxfId="63" tableBorderDxfId="62" totalsRowBorderDxfId="61">
  <autoFilter ref="B1:C41" xr:uid="{8BC667B2-6266-4D9C-A21F-F809D8B9919C}"/>
  <tableColumns count="2">
    <tableColumn id="1" xr3:uid="{AAB259A7-4BA1-4360-8A8D-4C268C5E640A}" uniqueName="1" name="Индекс" queryTableFieldId="1" dataDxfId="60"/>
    <tableColumn id="2" xr3:uid="{8BF0AB76-3ABE-4098-BA23-6D91D886F724}" uniqueName="2" name="Column18" queryTableFieldId="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8C5416-30F8-4800-B139-DEF49B8095C7}" name="Лист1__13" displayName="Лист1__13" ref="B1:C41" tableType="queryTable" totalsRowShown="0" headerRowDxfId="59" headerRowBorderDxfId="58" tableBorderDxfId="57" totalsRowBorderDxfId="56">
  <autoFilter ref="B1:C41" xr:uid="{F38C5416-30F8-4800-B139-DEF49B8095C7}"/>
  <tableColumns count="2">
    <tableColumn id="1" xr3:uid="{B9AA1165-56DB-42EA-A802-1F61F10B5268}" uniqueName="1" name="Индекс" queryTableFieldId="1" dataDxfId="55"/>
    <tableColumn id="2" xr3:uid="{39918300-B839-44AE-A08E-05E4653BE61C}" uniqueName="2" name="Column18" queryTableFieldId="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86A54C-9458-4CBF-8A37-5EFAB13AD94D}" name="Лист1__16" displayName="Лист1__16" ref="B1:C41" tableType="queryTable" totalsRowShown="0" headerRowDxfId="54" headerRowBorderDxfId="53" tableBorderDxfId="52" totalsRowBorderDxfId="51">
  <autoFilter ref="B1:C41" xr:uid="{A086A54C-9458-4CBF-8A37-5EFAB13AD94D}"/>
  <tableColumns count="2">
    <tableColumn id="1" xr3:uid="{0996FA02-AAAF-47CC-9584-38061CC32CF8}" uniqueName="1" name="Индекс" queryTableFieldId="1" dataDxfId="50"/>
    <tableColumn id="2" xr3:uid="{A7B8054B-E291-49A6-AD90-26383C61FF6C}" uniqueName="2" name="Column18" queryTableFieldId="4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FAB6B80-C5D1-4073-A1B5-DC15ED158C80}" name="Лист1__17" displayName="Лист1__17" ref="B1:C41" tableType="queryTable" totalsRowShown="0" headerRowDxfId="49" headerRowBorderDxfId="48" tableBorderDxfId="47" totalsRowBorderDxfId="46">
  <autoFilter ref="B1:C41" xr:uid="{5FAB6B80-C5D1-4073-A1B5-DC15ED158C80}"/>
  <tableColumns count="2">
    <tableColumn id="1" xr3:uid="{635C67E3-DD83-40EE-A8E3-0A345409C9C1}" uniqueName="1" name="Индекс" queryTableFieldId="1" dataDxfId="45"/>
    <tableColumn id="2" xr3:uid="{83A6B413-0121-4035-8524-B761CADED9BE}" uniqueName="2" name="Column18" queryTableFieldId="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3315597-757D-4780-B4F1-10478E2059EC}" name="Лист1__18" displayName="Лист1__18" ref="B1:C41" tableType="queryTable" totalsRowShown="0" headerRowDxfId="44" headerRowBorderDxfId="43" tableBorderDxfId="42" totalsRowBorderDxfId="41">
  <autoFilter ref="B1:C41" xr:uid="{13315597-757D-4780-B4F1-10478E2059EC}"/>
  <tableColumns count="2">
    <tableColumn id="1" xr3:uid="{FEB5809B-103E-4181-BD85-48866FCAB293}" uniqueName="1" name="Индекс" queryTableFieldId="1" dataDxfId="40"/>
    <tableColumn id="2" xr3:uid="{075F97EF-EE04-49D9-A633-943284F678CF}" uniqueName="2" name="Column18" queryTableFieldId="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9C1F32-66F2-4BEE-BCB4-12F310E6D4AD}" name="Лист1__19" displayName="Лист1__19" ref="B1:C41" tableType="queryTable" totalsRowShown="0" headerRowDxfId="39" headerRowBorderDxfId="38" tableBorderDxfId="37" totalsRowBorderDxfId="36">
  <autoFilter ref="B1:C41" xr:uid="{F49C1F32-66F2-4BEE-BCB4-12F310E6D4AD}"/>
  <tableColumns count="2">
    <tableColumn id="1" xr3:uid="{5556B10F-ABFF-4CD4-953E-3E0A2A3E8541}" uniqueName="1" name="Индекс" queryTableFieldId="1" dataDxfId="35"/>
    <tableColumn id="2" xr3:uid="{60DC710E-FAA8-44EC-8E97-2F565E0DDB3D}" uniqueName="2" name="Column18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0D72B79-C604-45AF-8D70-2BC98B925835}" name="Лист1__12" displayName="Лист1__12" ref="B1:C41" tableType="queryTable" totalsRowShown="0" headerRowDxfId="34" headerRowBorderDxfId="33" tableBorderDxfId="32" totalsRowBorderDxfId="31">
  <autoFilter ref="B1:C41" xr:uid="{D0D72B79-C604-45AF-8D70-2BC98B925835}"/>
  <tableColumns count="2">
    <tableColumn id="1" xr3:uid="{C8FF3EE4-5121-404C-8809-9A68AD9054CF}" uniqueName="1" name="Индекс" queryTableFieldId="1" dataDxfId="30"/>
    <tableColumn id="2" xr3:uid="{A8B58C50-6D28-47B5-9F16-AB22E67A08D7}" uniqueName="2" name="Column18" queryTableFieldId="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476BC61-6C76-4335-92DE-A2C6F9B280C0}" name="Лист1__20" displayName="Лист1__20" ref="B1:C41" tableType="queryTable" totalsRowShown="0" headerRowDxfId="29" headerRowBorderDxfId="28" tableBorderDxfId="27" totalsRowBorderDxfId="26">
  <autoFilter ref="B1:C41" xr:uid="{E476BC61-6C76-4335-92DE-A2C6F9B280C0}"/>
  <tableColumns count="2">
    <tableColumn id="1" xr3:uid="{FD80309B-1FAC-4626-BADB-26F8563D688A}" uniqueName="1" name="Индекс" queryTableFieldId="1" dataDxfId="25"/>
    <tableColumn id="2" xr3:uid="{3820C8F9-9B1C-4D00-AF78-F50CB9D955D6}" uniqueName="2" name="Column18" queryTableFieldId="4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15CF759-CFB0-498A-AAF9-418261DFA426}" name="Лист1__23" displayName="Лист1__23" ref="B1:C41" tableType="queryTable" totalsRowShown="0" headerRowDxfId="24" headerRowBorderDxfId="23" tableBorderDxfId="22" totalsRowBorderDxfId="21">
  <autoFilter ref="B1:C41" xr:uid="{D15CF759-CFB0-498A-AAF9-418261DFA426}"/>
  <tableColumns count="2">
    <tableColumn id="1" xr3:uid="{64EF8227-466F-4C64-860A-D141B6277671}" uniqueName="1" name="Индекс" queryTableFieldId="1" dataDxfId="20"/>
    <tableColumn id="2" xr3:uid="{A6554F93-329B-4DAC-BAE7-F08579873932}" uniqueName="2" name="Column18" queryTableFieldId="4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5F6ED4F-EA40-4E77-8FF9-BAC85C1B68B5}" name="Лист1__24" displayName="Лист1__24" ref="B1:C41" tableType="queryTable" totalsRowShown="0" headerRowDxfId="19" headerRowBorderDxfId="18" tableBorderDxfId="17" totalsRowBorderDxfId="16">
  <autoFilter ref="B1:C41" xr:uid="{25F6ED4F-EA40-4E77-8FF9-BAC85C1B68B5}"/>
  <tableColumns count="2">
    <tableColumn id="1" xr3:uid="{442B6FA6-9FDE-4C22-BA6C-4EB3B03EF13F}" uniqueName="1" name="Индекс" queryTableFieldId="1" dataDxfId="15"/>
    <tableColumn id="2" xr3:uid="{1A63999D-45A5-414E-A67F-D00131B103BD}" uniqueName="2" name="Column18" queryTableFieldId="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591DD2-96B7-41B7-B926-01304BF4B84E}" name="Лист1__25" displayName="Лист1__25" ref="B1:C41" tableType="queryTable" totalsRowShown="0" headerRowDxfId="14" headerRowBorderDxfId="13" tableBorderDxfId="12" totalsRowBorderDxfId="11">
  <autoFilter ref="B1:C41" xr:uid="{DB591DD2-96B7-41B7-B926-01304BF4B84E}"/>
  <tableColumns count="2">
    <tableColumn id="1" xr3:uid="{0741309A-FD86-42C8-8397-7AD970F6FEAF}" uniqueName="1" name="Индекс" queryTableFieldId="1" dataDxfId="10"/>
    <tableColumn id="2" xr3:uid="{7850E29E-8F80-496F-B61A-27FF1AC8A20A}" uniqueName="2" name="Column18" queryTableFieldId="4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4818457-614D-4E16-BAFD-A99BF97073B8}" name="Лист1__26" displayName="Лист1__26" ref="B1:C41" tableType="queryTable" totalsRowShown="0" headerRowDxfId="9" headerRowBorderDxfId="8" tableBorderDxfId="7" totalsRowBorderDxfId="6">
  <autoFilter ref="B1:C41" xr:uid="{24818457-614D-4E16-BAFD-A99BF97073B8}"/>
  <tableColumns count="2">
    <tableColumn id="1" xr3:uid="{CEFF29F9-2FFF-4F96-A627-5ADE4302945C}" uniqueName="1" name="Индекс" queryTableFieldId="1" dataDxfId="5"/>
    <tableColumn id="2" xr3:uid="{AEE5E5AF-A1B4-4566-A1B4-12CCE1C848D9}" uniqueName="2" name="Column18" queryTableFieldId="4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4E4AE99-47A5-4E02-9A6E-D522171F2731}" name="Лист1__27" displayName="Лист1__27" ref="B1:C41" tableType="queryTable" totalsRowShown="0" headerRowDxfId="4" headerRowBorderDxfId="3" tableBorderDxfId="2" totalsRowBorderDxfId="1">
  <autoFilter ref="B1:C41" xr:uid="{64E4AE99-47A5-4E02-9A6E-D522171F2731}"/>
  <tableColumns count="2">
    <tableColumn id="1" xr3:uid="{4447AA48-74F1-49BB-BF0E-645F211A215C}" uniqueName="1" name="Индекс" queryTableFieldId="1" dataDxfId="0"/>
    <tableColumn id="2" xr3:uid="{C3C5A35F-FE7B-4764-BDD2-7B55806CB734}" uniqueName="2" name="Column18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I998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35" sqref="P35"/>
    </sheetView>
  </sheetViews>
  <sheetFormatPr defaultRowHeight="15" x14ac:dyDescent="0.25"/>
  <cols>
    <col min="1" max="1" width="17.85546875" customWidth="1"/>
    <col min="2" max="3" width="10.28515625" bestFit="1" customWidth="1"/>
    <col min="4" max="6" width="9.7109375" bestFit="1" customWidth="1"/>
    <col min="14" max="14" width="9.7109375" bestFit="1" customWidth="1"/>
    <col min="28" max="206" width="9.140625" style="15"/>
  </cols>
  <sheetData>
    <row r="1" spans="1:217" ht="15.75" thickBot="1" x14ac:dyDescent="0.3">
      <c r="A1" s="16">
        <f ca="1">NOW()</f>
        <v>46224.846354629626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57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0</v>
      </c>
      <c r="AC1" s="1" t="s">
        <v>1</v>
      </c>
      <c r="AD1" s="1" t="s">
        <v>2</v>
      </c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</row>
    <row r="2" spans="1:217" ht="15.75" thickBot="1" x14ac:dyDescent="0.3">
      <c r="A2" s="4" t="s">
        <v>42</v>
      </c>
      <c r="B2" s="5">
        <f t="shared" ref="B2" ca="1" si="0">INDIRECT("'"&amp;B$1&amp;"'!K"&amp;ROW(B10))</f>
        <v>12</v>
      </c>
      <c r="C2" s="5">
        <f t="shared" ref="C2:H2" ca="1" si="1">INDIRECT("'"&amp;C$1&amp;"'!K"&amp;ROW(C10))</f>
        <v>0</v>
      </c>
      <c r="D2" s="5">
        <f t="shared" ca="1" si="1"/>
        <v>21</v>
      </c>
      <c r="E2" s="5">
        <f t="shared" ca="1" si="1"/>
        <v>10</v>
      </c>
      <c r="F2" s="5">
        <f t="shared" ca="1" si="1"/>
        <v>6</v>
      </c>
      <c r="G2" s="5">
        <f t="shared" ca="1" si="1"/>
        <v>0</v>
      </c>
      <c r="H2" s="5">
        <f t="shared" ca="1" si="1"/>
        <v>0</v>
      </c>
      <c r="I2" s="5">
        <f ca="1">INDIRECT("'"&amp;I$1&amp;"'!K"&amp;ROW(I10))</f>
        <v>0</v>
      </c>
      <c r="J2" s="5">
        <f t="shared" ref="J2:M2" ca="1" si="2">INDIRECT("'"&amp;J$1&amp;"'!K"&amp;ROW(J10))</f>
        <v>0</v>
      </c>
      <c r="K2" s="5">
        <f t="shared" ca="1" si="2"/>
        <v>0</v>
      </c>
      <c r="L2" s="5">
        <f t="shared" ca="1" si="2"/>
        <v>9</v>
      </c>
      <c r="M2" s="5">
        <f t="shared" ca="1" si="2"/>
        <v>0</v>
      </c>
      <c r="N2" s="5">
        <f ca="1">INDIRECT("'"&amp;N$1&amp;"'!K"&amp;ROW(N10))</f>
        <v>0</v>
      </c>
      <c r="O2" s="5">
        <f t="shared" ref="O2:AD3" ca="1" si="3">INDIRECT("'"&amp;O$1&amp;"'!K"&amp;ROW(O10))</f>
        <v>0</v>
      </c>
      <c r="P2" s="5">
        <f t="shared" ca="1" si="3"/>
        <v>0</v>
      </c>
      <c r="Q2" s="5">
        <f t="shared" ca="1" si="3"/>
        <v>0</v>
      </c>
      <c r="R2" s="5">
        <f t="shared" ca="1" si="3"/>
        <v>0</v>
      </c>
      <c r="S2" s="5">
        <f t="shared" ca="1" si="3"/>
        <v>4</v>
      </c>
      <c r="T2" s="5">
        <f t="shared" ca="1" si="3"/>
        <v>0</v>
      </c>
      <c r="U2" s="5">
        <f t="shared" ca="1" si="3"/>
        <v>15</v>
      </c>
      <c r="V2" s="5">
        <f t="shared" ca="1" si="3"/>
        <v>5</v>
      </c>
      <c r="W2" s="5">
        <f t="shared" ca="1" si="3"/>
        <v>4</v>
      </c>
      <c r="X2" s="5">
        <f t="shared" ca="1" si="3"/>
        <v>0</v>
      </c>
      <c r="Y2" s="5">
        <f t="shared" ca="1" si="3"/>
        <v>12</v>
      </c>
      <c r="Z2" s="5">
        <f t="shared" ca="1" si="3"/>
        <v>15</v>
      </c>
      <c r="AA2" s="5">
        <f t="shared" ca="1" si="3"/>
        <v>0</v>
      </c>
      <c r="AB2" s="5">
        <f t="shared" ca="1" si="3"/>
        <v>0</v>
      </c>
      <c r="AC2" s="5">
        <f t="shared" ca="1" si="3"/>
        <v>5</v>
      </c>
      <c r="AD2" s="5">
        <f t="shared" ca="1" si="3"/>
        <v>0</v>
      </c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</row>
    <row r="3" spans="1:217" ht="15.75" thickBot="1" x14ac:dyDescent="0.3">
      <c r="A3" s="4" t="s">
        <v>5</v>
      </c>
      <c r="B3" s="5">
        <f t="shared" ref="B3:H3" ca="1" si="4">INDIRECT("'"&amp;B$1&amp;"'!K"&amp;ROW(B11))</f>
        <v>6</v>
      </c>
      <c r="C3" s="5">
        <f t="shared" ca="1" si="4"/>
        <v>10</v>
      </c>
      <c r="D3" s="5">
        <f t="shared" ca="1" si="4"/>
        <v>25</v>
      </c>
      <c r="E3" s="5">
        <f t="shared" ca="1" si="4"/>
        <v>10</v>
      </c>
      <c r="F3" s="5">
        <f t="shared" ca="1" si="4"/>
        <v>6</v>
      </c>
      <c r="G3" s="5">
        <f t="shared" ca="1" si="4"/>
        <v>6</v>
      </c>
      <c r="H3" s="5">
        <f t="shared" ca="1" si="4"/>
        <v>12</v>
      </c>
      <c r="I3" s="5">
        <f ca="1">INDIRECT("'"&amp;I$1&amp;"'!K"&amp;ROW(I11))</f>
        <v>0</v>
      </c>
      <c r="J3" s="5">
        <f t="shared" ref="J3:M3" ca="1" si="5">INDIRECT("'"&amp;J$1&amp;"'!K"&amp;ROW(J11))</f>
        <v>7</v>
      </c>
      <c r="K3" s="5">
        <f t="shared" ca="1" si="5"/>
        <v>0</v>
      </c>
      <c r="L3" s="5">
        <f t="shared" ca="1" si="5"/>
        <v>36</v>
      </c>
      <c r="M3" s="5">
        <f t="shared" ca="1" si="5"/>
        <v>0</v>
      </c>
      <c r="N3" s="5">
        <f t="shared" ref="N3:AA3" ca="1" si="6">INDIRECT("'"&amp;N$1&amp;"'!K"&amp;ROW(N11))</f>
        <v>7</v>
      </c>
      <c r="O3" s="5">
        <f t="shared" ca="1" si="6"/>
        <v>4</v>
      </c>
      <c r="P3" s="5">
        <f t="shared" ca="1" si="6"/>
        <v>0</v>
      </c>
      <c r="Q3" s="5">
        <f t="shared" ca="1" si="6"/>
        <v>5</v>
      </c>
      <c r="R3" s="5">
        <f t="shared" ca="1" si="6"/>
        <v>13</v>
      </c>
      <c r="S3" s="5">
        <f t="shared" ca="1" si="6"/>
        <v>26</v>
      </c>
      <c r="T3" s="5">
        <f t="shared" ca="1" si="6"/>
        <v>5</v>
      </c>
      <c r="U3" s="5">
        <f t="shared" ca="1" si="6"/>
        <v>0</v>
      </c>
      <c r="V3" s="5">
        <f t="shared" ca="1" si="6"/>
        <v>36</v>
      </c>
      <c r="W3" s="5">
        <f t="shared" ca="1" si="6"/>
        <v>22</v>
      </c>
      <c r="X3" s="5">
        <f t="shared" ca="1" si="6"/>
        <v>8</v>
      </c>
      <c r="Y3" s="5">
        <f t="shared" ca="1" si="6"/>
        <v>15</v>
      </c>
      <c r="Z3" s="5">
        <f t="shared" ca="1" si="6"/>
        <v>12</v>
      </c>
      <c r="AA3" s="5">
        <f t="shared" ca="1" si="6"/>
        <v>0</v>
      </c>
      <c r="AB3" s="5">
        <f t="shared" ca="1" si="3"/>
        <v>0</v>
      </c>
      <c r="AC3" s="5">
        <f t="shared" ca="1" si="3"/>
        <v>5</v>
      </c>
      <c r="AD3" s="5">
        <f t="shared" ca="1" si="3"/>
        <v>17</v>
      </c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</row>
    <row r="4" spans="1:217" ht="15.75" thickBot="1" x14ac:dyDescent="0.3">
      <c r="A4" s="4" t="s">
        <v>28</v>
      </c>
      <c r="B4" s="5">
        <f t="shared" ref="B4:H4" ca="1" si="7">INDIRECT("'"&amp;B$1&amp;"'!K"&amp;ROW(B12))</f>
        <v>35</v>
      </c>
      <c r="C4" s="5">
        <f t="shared" ca="1" si="7"/>
        <v>24</v>
      </c>
      <c r="D4" s="5">
        <f t="shared" ca="1" si="7"/>
        <v>29</v>
      </c>
      <c r="E4" s="5">
        <f t="shared" ca="1" si="7"/>
        <v>20</v>
      </c>
      <c r="F4" s="5">
        <f t="shared" ca="1" si="7"/>
        <v>6</v>
      </c>
      <c r="G4" s="5">
        <f t="shared" ca="1" si="7"/>
        <v>24</v>
      </c>
      <c r="H4" s="5">
        <f t="shared" ca="1" si="7"/>
        <v>18</v>
      </c>
      <c r="I4" s="5">
        <f ca="1">INDIRECT("'"&amp;I$1&amp;"'!K"&amp;ROW(Z12))</f>
        <v>17</v>
      </c>
      <c r="J4" s="5">
        <f t="shared" ref="J4:M4" ca="1" si="8">INDIRECT("'"&amp;J$1&amp;"'!K"&amp;ROW(J12))</f>
        <v>7</v>
      </c>
      <c r="K4" s="5">
        <f t="shared" ca="1" si="8"/>
        <v>5</v>
      </c>
      <c r="L4" s="5">
        <f t="shared" ca="1" si="8"/>
        <v>36</v>
      </c>
      <c r="M4" s="5">
        <f t="shared" ca="1" si="8"/>
        <v>33</v>
      </c>
      <c r="N4" s="5">
        <f t="shared" ref="N4:T6" ca="1" si="9">INDIRECT("'"&amp;N$1&amp;"'!K"&amp;ROW(B12))</f>
        <v>7</v>
      </c>
      <c r="O4" s="5">
        <f t="shared" ca="1" si="9"/>
        <v>29</v>
      </c>
      <c r="P4" s="5">
        <f t="shared" ca="1" si="9"/>
        <v>0</v>
      </c>
      <c r="Q4" s="5">
        <f t="shared" ca="1" si="9"/>
        <v>30</v>
      </c>
      <c r="R4" s="5">
        <f t="shared" ca="1" si="9"/>
        <v>31</v>
      </c>
      <c r="S4" s="5">
        <f t="shared" ca="1" si="9"/>
        <v>26</v>
      </c>
      <c r="T4" s="5">
        <f t="shared" ca="1" si="9"/>
        <v>11</v>
      </c>
      <c r="U4" s="5">
        <f t="shared" ref="U4:W6" ca="1" si="10">INDIRECT("'"&amp;U$1&amp;"'!K"&amp;ROW(J12))</f>
        <v>30</v>
      </c>
      <c r="V4" s="5">
        <f t="shared" ca="1" si="10"/>
        <v>18</v>
      </c>
      <c r="W4" s="5">
        <f t="shared" ca="1" si="10"/>
        <v>35</v>
      </c>
      <c r="X4" s="5">
        <f t="shared" ref="X4:X6" ca="1" si="11">INDIRECT("'"&amp;X$1&amp;"'!K"&amp;ROW(M12))</f>
        <v>46</v>
      </c>
      <c r="Y4" s="5">
        <f t="shared" ref="Y4:AD6" ca="1" si="12">INDIRECT("'"&amp;Y$1&amp;"'!K"&amp;ROW(P12))</f>
        <v>27</v>
      </c>
      <c r="Z4" s="5">
        <f t="shared" ca="1" si="12"/>
        <v>15</v>
      </c>
      <c r="AA4" s="5">
        <f t="shared" ca="1" si="12"/>
        <v>22</v>
      </c>
      <c r="AB4" s="5">
        <f t="shared" ca="1" si="12"/>
        <v>35</v>
      </c>
      <c r="AC4" s="5">
        <f t="shared" ca="1" si="12"/>
        <v>50</v>
      </c>
      <c r="AD4" s="5">
        <f t="shared" ca="1" si="12"/>
        <v>33</v>
      </c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</row>
    <row r="5" spans="1:217" ht="15.75" thickBot="1" x14ac:dyDescent="0.3">
      <c r="A5" s="4" t="s">
        <v>29</v>
      </c>
      <c r="B5" s="5">
        <f t="shared" ref="B5:H5" ca="1" si="13">INDIRECT("'"&amp;B$1&amp;"'!K"&amp;ROW(B13))</f>
        <v>35</v>
      </c>
      <c r="C5" s="5">
        <f t="shared" ca="1" si="13"/>
        <v>43</v>
      </c>
      <c r="D5" s="5">
        <f t="shared" ca="1" si="13"/>
        <v>7</v>
      </c>
      <c r="E5" s="5">
        <f t="shared" ca="1" si="13"/>
        <v>30</v>
      </c>
      <c r="F5" s="5">
        <f t="shared" ca="1" si="13"/>
        <v>19</v>
      </c>
      <c r="G5" s="5">
        <f t="shared" ca="1" si="13"/>
        <v>41</v>
      </c>
      <c r="H5" s="5">
        <f t="shared" ca="1" si="13"/>
        <v>24</v>
      </c>
      <c r="I5" s="5">
        <f ca="1">INDIRECT("'"&amp;I$1&amp;"'!K"&amp;ROW(Z13))</f>
        <v>17</v>
      </c>
      <c r="J5" s="5">
        <f t="shared" ref="J5:M5" ca="1" si="14">INDIRECT("'"&amp;J$1&amp;"'!K"&amp;ROW(J13))</f>
        <v>40</v>
      </c>
      <c r="K5" s="5">
        <f t="shared" ca="1" si="14"/>
        <v>33</v>
      </c>
      <c r="L5" s="5">
        <f t="shared" ca="1" si="14"/>
        <v>9</v>
      </c>
      <c r="M5" s="5">
        <f t="shared" ca="1" si="14"/>
        <v>25</v>
      </c>
      <c r="N5" s="5">
        <f t="shared" ca="1" si="9"/>
        <v>47</v>
      </c>
      <c r="O5" s="5">
        <f t="shared" ca="1" si="9"/>
        <v>38</v>
      </c>
      <c r="P5" s="5">
        <f t="shared" ca="1" si="9"/>
        <v>20</v>
      </c>
      <c r="Q5" s="5">
        <f t="shared" ca="1" si="9"/>
        <v>30</v>
      </c>
      <c r="R5" s="5">
        <f t="shared" ca="1" si="9"/>
        <v>19</v>
      </c>
      <c r="S5" s="5">
        <f t="shared" ca="1" si="9"/>
        <v>13</v>
      </c>
      <c r="T5" s="5">
        <f t="shared" ca="1" si="9"/>
        <v>32</v>
      </c>
      <c r="U5" s="5">
        <f t="shared" ca="1" si="10"/>
        <v>20</v>
      </c>
      <c r="V5" s="5">
        <f t="shared" ca="1" si="10"/>
        <v>32</v>
      </c>
      <c r="W5" s="5">
        <f t="shared" ca="1" si="10"/>
        <v>22</v>
      </c>
      <c r="X5" s="5">
        <f t="shared" ca="1" si="11"/>
        <v>23</v>
      </c>
      <c r="Y5" s="5">
        <f t="shared" ca="1" si="12"/>
        <v>23</v>
      </c>
      <c r="Z5" s="5">
        <f t="shared" ca="1" si="12"/>
        <v>19</v>
      </c>
      <c r="AA5" s="5">
        <f t="shared" ca="1" si="12"/>
        <v>44</v>
      </c>
      <c r="AB5" s="5">
        <f t="shared" ca="1" si="12"/>
        <v>39</v>
      </c>
      <c r="AC5" s="5">
        <f t="shared" ca="1" si="12"/>
        <v>27</v>
      </c>
      <c r="AD5" s="5">
        <f t="shared" ca="1" si="12"/>
        <v>33</v>
      </c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</row>
    <row r="6" spans="1:217" ht="15.75" thickBot="1" x14ac:dyDescent="0.3">
      <c r="A6" s="13" t="s">
        <v>30</v>
      </c>
      <c r="B6" s="5">
        <f t="shared" ref="B6:H6" ca="1" si="15">INDIRECT("'"&amp;B$1&amp;"'!K"&amp;ROW(B14))</f>
        <v>12</v>
      </c>
      <c r="C6" s="5">
        <f t="shared" ca="1" si="15"/>
        <v>23</v>
      </c>
      <c r="D6" s="5">
        <f t="shared" ca="1" si="15"/>
        <v>18</v>
      </c>
      <c r="E6" s="5">
        <f t="shared" ca="1" si="15"/>
        <v>30</v>
      </c>
      <c r="F6" s="5">
        <f t="shared" ca="1" si="15"/>
        <v>63</v>
      </c>
      <c r="G6" s="5">
        <f t="shared" ca="1" si="15"/>
        <v>29</v>
      </c>
      <c r="H6" s="5">
        <f t="shared" ca="1" si="15"/>
        <v>46</v>
      </c>
      <c r="I6" s="5">
        <f ca="1">INDIRECT("'"&amp;I$1&amp;"'!K"&amp;ROW(Z14))</f>
        <v>66</v>
      </c>
      <c r="J6" s="5">
        <f t="shared" ref="J6:M6" ca="1" si="16">INDIRECT("'"&amp;J$1&amp;"'!K"&amp;ROW(J14))</f>
        <v>46</v>
      </c>
      <c r="K6" s="5">
        <f t="shared" ca="1" si="16"/>
        <v>62</v>
      </c>
      <c r="L6" s="5">
        <f t="shared" ca="1" si="16"/>
        <v>10</v>
      </c>
      <c r="M6" s="5">
        <f t="shared" ca="1" si="16"/>
        <v>42</v>
      </c>
      <c r="N6" s="5">
        <f t="shared" ca="1" si="9"/>
        <v>39</v>
      </c>
      <c r="O6" s="5">
        <f t="shared" ca="1" si="9"/>
        <v>29</v>
      </c>
      <c r="P6" s="5">
        <f t="shared" ca="1" si="9"/>
        <v>80</v>
      </c>
      <c r="Q6" s="5">
        <f t="shared" ca="1" si="9"/>
        <v>35</v>
      </c>
      <c r="R6" s="5">
        <f t="shared" ca="1" si="9"/>
        <v>37</v>
      </c>
      <c r="S6" s="5">
        <f t="shared" ca="1" si="9"/>
        <v>31</v>
      </c>
      <c r="T6" s="5">
        <f t="shared" ca="1" si="9"/>
        <v>52</v>
      </c>
      <c r="U6" s="5">
        <f t="shared" ca="1" si="10"/>
        <v>35</v>
      </c>
      <c r="V6" s="5">
        <f t="shared" ca="1" si="10"/>
        <v>9</v>
      </c>
      <c r="W6" s="5">
        <f t="shared" ca="1" si="10"/>
        <v>17</v>
      </c>
      <c r="X6" s="5">
        <f t="shared" ca="1" si="11"/>
        <v>23</v>
      </c>
      <c r="Y6" s="5">
        <f t="shared" ca="1" si="12"/>
        <v>23</v>
      </c>
      <c r="Z6" s="5">
        <f t="shared" ca="1" si="12"/>
        <v>39</v>
      </c>
      <c r="AA6" s="5">
        <f t="shared" ca="1" si="12"/>
        <v>34</v>
      </c>
      <c r="AB6" s="5">
        <f t="shared" ca="1" si="12"/>
        <v>26</v>
      </c>
      <c r="AC6" s="5">
        <f t="shared" ca="1" si="12"/>
        <v>13</v>
      </c>
      <c r="AD6" s="5">
        <f t="shared" ca="1" si="12"/>
        <v>17</v>
      </c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</row>
    <row r="7" spans="1:217" s="2" customFormat="1" x14ac:dyDescent="0.25">
      <c r="A7" s="7" t="s">
        <v>10</v>
      </c>
      <c r="B7" s="14">
        <f t="shared" ref="B7:M7" ca="1" si="17">INDIRECT("'"&amp;B$1&amp;"'!M2")</f>
        <v>16</v>
      </c>
      <c r="C7" s="14">
        <f t="shared" ca="1" si="17"/>
        <v>16</v>
      </c>
      <c r="D7" s="14">
        <f t="shared" ca="1" si="17"/>
        <v>15</v>
      </c>
      <c r="E7" s="14">
        <f t="shared" ca="1" si="17"/>
        <v>16</v>
      </c>
      <c r="F7" s="14">
        <f t="shared" ca="1" si="17"/>
        <v>16</v>
      </c>
      <c r="G7" s="14">
        <f t="shared" ca="1" si="17"/>
        <v>16</v>
      </c>
      <c r="H7" s="14">
        <f t="shared" ca="1" si="17"/>
        <v>16</v>
      </c>
      <c r="I7" s="14">
        <f ca="1">INDIRECT("'"&amp;I$1&amp;"'!M2")</f>
        <v>16</v>
      </c>
      <c r="J7" s="14">
        <f t="shared" ca="1" si="17"/>
        <v>10</v>
      </c>
      <c r="K7" s="14">
        <f t="shared" ca="1" si="17"/>
        <v>15</v>
      </c>
      <c r="L7" s="14">
        <f t="shared" ca="1" si="17"/>
        <v>9</v>
      </c>
      <c r="M7" s="14">
        <f t="shared" ca="1" si="17"/>
        <v>16</v>
      </c>
      <c r="N7" s="14">
        <f ca="1">INDIRECT("'"&amp;N$1&amp;"'!M2")</f>
        <v>14</v>
      </c>
      <c r="O7" s="14">
        <f t="shared" ref="O7:AD7" ca="1" si="18">INDIRECT("'"&amp;O$1&amp;"'!M2")</f>
        <v>15</v>
      </c>
      <c r="P7" s="14">
        <f t="shared" ca="1" si="18"/>
        <v>16</v>
      </c>
      <c r="Q7" s="14">
        <f t="shared" ca="1" si="18"/>
        <v>16</v>
      </c>
      <c r="R7" s="14">
        <f t="shared" ca="1" si="18"/>
        <v>16</v>
      </c>
      <c r="S7" s="14">
        <f t="shared" ca="1" si="18"/>
        <v>16</v>
      </c>
      <c r="T7" s="14">
        <f t="shared" ca="1" si="18"/>
        <v>14</v>
      </c>
      <c r="U7" s="14">
        <f t="shared" ca="1" si="18"/>
        <v>16</v>
      </c>
      <c r="V7" s="14">
        <f t="shared" ca="1" si="18"/>
        <v>11</v>
      </c>
      <c r="W7" s="14">
        <f t="shared" ca="1" si="18"/>
        <v>16</v>
      </c>
      <c r="X7" s="14">
        <f t="shared" ca="1" si="18"/>
        <v>16</v>
      </c>
      <c r="Y7" s="14">
        <f t="shared" ca="1" si="18"/>
        <v>16</v>
      </c>
      <c r="Z7" s="14">
        <f t="shared" ca="1" si="18"/>
        <v>15</v>
      </c>
      <c r="AA7" s="14">
        <f t="shared" ca="1" si="18"/>
        <v>16</v>
      </c>
      <c r="AB7" s="14">
        <f t="shared" ca="1" si="18"/>
        <v>16</v>
      </c>
      <c r="AC7" s="14">
        <f t="shared" ca="1" si="18"/>
        <v>16</v>
      </c>
      <c r="AD7" s="14">
        <f t="shared" ca="1" si="18"/>
        <v>16</v>
      </c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</row>
    <row r="8" spans="1:217" s="2" customFormat="1" ht="26.25" x14ac:dyDescent="0.25">
      <c r="A8" s="7" t="s">
        <v>39</v>
      </c>
      <c r="B8" s="14">
        <f t="shared" ref="B8:M8" ca="1" si="19">INDIRECT("'"&amp;B$1&amp;"'!K2")</f>
        <v>17</v>
      </c>
      <c r="C8" s="14">
        <f t="shared" ca="1" si="19"/>
        <v>21</v>
      </c>
      <c r="D8" s="14">
        <f t="shared" ca="1" si="19"/>
        <v>28</v>
      </c>
      <c r="E8" s="14">
        <f t="shared" ca="1" si="19"/>
        <v>20</v>
      </c>
      <c r="F8" s="14">
        <f t="shared" ca="1" si="19"/>
        <v>16</v>
      </c>
      <c r="G8" s="14">
        <f t="shared" ca="1" si="19"/>
        <v>17</v>
      </c>
      <c r="H8" s="14">
        <f t="shared" ca="1" si="19"/>
        <v>17</v>
      </c>
      <c r="I8" s="14">
        <f ca="1">INDIRECT("'"&amp;I$1&amp;"'!K2")</f>
        <v>6</v>
      </c>
      <c r="J8" s="14">
        <f t="shared" ca="1" si="19"/>
        <v>15</v>
      </c>
      <c r="K8" s="14">
        <f t="shared" ca="1" si="19"/>
        <v>21</v>
      </c>
      <c r="L8" s="14">
        <f t="shared" ca="1" si="19"/>
        <v>11</v>
      </c>
      <c r="M8" s="14">
        <f t="shared" ca="1" si="19"/>
        <v>12</v>
      </c>
      <c r="N8" s="14">
        <f ca="1">INDIRECT("'"&amp;N$1&amp;"'!K2")</f>
        <v>15</v>
      </c>
      <c r="O8" s="14">
        <f ca="1">INDIRECT("'"&amp;O$1&amp;"'!K2")</f>
        <v>24</v>
      </c>
      <c r="P8" s="14">
        <f ca="1">INDIRECT("'"&amp;P$1&amp;"'!K2")</f>
        <v>20</v>
      </c>
      <c r="Q8" s="14">
        <f ca="1">INDIRECT("'"&amp;Q$1&amp;"'!K2")</f>
        <v>20</v>
      </c>
      <c r="R8" s="14">
        <f t="shared" ref="R8:AD8" ca="1" si="20">INDIRECT("'"&amp;R$1&amp;"'!K2")</f>
        <v>16</v>
      </c>
      <c r="S8" s="14">
        <f t="shared" ca="1" si="20"/>
        <v>23</v>
      </c>
      <c r="T8" s="14">
        <f t="shared" ca="1" si="20"/>
        <v>19</v>
      </c>
      <c r="U8" s="14">
        <f t="shared" ca="1" si="20"/>
        <v>20</v>
      </c>
      <c r="V8" s="14">
        <f t="shared" ca="1" si="20"/>
        <v>22</v>
      </c>
      <c r="W8" s="14">
        <f t="shared" ca="1" si="20"/>
        <v>23</v>
      </c>
      <c r="X8" s="14">
        <f t="shared" ca="1" si="20"/>
        <v>13</v>
      </c>
      <c r="Y8" s="14">
        <f t="shared" ca="1" si="20"/>
        <v>26</v>
      </c>
      <c r="Z8" s="14">
        <f t="shared" ca="1" si="20"/>
        <v>26</v>
      </c>
      <c r="AA8" s="14">
        <f t="shared" ca="1" si="20"/>
        <v>9</v>
      </c>
      <c r="AB8" s="14">
        <f t="shared" ca="1" si="20"/>
        <v>23</v>
      </c>
      <c r="AC8" s="14">
        <f t="shared" ca="1" si="20"/>
        <v>22</v>
      </c>
      <c r="AD8" s="14">
        <f t="shared" ca="1" si="20"/>
        <v>18</v>
      </c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</row>
    <row r="9" spans="1:217" s="2" customFormat="1" x14ac:dyDescent="0.25">
      <c r="A9" s="7" t="s">
        <v>32</v>
      </c>
      <c r="B9" s="14">
        <f t="shared" ref="B9:M9" ca="1" si="21">INDIRECT("'"&amp;B$1&amp;"'!K1")</f>
        <v>222</v>
      </c>
      <c r="C9" s="14">
        <f t="shared" ca="1" si="21"/>
        <v>243</v>
      </c>
      <c r="D9" s="14">
        <f t="shared" ca="1" si="21"/>
        <v>213</v>
      </c>
      <c r="E9" s="14">
        <f t="shared" ca="1" si="21"/>
        <v>231</v>
      </c>
      <c r="F9" s="14">
        <f t="shared" ca="1" si="21"/>
        <v>216</v>
      </c>
      <c r="G9" s="14">
        <f t="shared" ca="1" si="21"/>
        <v>214</v>
      </c>
      <c r="H9" s="14">
        <f t="shared" ca="1" si="21"/>
        <v>212</v>
      </c>
      <c r="I9" s="14">
        <f ca="1">INDIRECT("'"&amp;I$1&amp;"'!K1")</f>
        <v>231</v>
      </c>
      <c r="J9" s="14">
        <f t="shared" ca="1" si="21"/>
        <v>147</v>
      </c>
      <c r="K9" s="14">
        <f t="shared" ca="1" si="21"/>
        <v>218</v>
      </c>
      <c r="L9" s="14">
        <f t="shared" ca="1" si="21"/>
        <v>135</v>
      </c>
      <c r="M9" s="14">
        <f t="shared" ca="1" si="21"/>
        <v>233</v>
      </c>
      <c r="N9" s="14">
        <f ca="1">INDIRECT("'"&amp;N$1&amp;"'!K1")</f>
        <v>168</v>
      </c>
      <c r="O9" s="14">
        <f ca="1">INDIRECT("'"&amp;O$1&amp;"'!K1")</f>
        <v>189</v>
      </c>
      <c r="P9" s="14">
        <f ca="1">INDIRECT("'"&amp;P$1&amp;"'!K1")</f>
        <v>160</v>
      </c>
      <c r="Q9" s="14">
        <f ca="1">INDIRECT("'"&amp;Q$1&amp;"'!K1")</f>
        <v>140</v>
      </c>
      <c r="R9" s="14">
        <f t="shared" ref="R9:AD9" ca="1" si="22">INDIRECT("'"&amp;R$1&amp;"'!K1")</f>
        <v>146</v>
      </c>
      <c r="S9" s="14">
        <f t="shared" ca="1" si="22"/>
        <v>177</v>
      </c>
      <c r="T9" s="14">
        <f t="shared" ca="1" si="22"/>
        <v>158</v>
      </c>
      <c r="U9" s="14">
        <f t="shared" ca="1" si="22"/>
        <v>183</v>
      </c>
      <c r="V9" s="14">
        <f t="shared" ca="1" si="22"/>
        <v>109</v>
      </c>
      <c r="W9" s="14">
        <f t="shared" ca="1" si="22"/>
        <v>153</v>
      </c>
      <c r="X9" s="14">
        <f t="shared" ca="1" si="22"/>
        <v>154</v>
      </c>
      <c r="Y9" s="14">
        <f t="shared" ca="1" si="22"/>
        <v>203</v>
      </c>
      <c r="Z9" s="14">
        <f t="shared" ca="1" si="22"/>
        <v>168</v>
      </c>
      <c r="AA9" s="14">
        <f t="shared" ca="1" si="22"/>
        <v>209</v>
      </c>
      <c r="AB9" s="14">
        <f t="shared" ca="1" si="22"/>
        <v>123</v>
      </c>
      <c r="AC9" s="14">
        <f t="shared" ca="1" si="22"/>
        <v>108</v>
      </c>
      <c r="AD9" s="14">
        <f t="shared" ca="1" si="22"/>
        <v>144</v>
      </c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</row>
    <row r="10" spans="1:217" s="2" customFormat="1" x14ac:dyDescent="0.25">
      <c r="A10" s="7" t="s">
        <v>41</v>
      </c>
      <c r="B10" s="14">
        <f t="shared" ref="B10:M10" ca="1" si="23">INDIRECT("'"&amp;B$1&amp;"'!D42")</f>
        <v>2466</v>
      </c>
      <c r="C10" s="14">
        <f t="shared" ca="1" si="23"/>
        <v>3442</v>
      </c>
      <c r="D10" s="14">
        <f t="shared" ca="1" si="23"/>
        <v>5336</v>
      </c>
      <c r="E10" s="14">
        <f t="shared" ca="1" si="23"/>
        <v>2665</v>
      </c>
      <c r="F10" s="14">
        <f t="shared" ca="1" si="23"/>
        <v>1202</v>
      </c>
      <c r="G10" s="14">
        <f t="shared" ca="1" si="23"/>
        <v>1690</v>
      </c>
      <c r="H10" s="14">
        <f t="shared" ca="1" si="23"/>
        <v>1564</v>
      </c>
      <c r="I10" s="14">
        <f ca="1">INDIRECT("'"&amp;I$1&amp;"'!D42")</f>
        <v>278</v>
      </c>
      <c r="J10" s="14">
        <f t="shared" ca="1" si="23"/>
        <v>1130</v>
      </c>
      <c r="K10" s="14">
        <f t="shared" ca="1" si="23"/>
        <v>1778</v>
      </c>
      <c r="L10" s="14">
        <f t="shared" ca="1" si="23"/>
        <v>1560</v>
      </c>
      <c r="M10" s="14">
        <f t="shared" ca="1" si="23"/>
        <v>1531</v>
      </c>
      <c r="N10" s="14">
        <f ca="1">INDIRECT("'"&amp;N$1&amp;"'!D42")</f>
        <v>1474</v>
      </c>
      <c r="O10" s="14">
        <f ca="1">INDIRECT("'"&amp;O$1&amp;"'!D42")</f>
        <v>1896</v>
      </c>
      <c r="P10" s="14">
        <f ca="1">INDIRECT("'"&amp;P$1&amp;"'!D42")</f>
        <v>488</v>
      </c>
      <c r="Q10" s="14">
        <f ca="1">INDIRECT("'"&amp;Q$1&amp;"'!D42")</f>
        <v>1114</v>
      </c>
      <c r="R10" s="14">
        <f t="shared" ref="R10:AD10" ca="1" si="24">INDIRECT("'"&amp;R$1&amp;"'!D42")</f>
        <v>1178</v>
      </c>
      <c r="S10" s="14">
        <f t="shared" ca="1" si="24"/>
        <v>2660</v>
      </c>
      <c r="T10" s="14">
        <f t="shared" ca="1" si="24"/>
        <v>794</v>
      </c>
      <c r="U10" s="14">
        <f t="shared" ca="1" si="24"/>
        <v>2370</v>
      </c>
      <c r="V10" s="14">
        <f t="shared" ca="1" si="24"/>
        <v>1754</v>
      </c>
      <c r="W10" s="14">
        <f t="shared" ca="1" si="24"/>
        <v>2360</v>
      </c>
      <c r="X10" s="14">
        <f t="shared" ca="1" si="24"/>
        <v>908</v>
      </c>
      <c r="Y10" s="14">
        <f t="shared" ca="1" si="24"/>
        <v>4052</v>
      </c>
      <c r="Z10" s="14">
        <f t="shared" ca="1" si="24"/>
        <v>2648</v>
      </c>
      <c r="AA10" s="14">
        <f t="shared" ca="1" si="24"/>
        <v>674</v>
      </c>
      <c r="AB10" s="14">
        <f t="shared" ca="1" si="24"/>
        <v>0</v>
      </c>
      <c r="AC10" s="14">
        <f t="shared" ca="1" si="24"/>
        <v>1502</v>
      </c>
      <c r="AD10" s="14">
        <f t="shared" ca="1" si="24"/>
        <v>1452</v>
      </c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</row>
    <row r="11" spans="1:217" s="2" customFormat="1" ht="26.25" x14ac:dyDescent="0.25">
      <c r="A11" s="7" t="s">
        <v>27</v>
      </c>
      <c r="B11" s="2">
        <f t="shared" ref="B11:H11" ca="1" si="25">ROUND((1-B10/B8/B9/2)*100,2)</f>
        <v>67.33</v>
      </c>
      <c r="C11" s="2">
        <f t="shared" ca="1" si="25"/>
        <v>66.27</v>
      </c>
      <c r="D11" s="2">
        <f t="shared" ca="1" si="25"/>
        <v>55.26</v>
      </c>
      <c r="E11" s="2">
        <f t="shared" ca="1" si="25"/>
        <v>71.16</v>
      </c>
      <c r="F11" s="2">
        <f t="shared" ca="1" si="25"/>
        <v>82.61</v>
      </c>
      <c r="G11" s="2">
        <f t="shared" ca="1" si="25"/>
        <v>76.77</v>
      </c>
      <c r="H11" s="2">
        <f t="shared" ca="1" si="25"/>
        <v>78.3</v>
      </c>
      <c r="I11" s="2">
        <f ca="1">ROUND((1-I10/I8/I9/2)*100,2)</f>
        <v>89.97</v>
      </c>
      <c r="J11" s="2">
        <f t="shared" ref="J11:M11" ca="1" si="26">ROUND((1-J10/J8/J9/2)*100,2)</f>
        <v>74.38</v>
      </c>
      <c r="K11" s="2">
        <f t="shared" ca="1" si="26"/>
        <v>80.58</v>
      </c>
      <c r="L11" s="2">
        <f t="shared" ca="1" si="26"/>
        <v>47.47</v>
      </c>
      <c r="M11" s="2">
        <f t="shared" ca="1" si="26"/>
        <v>72.62</v>
      </c>
      <c r="N11" s="2">
        <f ca="1">ROUND((1-N10/N8/N9/2)*100,2)</f>
        <v>70.75</v>
      </c>
      <c r="O11" s="2">
        <f ca="1">ROUND((1-O10/O8/O9/2)*100,2)</f>
        <v>79.099999999999994</v>
      </c>
      <c r="P11" s="2">
        <f ca="1">ROUND((1-P10/P8/P9/2)*100,2)</f>
        <v>92.38</v>
      </c>
      <c r="Q11" s="2">
        <f ca="1">ROUND((1-Q10/Q8/Q9/2)*100,2)</f>
        <v>80.11</v>
      </c>
      <c r="R11" s="2">
        <f t="shared" ref="R11:AD11" ca="1" si="27">ROUND((1-R10/R8/R9/2)*100,2)</f>
        <v>74.790000000000006</v>
      </c>
      <c r="S11" s="2">
        <f t="shared" ca="1" si="27"/>
        <v>67.33</v>
      </c>
      <c r="T11" s="2">
        <f t="shared" ca="1" si="27"/>
        <v>86.78</v>
      </c>
      <c r="U11" s="2">
        <f t="shared" ca="1" si="27"/>
        <v>67.62</v>
      </c>
      <c r="V11" s="2">
        <f t="shared" ca="1" si="27"/>
        <v>63.43</v>
      </c>
      <c r="W11" s="2">
        <f t="shared" ca="1" si="27"/>
        <v>66.47</v>
      </c>
      <c r="X11" s="2">
        <f t="shared" ca="1" si="27"/>
        <v>77.319999999999993</v>
      </c>
      <c r="Y11" s="2">
        <f t="shared" ca="1" si="27"/>
        <v>61.61</v>
      </c>
      <c r="Z11" s="2">
        <f t="shared" ca="1" si="27"/>
        <v>69.69</v>
      </c>
      <c r="AA11" s="2">
        <f t="shared" ca="1" si="27"/>
        <v>82.08</v>
      </c>
      <c r="AB11" s="2">
        <f ca="1">ROUND((1-AB10/AB8/AB9/2)*100,2)</f>
        <v>100</v>
      </c>
      <c r="AC11" s="2">
        <f t="shared" ca="1" si="27"/>
        <v>68.39</v>
      </c>
      <c r="AD11" s="2">
        <f t="shared" ca="1" si="27"/>
        <v>71.989999999999995</v>
      </c>
      <c r="AE11" s="6">
        <f ca="1">MIN(B11:AD11)</f>
        <v>47.47</v>
      </c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</row>
    <row r="12" spans="1:217" ht="26.25" x14ac:dyDescent="0.25">
      <c r="A12" s="7" t="s">
        <v>27</v>
      </c>
      <c r="B12" s="2">
        <f ca="1">ROUND(1-SUM(B10:AD10)/(SUMPRODUCT(B9:AD9,B8:AD8)*2),4)*100</f>
        <v>72.929999999999993</v>
      </c>
    </row>
    <row r="940" spans="1:27" ht="15.75" thickBot="1" x14ac:dyDescent="0.3"/>
    <row r="941" spans="1:27" ht="15.75" thickBo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5.75" thickBo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5.75" thickBo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5.75" thickBo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5.75" thickBo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5.75" thickBo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5.75" thickBo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5.75" thickBo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5.75" thickBo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5.75" thickBo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5.75" thickBo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5.75" thickBo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5.75" thickBo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5.75" thickBo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5.75" thickBo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5.75" thickBo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5.75" thickBo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5.75" thickBo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5.75" thickBo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5.75" thickBo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5.75" thickBo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5.75" thickBo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5.75" thickBo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5.75" thickBo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5.75" thickBo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5.75" thickBo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5.75" thickBo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5.75" thickBo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5.75" thickBo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5.75" thickBo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5.75" thickBo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5.75" thickBo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5.75" thickBo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5.75" thickBo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5.75" thickBo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5.75" thickBo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5.75" thickBo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5.75" thickBo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5.75" thickBo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5.75" thickBo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5.75" thickBo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5.75" thickBo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5.75" thickBo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5.75" thickBo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5.75" thickBo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5.75" thickBo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5.75" thickBo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5.75" thickBo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5.75" thickBo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5.75" thickBo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5.75" thickBo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5.75" thickBo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5.75" thickBo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5.75" thickBo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5.75" thickBo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5.75" thickBo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5.75" thickBo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</sheetData>
  <phoneticPr fontId="2" type="noConversion"/>
  <conditionalFormatting sqref="B7:AD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C60E-D6A7-44BB-BFFF-62FC3C0F5898}">
  <dimension ref="A1:O42"/>
  <sheetViews>
    <sheetView zoomScaleNormal="100" workbookViewId="0">
      <selection activeCell="D2" sqref="D2"/>
    </sheetView>
  </sheetViews>
  <sheetFormatPr defaultRowHeight="15" x14ac:dyDescent="0.25"/>
  <cols>
    <col min="2" max="2" width="4.28515625" hidden="1" customWidth="1"/>
    <col min="3" max="3" width="8.5703125" hidden="1" customWidth="1"/>
    <col min="4" max="4" width="33.5703125" customWidth="1"/>
    <col min="5" max="5" width="10.140625" customWidth="1"/>
    <col min="6" max="6" width="12.140625" bestFit="1" customWidth="1"/>
    <col min="7" max="7" width="33.5703125" customWidth="1"/>
    <col min="8" max="8" width="19.140625" bestFit="1" customWidth="1"/>
    <col min="9" max="9" width="17.7109375" bestFit="1" customWidth="1"/>
    <col min="10" max="11" width="23.140625" bestFit="1" customWidth="1"/>
    <col min="15" max="15" width="18.42578125" bestFit="1" customWidth="1"/>
    <col min="19" max="19" width="10.28515625" bestFit="1" customWidth="1"/>
  </cols>
  <sheetData>
    <row r="1" spans="1:15" x14ac:dyDescent="0.25">
      <c r="A1" s="2" t="s">
        <v>8</v>
      </c>
      <c r="B1" t="s">
        <v>54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[1]Лист1!$R$2</f>
        <v>222</v>
      </c>
      <c r="L1" s="2" t="s">
        <v>36</v>
      </c>
      <c r="M1" s="2" t="str">
        <f ca="1">MID(CELL("filename",A2),SEARCH("]",CELL("filename",A2))+1,31)</f>
        <v>ЭЖД-51</v>
      </c>
    </row>
    <row r="2" spans="1:15" x14ac:dyDescent="0.25">
      <c r="A2" s="2">
        <v>1</v>
      </c>
      <c r="B2">
        <v>3</v>
      </c>
      <c r="C2" t="s">
        <v>38</v>
      </c>
      <c r="D2" s="3" t="str">
        <f>IF(Лист122[[#This Row],[Итого]]&lt;&gt;"",Лист122[[#This Row],[Итого]],"")</f>
        <v/>
      </c>
      <c r="E2" s="2" t="str">
        <f>IF(D2&lt;&gt;"",ROUND(D2/$K$1/2*100,2),"")</f>
        <v/>
      </c>
      <c r="F2" s="2" t="str">
        <f>IF(E2&lt;&gt;"",100-E2,"")</f>
        <v/>
      </c>
      <c r="J2" s="8" t="s">
        <v>11</v>
      </c>
      <c r="K2" s="8">
        <f>COUNT(D2:D41)</f>
        <v>17</v>
      </c>
      <c r="L2" s="2" t="s">
        <v>37</v>
      </c>
      <c r="M2" s="2">
        <f>[1]Лист1!$U$1</f>
        <v>16</v>
      </c>
      <c r="O2" s="18"/>
    </row>
    <row r="3" spans="1:15" x14ac:dyDescent="0.25">
      <c r="A3" s="2">
        <v>2</v>
      </c>
      <c r="B3">
        <v>4</v>
      </c>
      <c r="C3">
        <v>74</v>
      </c>
      <c r="D3" s="3">
        <f>IF(Лист122[[#This Row],[Итого]]&lt;&gt;"",Лист122[[#This Row],[Итого]],"")</f>
        <v>74</v>
      </c>
      <c r="E3" s="2">
        <f>IF(D3&lt;&gt;"",ROUND(D3/$K$1/2*100,2),"")</f>
        <v>16.670000000000002</v>
      </c>
      <c r="F3" s="2">
        <f t="shared" ref="F3:F41" si="0">IF(E3&lt;&gt;"",100-E3,"")</f>
        <v>83.33</v>
      </c>
      <c r="I3" s="19" t="s">
        <v>33</v>
      </c>
      <c r="J3" s="4" t="s">
        <v>3</v>
      </c>
      <c r="K3" s="2">
        <f>ROUND(L3/$K$2*100,0)</f>
        <v>12</v>
      </c>
      <c r="L3" s="9">
        <f>K2-SUM($L$4:$L$7)</f>
        <v>2</v>
      </c>
    </row>
    <row r="4" spans="1:15" x14ac:dyDescent="0.25">
      <c r="A4" s="2">
        <v>3</v>
      </c>
      <c r="B4">
        <v>5</v>
      </c>
      <c r="C4">
        <v>70</v>
      </c>
      <c r="D4" s="3">
        <f>IF(Лист122[[#This Row],[Итого]]&lt;&gt;"",Лист122[[#This Row],[Итого]],"")</f>
        <v>70</v>
      </c>
      <c r="E4" s="2">
        <f t="shared" ref="E4:E41" si="1">IF(D4&lt;&gt;"",ROUND(D4/$K$1/2*100,2),"")</f>
        <v>15.77</v>
      </c>
      <c r="F4" s="2">
        <f t="shared" si="0"/>
        <v>84.23</v>
      </c>
      <c r="I4" s="19"/>
      <c r="J4" s="4" t="s">
        <v>4</v>
      </c>
      <c r="K4" s="2">
        <f t="shared" ref="K4:K6" si="2">ROUND(L4/$K$2*100,0)</f>
        <v>41</v>
      </c>
      <c r="L4" s="2">
        <f t="array" ref="L4">SUM(($E$2:$E$37&gt;=10)*(($E$2:$E$37)&lt;30))</f>
        <v>7</v>
      </c>
    </row>
    <row r="5" spans="1:15" x14ac:dyDescent="0.25">
      <c r="A5" s="2">
        <v>4</v>
      </c>
      <c r="B5">
        <v>6</v>
      </c>
      <c r="C5">
        <v>44</v>
      </c>
      <c r="D5" s="3">
        <f>IF(Лист122[[#This Row],[Итого]]&lt;&gt;"",Лист122[[#This Row],[Итого]],"")</f>
        <v>44</v>
      </c>
      <c r="E5" s="2">
        <f t="shared" si="1"/>
        <v>9.91</v>
      </c>
      <c r="F5" s="2">
        <f t="shared" si="0"/>
        <v>90.09</v>
      </c>
      <c r="I5" s="19"/>
      <c r="J5" s="4" t="s">
        <v>5</v>
      </c>
      <c r="K5" s="2">
        <f t="shared" si="2"/>
        <v>29</v>
      </c>
      <c r="L5" s="2">
        <f t="array" ref="L5">SUM(($E$2:$E$37&gt;=30)*(($E$2:$E$37)&lt;50))</f>
        <v>5</v>
      </c>
    </row>
    <row r="6" spans="1:15" x14ac:dyDescent="0.25">
      <c r="A6" s="2">
        <v>5</v>
      </c>
      <c r="B6">
        <v>7</v>
      </c>
      <c r="C6" t="s">
        <v>38</v>
      </c>
      <c r="D6" s="3" t="str">
        <f>IF(Лист122[[#This Row],[Итого]]&lt;&gt;"",Лист122[[#This Row],[Итого]],"")</f>
        <v/>
      </c>
      <c r="E6" s="2" t="str">
        <f t="shared" si="1"/>
        <v/>
      </c>
      <c r="F6" s="2" t="str">
        <f t="shared" si="0"/>
        <v/>
      </c>
      <c r="I6" s="19"/>
      <c r="J6" s="4" t="s">
        <v>6</v>
      </c>
      <c r="K6" s="2">
        <f t="shared" si="2"/>
        <v>6</v>
      </c>
      <c r="L6" s="2">
        <f t="array" ref="L6">SUM(($E$2:$E$37&gt;=50)*(($E$2:$E$37)&lt;70))</f>
        <v>1</v>
      </c>
    </row>
    <row r="7" spans="1:15" x14ac:dyDescent="0.25">
      <c r="A7" s="2">
        <v>6</v>
      </c>
      <c r="B7">
        <v>8</v>
      </c>
      <c r="C7" t="s">
        <v>38</v>
      </c>
      <c r="D7" s="3" t="str">
        <f>IF(Лист122[[#This Row],[Итого]]&lt;&gt;"",Лист122[[#This Row],[Итого]],"")</f>
        <v/>
      </c>
      <c r="E7" s="2" t="str">
        <f t="shared" si="1"/>
        <v/>
      </c>
      <c r="F7" s="2" t="str">
        <f t="shared" si="0"/>
        <v/>
      </c>
      <c r="I7" s="19"/>
      <c r="J7" s="4" t="s">
        <v>7</v>
      </c>
      <c r="K7" s="2">
        <f>100-SUM($K$3:$K$6)</f>
        <v>12</v>
      </c>
      <c r="L7" s="2">
        <f t="array" ref="L7">SUM(($E$2:$E$37&gt;=70)*(($E$2:$E$37)&lt;100))</f>
        <v>2</v>
      </c>
    </row>
    <row r="8" spans="1:15" x14ac:dyDescent="0.25">
      <c r="A8" s="2">
        <v>7</v>
      </c>
      <c r="B8">
        <v>9</v>
      </c>
      <c r="C8">
        <v>68</v>
      </c>
      <c r="D8" s="3">
        <f>IF(Лист122[[#This Row],[Итого]]&lt;&gt;"",Лист122[[#This Row],[Итого]],"")</f>
        <v>68</v>
      </c>
      <c r="E8" s="2">
        <f t="shared" si="1"/>
        <v>15.32</v>
      </c>
      <c r="F8" s="2">
        <f t="shared" si="0"/>
        <v>84.68</v>
      </c>
    </row>
    <row r="9" spans="1:15" x14ac:dyDescent="0.25">
      <c r="A9" s="2">
        <v>8</v>
      </c>
      <c r="B9">
        <v>10</v>
      </c>
      <c r="C9">
        <v>322</v>
      </c>
      <c r="D9" s="3">
        <f>IF(Лист122[[#This Row],[Итого]]&lt;&gt;"",Лист122[[#This Row],[Итого]],"")</f>
        <v>322</v>
      </c>
      <c r="E9" s="2">
        <f t="shared" si="1"/>
        <v>72.52</v>
      </c>
      <c r="F9" s="2">
        <f t="shared" si="0"/>
        <v>27.480000000000004</v>
      </c>
      <c r="K9" t="s">
        <v>31</v>
      </c>
    </row>
    <row r="10" spans="1:15" x14ac:dyDescent="0.25">
      <c r="A10" s="2">
        <v>9</v>
      </c>
      <c r="B10">
        <v>11</v>
      </c>
      <c r="C10">
        <v>306</v>
      </c>
      <c r="D10" s="3">
        <f>IF(Лист122[[#This Row],[Итого]]&lt;&gt;"",Лист122[[#This Row],[Итого]],"")</f>
        <v>306</v>
      </c>
      <c r="E10" s="2">
        <f t="shared" si="1"/>
        <v>68.92</v>
      </c>
      <c r="F10" s="2">
        <f t="shared" si="0"/>
        <v>31.08</v>
      </c>
      <c r="I10" s="19" t="s">
        <v>34</v>
      </c>
      <c r="J10" s="4" t="s">
        <v>42</v>
      </c>
      <c r="K10" s="2">
        <f t="shared" ref="K10:K13" si="3">ROUND(L10/$K$2*100,0)</f>
        <v>12</v>
      </c>
      <c r="L10" s="2">
        <f t="array" ref="L10">SUM(($F$2:$F$37&gt;=0)*(($F$2:$F$37)&lt;30))</f>
        <v>2</v>
      </c>
    </row>
    <row r="11" spans="1:15" x14ac:dyDescent="0.25">
      <c r="A11" s="2">
        <v>10</v>
      </c>
      <c r="B11">
        <v>12</v>
      </c>
      <c r="C11" t="s">
        <v>38</v>
      </c>
      <c r="D11" s="3" t="str">
        <f>IF(Лист122[[#This Row],[Итого]]&lt;&gt;"",Лист122[[#This Row],[Итого]],"")</f>
        <v/>
      </c>
      <c r="E11" s="2" t="str">
        <f t="shared" si="1"/>
        <v/>
      </c>
      <c r="F11" s="2" t="str">
        <f t="shared" si="0"/>
        <v/>
      </c>
      <c r="I11" s="19"/>
      <c r="J11" s="4" t="s">
        <v>5</v>
      </c>
      <c r="K11" s="2">
        <f t="shared" si="3"/>
        <v>6</v>
      </c>
      <c r="L11" s="2">
        <f t="array" ref="L11">SUM(($F$2:$F$37&gt;=30)*(($F$2:$F$37)&lt;50))</f>
        <v>1</v>
      </c>
    </row>
    <row r="12" spans="1:15" x14ac:dyDescent="0.25">
      <c r="A12" s="2">
        <v>11</v>
      </c>
      <c r="B12">
        <v>13</v>
      </c>
      <c r="C12" t="s">
        <v>38</v>
      </c>
      <c r="D12" s="3" t="str">
        <f>IF(Лист122[[#This Row],[Итого]]&lt;&gt;"",Лист122[[#This Row],[Итого]],"")</f>
        <v/>
      </c>
      <c r="E12" s="2" t="str">
        <f t="shared" si="1"/>
        <v/>
      </c>
      <c r="F12" s="2" t="str">
        <f t="shared" si="0"/>
        <v/>
      </c>
      <c r="I12" s="19"/>
      <c r="J12" s="4" t="s">
        <v>28</v>
      </c>
      <c r="K12" s="2">
        <f t="shared" si="3"/>
        <v>35</v>
      </c>
      <c r="L12" s="2">
        <f t="array" ref="L12">SUM(($F$2:$F$37&gt;=50)*(($F$2:$F$37)&lt;75))</f>
        <v>6</v>
      </c>
    </row>
    <row r="13" spans="1:15" x14ac:dyDescent="0.25">
      <c r="A13" s="2">
        <v>12</v>
      </c>
      <c r="B13">
        <v>14</v>
      </c>
      <c r="C13" t="s">
        <v>38</v>
      </c>
      <c r="D13" s="3" t="str">
        <f>IF(Лист122[[#This Row],[Итого]]&lt;&gt;"",Лист122[[#This Row],[Итого]],"")</f>
        <v/>
      </c>
      <c r="E13" s="2" t="str">
        <f t="shared" si="1"/>
        <v/>
      </c>
      <c r="F13" s="2" t="str">
        <f t="shared" si="0"/>
        <v/>
      </c>
      <c r="I13" s="19"/>
      <c r="J13" s="4" t="s">
        <v>29</v>
      </c>
      <c r="K13" s="2">
        <f t="shared" si="3"/>
        <v>35</v>
      </c>
      <c r="L13" s="2">
        <f t="array" ref="L13">SUM(($F$2:$F$37&gt;=75)*(($F$2:$F$37)&lt;90))</f>
        <v>6</v>
      </c>
    </row>
    <row r="14" spans="1:15" x14ac:dyDescent="0.25">
      <c r="A14" s="2">
        <v>13</v>
      </c>
      <c r="B14">
        <v>15</v>
      </c>
      <c r="C14" t="s">
        <v>38</v>
      </c>
      <c r="D14" s="3" t="str">
        <f>IF(Лист122[[#This Row],[Итого]]&lt;&gt;"",Лист122[[#This Row],[Итого]],"")</f>
        <v/>
      </c>
      <c r="E14" s="2" t="str">
        <f t="shared" si="1"/>
        <v/>
      </c>
      <c r="F14" s="2" t="str">
        <f t="shared" si="0"/>
        <v/>
      </c>
      <c r="I14" s="19"/>
      <c r="J14" s="7" t="s">
        <v>30</v>
      </c>
      <c r="K14" s="2">
        <f>100-SUM($K$9:$K$13)</f>
        <v>12</v>
      </c>
      <c r="L14" s="2">
        <f>$K$2-SUM(L9:L$13)</f>
        <v>2</v>
      </c>
    </row>
    <row r="15" spans="1:15" x14ac:dyDescent="0.25">
      <c r="A15" s="2">
        <v>14</v>
      </c>
      <c r="B15">
        <v>16</v>
      </c>
      <c r="C15" t="s">
        <v>38</v>
      </c>
      <c r="D15" s="3" t="str">
        <f>IF(Лист122[[#This Row],[Итого]]&lt;&gt;"",Лист122[[#This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C16">
        <v>148</v>
      </c>
      <c r="D16" s="3">
        <f>IF(Лист122[[#This Row],[Итого]]&lt;&gt;"",Лист122[[#This Row],[Итого]],"")</f>
        <v>148</v>
      </c>
      <c r="E16" s="2">
        <f t="shared" si="1"/>
        <v>33.33</v>
      </c>
      <c r="F16" s="2">
        <f t="shared" si="0"/>
        <v>66.67</v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IF(Лист122[[#This Row],[Итого]]&lt;&gt;"",Лист122[[#This Row],[Итого]],"")</f>
        <v/>
      </c>
      <c r="E17" s="2" t="str">
        <f t="shared" si="1"/>
        <v/>
      </c>
      <c r="F17" s="2" t="str">
        <f t="shared" si="0"/>
        <v/>
      </c>
    </row>
    <row r="18" spans="1:6" x14ac:dyDescent="0.25">
      <c r="A18" s="2">
        <v>17</v>
      </c>
      <c r="B18">
        <v>19</v>
      </c>
      <c r="C18">
        <v>58</v>
      </c>
      <c r="D18" s="3">
        <f>IF(Лист122[[#This Row],[Итого]]&lt;&gt;"",Лист122[[#This Row],[Итого]],"")</f>
        <v>58</v>
      </c>
      <c r="E18" s="2">
        <f t="shared" si="1"/>
        <v>13.06</v>
      </c>
      <c r="F18" s="2">
        <f t="shared" si="0"/>
        <v>86.94</v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IF(Лист122[[#This Row],[Итого]]&lt;&gt;"",Лист122[[#This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C20">
        <v>86</v>
      </c>
      <c r="D20" s="3">
        <f>IF(Лист122[[#This Row],[Итого]]&lt;&gt;"",Лист122[[#This Row],[Итого]],"")</f>
        <v>86</v>
      </c>
      <c r="E20" s="2">
        <f t="shared" si="1"/>
        <v>19.37</v>
      </c>
      <c r="F20" s="2">
        <f t="shared" si="0"/>
        <v>80.63</v>
      </c>
    </row>
    <row r="21" spans="1:6" x14ac:dyDescent="0.25">
      <c r="A21" s="2">
        <v>20</v>
      </c>
      <c r="B21">
        <v>22</v>
      </c>
      <c r="C21">
        <v>146</v>
      </c>
      <c r="D21" s="3">
        <f>IF(Лист122[[#This Row],[Итого]]&lt;&gt;"",Лист122[[#This Row],[Итого]],"")</f>
        <v>146</v>
      </c>
      <c r="E21" s="2">
        <f t="shared" si="1"/>
        <v>32.880000000000003</v>
      </c>
      <c r="F21" s="2">
        <f t="shared" si="0"/>
        <v>67.12</v>
      </c>
    </row>
    <row r="22" spans="1:6" x14ac:dyDescent="0.25">
      <c r="A22" s="2">
        <v>21</v>
      </c>
      <c r="B22">
        <v>23</v>
      </c>
      <c r="C22">
        <v>426</v>
      </c>
      <c r="D22" s="3">
        <f>IF(Лист122[[#This Row],[Итого]]&lt;&gt;"",Лист122[[#This Row],[Итого]],"")</f>
        <v>426</v>
      </c>
      <c r="E22" s="2">
        <f t="shared" si="1"/>
        <v>95.95</v>
      </c>
      <c r="F22" s="2">
        <f t="shared" si="0"/>
        <v>4.0499999999999972</v>
      </c>
    </row>
    <row r="23" spans="1:6" x14ac:dyDescent="0.25">
      <c r="A23" s="2">
        <v>22</v>
      </c>
      <c r="B23">
        <v>24</v>
      </c>
      <c r="C23">
        <v>118</v>
      </c>
      <c r="D23" s="3">
        <f>IF(Лист122[[#This Row],[Итого]]&lt;&gt;"",Лист122[[#This Row],[Итого]],"")</f>
        <v>118</v>
      </c>
      <c r="E23" s="2">
        <f t="shared" si="1"/>
        <v>26.58</v>
      </c>
      <c r="F23" s="2">
        <f t="shared" si="0"/>
        <v>73.42</v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IF(Лист122[[#This Row],[Итого]]&lt;&gt;"",Лист122[[#This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IF(Лист122[[#This Row],[Итого]]&lt;&gt;"",Лист122[[#This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C26">
        <v>2</v>
      </c>
      <c r="D26" s="3">
        <f>IF(Лист122[[#This Row],[Итого]]&lt;&gt;"",Лист122[[#This Row],[Итого]],"")</f>
        <v>2</v>
      </c>
      <c r="E26" s="2">
        <f t="shared" si="1"/>
        <v>0.45</v>
      </c>
      <c r="F26" s="2">
        <f t="shared" si="0"/>
        <v>99.55</v>
      </c>
    </row>
    <row r="27" spans="1:6" x14ac:dyDescent="0.25">
      <c r="A27" s="2">
        <v>26</v>
      </c>
      <c r="B27">
        <v>28</v>
      </c>
      <c r="C27">
        <v>144</v>
      </c>
      <c r="D27" s="3">
        <f>IF(Лист122[[#This Row],[Итого]]&lt;&gt;"",Лист122[[#This Row],[Итого]],"")</f>
        <v>144</v>
      </c>
      <c r="E27" s="2">
        <f t="shared" si="1"/>
        <v>32.43</v>
      </c>
      <c r="F27" s="2">
        <f t="shared" si="0"/>
        <v>67.569999999999993</v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IF(Лист122[[#This Row],[Итого]]&lt;&gt;"",Лист122[[#This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IF(Лист122[[#This Row],[Итого]]&lt;&gt;"",Лист122[[#This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IF(Лист122[[#This Row],[Итого]]&lt;&gt;"",Лист122[[#This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IF(Лист122[[#This Row],[Итого]]&lt;&gt;"",Лист122[[#This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C32">
        <v>194</v>
      </c>
      <c r="D32" s="3">
        <f>IF(Лист122[[#This Row],[Итого]]&lt;&gt;"",Лист122[[#This Row],[Итого]],"")</f>
        <v>194</v>
      </c>
      <c r="E32" s="2">
        <f t="shared" si="1"/>
        <v>43.69</v>
      </c>
      <c r="F32" s="2">
        <f t="shared" si="0"/>
        <v>56.31</v>
      </c>
    </row>
    <row r="33" spans="1:7" x14ac:dyDescent="0.25">
      <c r="A33" s="2">
        <v>32</v>
      </c>
      <c r="B33">
        <v>34</v>
      </c>
      <c r="C33">
        <v>74</v>
      </c>
      <c r="D33" s="3">
        <f>IF(Лист122[[#This Row],[Итого]]&lt;&gt;"",Лист122[[#This Row],[Итого]],"")</f>
        <v>74</v>
      </c>
      <c r="E33" s="2">
        <f t="shared" si="1"/>
        <v>16.670000000000002</v>
      </c>
      <c r="F33" s="2">
        <f t="shared" si="0"/>
        <v>83.33</v>
      </c>
    </row>
    <row r="34" spans="1:7" x14ac:dyDescent="0.25">
      <c r="A34" s="2">
        <v>33</v>
      </c>
      <c r="B34">
        <v>35</v>
      </c>
      <c r="C34">
        <v>186</v>
      </c>
      <c r="D34" s="3">
        <f>IF(Лист122[[#This Row],[Итого]]&lt;&gt;"",Лист122[[#This Row],[Итого]],"")</f>
        <v>186</v>
      </c>
      <c r="E34" s="2">
        <f t="shared" si="1"/>
        <v>41.89</v>
      </c>
      <c r="F34" s="2">
        <f t="shared" si="0"/>
        <v>58.11</v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IF(Лист122[[#This Row],[Итого]]&lt;&gt;"",Лист122[[#This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IF(Лист122[[#This Row],[Итого]]&lt;&gt;"",Лист122[[#This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IF(Лист122[[#This Row],[Итого]]&lt;&gt;"",Лист122[[#This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IF(Лист122[[#This Row],[Итого]]&lt;&gt;"",Лист122[[#This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IF(Лист122[[#This Row],[Итого]]&lt;&gt;"",Лист122[[#This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IF(Лист122[[#This Row],[Итого]]&lt;&gt;"",Лист122[[#This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IF(Лист122[[#This Row],[Итого]]&lt;&gt;"",Лист122[[#This Row],[Итого]],"")</f>
        <v/>
      </c>
      <c r="E41" s="2" t="str">
        <f t="shared" si="1"/>
        <v/>
      </c>
      <c r="F41" s="2" t="str">
        <f t="shared" si="0"/>
        <v/>
      </c>
    </row>
    <row r="42" spans="1:7" x14ac:dyDescent="0.25">
      <c r="A42" t="s">
        <v>40</v>
      </c>
      <c r="D42" s="17">
        <f>SUM(D2:D41)</f>
        <v>2466</v>
      </c>
      <c r="E42" s="12"/>
      <c r="F42" s="6"/>
      <c r="G42" s="6"/>
    </row>
  </sheetData>
  <mergeCells count="2">
    <mergeCell ref="I3:I7"/>
    <mergeCell ref="I10:I14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28E7-9362-40F9-A513-05880DCAFE9C}">
  <dimension ref="A1:O42"/>
  <sheetViews>
    <sheetView topLeftCell="A22" workbookViewId="0">
      <selection activeCell="D41" sqref="D41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[2]Лист1!$R$2</f>
        <v>243</v>
      </c>
      <c r="L1" s="2" t="s">
        <v>36</v>
      </c>
      <c r="M1" s="2" t="str">
        <f ca="1">MID(CELL("filename",A2),SEARCH("]",CELL("filename",A2))+1,31)</f>
        <v>ЭЖД-52</v>
      </c>
    </row>
    <row r="2" spans="1:15" x14ac:dyDescent="0.25">
      <c r="A2" s="2">
        <v>1</v>
      </c>
      <c r="B2">
        <v>3</v>
      </c>
      <c r="C2">
        <v>210</v>
      </c>
      <c r="D2" s="3">
        <f>IF(Лист12223[[#This Row],[Итого]]&lt;&gt;"",Лист12223[[#This Row],[Итого]],"")</f>
        <v>210</v>
      </c>
      <c r="E2" s="2">
        <f>IF(D2&lt;&gt;"",ROUND(D2/$K$1/2*100,2),"")</f>
        <v>43.21</v>
      </c>
      <c r="F2" s="2">
        <f>IF(E2&lt;&gt;"",100-E2,"")</f>
        <v>56.79</v>
      </c>
      <c r="J2" s="8" t="s">
        <v>11</v>
      </c>
      <c r="K2" s="8">
        <f>COUNT(D2:D41)</f>
        <v>21</v>
      </c>
      <c r="L2" s="2" t="s">
        <v>37</v>
      </c>
      <c r="M2" s="2">
        <f>[2]Лист1!$U$1</f>
        <v>16</v>
      </c>
      <c r="O2" s="18"/>
    </row>
    <row r="3" spans="1:15" x14ac:dyDescent="0.25">
      <c r="A3" s="2">
        <v>2</v>
      </c>
      <c r="B3">
        <v>4</v>
      </c>
      <c r="C3">
        <v>66</v>
      </c>
      <c r="D3" s="3">
        <f>IF(Лист12223[[#This Row],[Итого]]&lt;&gt;"",Лист12223[[#This Row],[Итого]],"")</f>
        <v>66</v>
      </c>
      <c r="E3" s="2">
        <f>IF(D3&lt;&gt;"",ROUND(D3/$K$1/2*100,2),"")</f>
        <v>13.58</v>
      </c>
      <c r="F3" s="2">
        <f t="shared" ref="F3:F41" si="0">IF(E3&lt;&gt;"",100-E3,"")</f>
        <v>86.42</v>
      </c>
      <c r="I3" s="19" t="s">
        <v>33</v>
      </c>
      <c r="J3" s="4" t="s">
        <v>3</v>
      </c>
      <c r="K3" s="2">
        <f>ROUND(L3/$K$2*100,0)</f>
        <v>24</v>
      </c>
      <c r="L3" s="9">
        <f>K2-SUM($L$4:$L$7)</f>
        <v>5</v>
      </c>
    </row>
    <row r="4" spans="1:15" ht="26.25" x14ac:dyDescent="0.25">
      <c r="A4" s="2">
        <v>3</v>
      </c>
      <c r="B4">
        <v>5</v>
      </c>
      <c r="C4">
        <v>282</v>
      </c>
      <c r="D4" s="3">
        <f>IF(Лист12223[[#This Row],[Итого]]&lt;&gt;"",Лист12223[[#This Row],[Итого]],"")</f>
        <v>282</v>
      </c>
      <c r="E4" s="2">
        <f t="shared" ref="E4:E41" si="1">IF(D4&lt;&gt;"",ROUND(D4/$K$1/2*100,2),"")</f>
        <v>58.02</v>
      </c>
      <c r="F4" s="2">
        <f t="shared" si="0"/>
        <v>41.98</v>
      </c>
      <c r="I4" s="19"/>
      <c r="J4" s="4" t="s">
        <v>4</v>
      </c>
      <c r="K4" s="2">
        <f t="shared" ref="K4:K6" si="2">ROUND(L4/$K$2*100,0)</f>
        <v>43</v>
      </c>
      <c r="L4" s="2">
        <f t="array" ref="L4">SUM(($E$2:$E$37&gt;=10)*(($E$2:$E$37)&lt;30))</f>
        <v>9</v>
      </c>
    </row>
    <row r="5" spans="1:15" ht="26.25" x14ac:dyDescent="0.25">
      <c r="A5" s="2">
        <v>4</v>
      </c>
      <c r="B5">
        <v>6</v>
      </c>
      <c r="C5">
        <v>54</v>
      </c>
      <c r="D5" s="3">
        <f>IF(Лист12223[[#This Row],[Итого]]&lt;&gt;"",Лист12223[[#This Row],[Итого]],"")</f>
        <v>54</v>
      </c>
      <c r="E5" s="2">
        <f t="shared" si="1"/>
        <v>11.11</v>
      </c>
      <c r="F5" s="2">
        <f t="shared" si="0"/>
        <v>88.89</v>
      </c>
      <c r="I5" s="19"/>
      <c r="J5" s="4" t="s">
        <v>5</v>
      </c>
      <c r="K5" s="2">
        <f t="shared" si="2"/>
        <v>24</v>
      </c>
      <c r="L5" s="2">
        <f t="array" ref="L5">SUM(($E$2:$E$37&gt;=30)*(($E$2:$E$37)&lt;50))</f>
        <v>5</v>
      </c>
    </row>
    <row r="6" spans="1:15" ht="26.25" x14ac:dyDescent="0.25">
      <c r="A6" s="2">
        <v>5</v>
      </c>
      <c r="B6">
        <v>7</v>
      </c>
      <c r="D6" s="3" t="str">
        <f>IF(Лист12223[[#This Row],[Итого]]&lt;&gt;"",Лист12223[[#This Row],[Итого]],"")</f>
        <v/>
      </c>
      <c r="E6" s="2" t="str">
        <f t="shared" si="1"/>
        <v/>
      </c>
      <c r="F6" s="2" t="str">
        <f t="shared" si="0"/>
        <v/>
      </c>
      <c r="I6" s="19"/>
      <c r="J6" s="4" t="s">
        <v>6</v>
      </c>
      <c r="K6" s="2">
        <f t="shared" si="2"/>
        <v>10</v>
      </c>
      <c r="L6" s="2">
        <f t="array" ref="L6">SUM(($E$2:$E$37&gt;=50)*(($E$2:$E$37)&lt;70))</f>
        <v>2</v>
      </c>
    </row>
    <row r="7" spans="1:15" ht="26.25" x14ac:dyDescent="0.25">
      <c r="A7" s="2">
        <v>6</v>
      </c>
      <c r="B7">
        <v>8</v>
      </c>
      <c r="C7">
        <v>174</v>
      </c>
      <c r="D7" s="3">
        <f>IF(Лист12223[[#This Row],[Итого]]&lt;&gt;"",Лист12223[[#This Row],[Итого]],"")</f>
        <v>174</v>
      </c>
      <c r="E7" s="2">
        <f t="shared" si="1"/>
        <v>35.799999999999997</v>
      </c>
      <c r="F7" s="2">
        <f t="shared" si="0"/>
        <v>64.2</v>
      </c>
      <c r="I7" s="19"/>
      <c r="J7" s="4" t="s">
        <v>7</v>
      </c>
      <c r="K7" s="2">
        <f>100-SUM($K$3:$K$6)</f>
        <v>-1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C8">
        <v>112</v>
      </c>
      <c r="D8" s="3">
        <f>IF(Лист12223[[#This Row],[Итого]]&lt;&gt;"",Лист12223[[#This Row],[Итого]],"")</f>
        <v>112</v>
      </c>
      <c r="E8" s="2">
        <f t="shared" si="1"/>
        <v>23.05</v>
      </c>
      <c r="F8" s="2">
        <f t="shared" si="0"/>
        <v>76.95</v>
      </c>
    </row>
    <row r="9" spans="1:15" x14ac:dyDescent="0.25">
      <c r="A9" s="2">
        <v>8</v>
      </c>
      <c r="B9">
        <v>10</v>
      </c>
      <c r="C9">
        <v>206</v>
      </c>
      <c r="D9" s="3">
        <f>IF(Лист12223[[#This Row],[Итого]]&lt;&gt;"",Лист12223[[#This Row],[Итого]],"")</f>
        <v>206</v>
      </c>
      <c r="E9" s="2">
        <f t="shared" si="1"/>
        <v>42.39</v>
      </c>
      <c r="F9" s="2">
        <f t="shared" si="0"/>
        <v>57.61</v>
      </c>
      <c r="K9" t="s">
        <v>31</v>
      </c>
    </row>
    <row r="10" spans="1:15" ht="26.25" x14ac:dyDescent="0.25">
      <c r="A10" s="2">
        <v>9</v>
      </c>
      <c r="B10">
        <v>11</v>
      </c>
      <c r="D10" s="3" t="str">
        <f>IF(Лист12223[[#This Row],[Итого]]&lt;&gt;"",Лист12223[[#This Row],[Итого]],"")</f>
        <v/>
      </c>
      <c r="E10" s="2" t="str">
        <f t="shared" si="1"/>
        <v/>
      </c>
      <c r="F10" s="2" t="str">
        <f t="shared" si="0"/>
        <v/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C11">
        <v>282</v>
      </c>
      <c r="D11" s="3">
        <f>IF(Лист12223[[#This Row],[Итого]]&lt;&gt;"",Лист12223[[#This Row],[Итого]],"")</f>
        <v>282</v>
      </c>
      <c r="E11" s="2">
        <f t="shared" si="1"/>
        <v>58.02</v>
      </c>
      <c r="F11" s="2">
        <f t="shared" si="0"/>
        <v>41.98</v>
      </c>
      <c r="I11" s="19"/>
      <c r="J11" s="4" t="s">
        <v>5</v>
      </c>
      <c r="K11" s="2">
        <f t="shared" si="3"/>
        <v>10</v>
      </c>
      <c r="L11" s="2">
        <f t="array" ref="L11">SUM(($F$2:$F$37&gt;=30)*(($F$2:$F$37)&lt;50))</f>
        <v>2</v>
      </c>
    </row>
    <row r="12" spans="1:15" ht="26.25" x14ac:dyDescent="0.25">
      <c r="A12" s="2">
        <v>11</v>
      </c>
      <c r="B12">
        <v>13</v>
      </c>
      <c r="D12" s="3" t="str">
        <f>IF(Лист12223[[#This Row],[Итого]]&lt;&gt;"",Лист12223[[#This Row],[Итого]],"")</f>
        <v/>
      </c>
      <c r="E12" s="2" t="str">
        <f t="shared" si="1"/>
        <v/>
      </c>
      <c r="F12" s="2" t="str">
        <f t="shared" si="0"/>
        <v/>
      </c>
      <c r="I12" s="19"/>
      <c r="J12" s="4" t="s">
        <v>28</v>
      </c>
      <c r="K12" s="2">
        <f t="shared" si="3"/>
        <v>24</v>
      </c>
      <c r="L12" s="2">
        <f t="array" ref="L12">SUM(($F$2:$F$37&gt;=50)*(($F$2:$F$37)&lt;75))</f>
        <v>5</v>
      </c>
    </row>
    <row r="13" spans="1:15" ht="26.25" x14ac:dyDescent="0.25">
      <c r="A13" s="2">
        <v>12</v>
      </c>
      <c r="B13">
        <v>14</v>
      </c>
      <c r="C13">
        <v>60</v>
      </c>
      <c r="D13" s="3">
        <f>IF(Лист12223[[#This Row],[Итого]]&lt;&gt;"",Лист12223[[#This Row],[Итого]],"")</f>
        <v>60</v>
      </c>
      <c r="E13" s="2">
        <f t="shared" si="1"/>
        <v>12.35</v>
      </c>
      <c r="F13" s="2">
        <f t="shared" si="0"/>
        <v>87.65</v>
      </c>
      <c r="I13" s="19"/>
      <c r="J13" s="4" t="s">
        <v>29</v>
      </c>
      <c r="K13" s="2">
        <f t="shared" si="3"/>
        <v>43</v>
      </c>
      <c r="L13" s="2">
        <f t="array" ref="L13">SUM(($F$2:$F$37&gt;=75)*(($F$2:$F$37)&lt;90))</f>
        <v>9</v>
      </c>
    </row>
    <row r="14" spans="1:15" ht="26.25" x14ac:dyDescent="0.25">
      <c r="A14" s="2">
        <v>13</v>
      </c>
      <c r="B14">
        <v>15</v>
      </c>
      <c r="C14">
        <v>36</v>
      </c>
      <c r="D14" s="3">
        <f>IF(Лист12223[[#This Row],[Итого]]&lt;&gt;"",Лист12223[[#This Row],[Итого]],"")</f>
        <v>36</v>
      </c>
      <c r="E14" s="2">
        <f t="shared" si="1"/>
        <v>7.41</v>
      </c>
      <c r="F14" s="2">
        <f t="shared" si="0"/>
        <v>92.59</v>
      </c>
      <c r="I14" s="19"/>
      <c r="J14" s="7" t="s">
        <v>30</v>
      </c>
      <c r="K14" s="2">
        <f>100-SUM($K$9:$K$13)</f>
        <v>23</v>
      </c>
      <c r="L14" s="2">
        <f>$K$2-SUM(L9:L$13)</f>
        <v>5</v>
      </c>
    </row>
    <row r="15" spans="1:15" x14ac:dyDescent="0.25">
      <c r="A15" s="2">
        <v>14</v>
      </c>
      <c r="B15">
        <v>16</v>
      </c>
      <c r="D15" s="3" t="str">
        <f>IF(Лист12223[[#This Row],[Итого]]&lt;&gt;"",Лист12223[[#This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D16" s="3" t="str">
        <f>IF(Лист12223[[#This Row],[Итого]]&lt;&gt;"",Лист12223[[#This Row],[Итого]],"")</f>
        <v/>
      </c>
      <c r="E16" s="2" t="str">
        <f t="shared" si="1"/>
        <v/>
      </c>
      <c r="F16" s="2" t="str">
        <f t="shared" si="0"/>
        <v/>
      </c>
    </row>
    <row r="17" spans="1:6" x14ac:dyDescent="0.25">
      <c r="A17" s="2">
        <v>16</v>
      </c>
      <c r="B17">
        <v>18</v>
      </c>
      <c r="C17">
        <v>204</v>
      </c>
      <c r="D17" s="3">
        <f>IF(Лист12223[[#This Row],[Итого]]&lt;&gt;"",Лист12223[[#This Row],[Итого]],"")</f>
        <v>204</v>
      </c>
      <c r="E17" s="2">
        <f t="shared" si="1"/>
        <v>41.98</v>
      </c>
      <c r="F17" s="2">
        <f t="shared" si="0"/>
        <v>58.02</v>
      </c>
    </row>
    <row r="18" spans="1:6" x14ac:dyDescent="0.25">
      <c r="A18" s="2">
        <v>17</v>
      </c>
      <c r="B18">
        <v>19</v>
      </c>
      <c r="C18">
        <v>20</v>
      </c>
      <c r="D18" s="3">
        <f>IF(Лист12223[[#This Row],[Итого]]&lt;&gt;"",Лист12223[[#This Row],[Итого]],"")</f>
        <v>20</v>
      </c>
      <c r="E18" s="2">
        <f t="shared" si="1"/>
        <v>4.12</v>
      </c>
      <c r="F18" s="2">
        <f t="shared" si="0"/>
        <v>95.88</v>
      </c>
    </row>
    <row r="19" spans="1:6" x14ac:dyDescent="0.25">
      <c r="A19" s="2">
        <v>18</v>
      </c>
      <c r="B19">
        <v>20</v>
      </c>
      <c r="C19">
        <v>70</v>
      </c>
      <c r="D19" s="3">
        <f>IF(Лист12223[[#This Row],[Итого]]&lt;&gt;"",Лист12223[[#This Row],[Итого]],"")</f>
        <v>70</v>
      </c>
      <c r="E19" s="2">
        <f t="shared" si="1"/>
        <v>14.4</v>
      </c>
      <c r="F19" s="2">
        <f t="shared" si="0"/>
        <v>85.6</v>
      </c>
    </row>
    <row r="20" spans="1:6" x14ac:dyDescent="0.25">
      <c r="A20" s="2">
        <v>19</v>
      </c>
      <c r="B20">
        <v>21</v>
      </c>
      <c r="C20">
        <v>50</v>
      </c>
      <c r="D20" s="3">
        <f>IF(Лист12223[[#This Row],[Итого]]&lt;&gt;"",Лист12223[[#This Row],[Итого]],"")</f>
        <v>50</v>
      </c>
      <c r="E20" s="2">
        <f t="shared" si="1"/>
        <v>10.29</v>
      </c>
      <c r="F20" s="2">
        <f t="shared" si="0"/>
        <v>89.710000000000008</v>
      </c>
    </row>
    <row r="21" spans="1:6" x14ac:dyDescent="0.25">
      <c r="A21" s="2">
        <v>20</v>
      </c>
      <c r="B21">
        <v>22</v>
      </c>
      <c r="C21">
        <v>110</v>
      </c>
      <c r="D21" s="3">
        <f>IF(Лист12223[[#This Row],[Итого]]&lt;&gt;"",Лист12223[[#This Row],[Итого]],"")</f>
        <v>110</v>
      </c>
      <c r="E21" s="2">
        <f t="shared" si="1"/>
        <v>22.63</v>
      </c>
      <c r="F21" s="2">
        <f t="shared" si="0"/>
        <v>77.37</v>
      </c>
    </row>
    <row r="22" spans="1:6" x14ac:dyDescent="0.25">
      <c r="A22" s="2">
        <v>21</v>
      </c>
      <c r="B22">
        <v>23</v>
      </c>
      <c r="C22">
        <v>172</v>
      </c>
      <c r="D22" s="3">
        <f>IF(Лист12223[[#This Row],[Итого]]&lt;&gt;"",Лист12223[[#This Row],[Итого]],"")</f>
        <v>172</v>
      </c>
      <c r="E22" s="2">
        <f t="shared" si="1"/>
        <v>35.39</v>
      </c>
      <c r="F22" s="2">
        <f t="shared" si="0"/>
        <v>64.61</v>
      </c>
    </row>
    <row r="23" spans="1:6" x14ac:dyDescent="0.25">
      <c r="A23" s="2">
        <v>22</v>
      </c>
      <c r="B23">
        <v>24</v>
      </c>
      <c r="C23">
        <v>114</v>
      </c>
      <c r="D23" s="3">
        <f>IF(Лист12223[[#This Row],[Итого]]&lt;&gt;"",Лист12223[[#This Row],[Итого]],"")</f>
        <v>114</v>
      </c>
      <c r="E23" s="2">
        <f t="shared" si="1"/>
        <v>23.46</v>
      </c>
      <c r="F23" s="2">
        <f t="shared" si="0"/>
        <v>76.539999999999992</v>
      </c>
    </row>
    <row r="24" spans="1:6" x14ac:dyDescent="0.25">
      <c r="A24" s="2">
        <v>23</v>
      </c>
      <c r="B24">
        <v>25</v>
      </c>
      <c r="C24">
        <v>60</v>
      </c>
      <c r="D24" s="3">
        <f>IF(Лист12223[[#This Row],[Итого]]&lt;&gt;"",Лист12223[[#This Row],[Итого]],"")</f>
        <v>60</v>
      </c>
      <c r="E24" s="2">
        <f t="shared" si="1"/>
        <v>12.35</v>
      </c>
      <c r="F24" s="2">
        <f t="shared" si="0"/>
        <v>87.65</v>
      </c>
    </row>
    <row r="25" spans="1:6" x14ac:dyDescent="0.25">
      <c r="A25" s="2">
        <v>24</v>
      </c>
      <c r="B25">
        <v>26</v>
      </c>
      <c r="C25">
        <v>18</v>
      </c>
      <c r="D25" s="3">
        <f>IF(Лист12223[[#This Row],[Итого]]&lt;&gt;"",Лист12223[[#This Row],[Итого]],"")</f>
        <v>18</v>
      </c>
      <c r="E25" s="2">
        <f t="shared" si="1"/>
        <v>3.7</v>
      </c>
      <c r="F25" s="2">
        <f t="shared" si="0"/>
        <v>96.3</v>
      </c>
    </row>
    <row r="26" spans="1:6" x14ac:dyDescent="0.25">
      <c r="A26" s="2">
        <v>25</v>
      </c>
      <c r="B26">
        <v>27</v>
      </c>
      <c r="C26">
        <v>18</v>
      </c>
      <c r="D26" s="3">
        <f>IF(Лист12223[[#This Row],[Итого]]&lt;&gt;"",Лист12223[[#This Row],[Итого]],"")</f>
        <v>18</v>
      </c>
      <c r="E26" s="2">
        <f t="shared" si="1"/>
        <v>3.7</v>
      </c>
      <c r="F26" s="2">
        <f t="shared" si="0"/>
        <v>96.3</v>
      </c>
    </row>
    <row r="27" spans="1:6" x14ac:dyDescent="0.25">
      <c r="A27" s="2">
        <v>26</v>
      </c>
      <c r="B27">
        <v>28</v>
      </c>
      <c r="D27" s="3" t="str">
        <f>IF(Лист12223[[#This Row],[Итого]]&lt;&gt;"",Лист12223[[#This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IF(Лист12223[[#This Row],[Итого]]&lt;&gt;"",Лист12223[[#This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IF(Лист12223[[#This Row],[Итого]]&lt;&gt;"",Лист12223[[#This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IF(Лист12223[[#This Row],[Итого]]&lt;&gt;"",Лист12223[[#This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IF(Лист12223[[#This Row],[Итого]]&lt;&gt;"",Лист12223[[#This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IF(Лист12223[[#This Row],[Итого]]&lt;&gt;"",Лист12223[[#This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IF(Лист12223[[#This Row],[Итого]]&lt;&gt;"",Лист12223[[#This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IF(Лист12223[[#This Row],[Итого]]&lt;&gt;"",Лист12223[[#This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IF(Лист12223[[#This Row],[Итого]]&lt;&gt;"",Лист12223[[#This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IF(Лист12223[[#This Row],[Итого]]&lt;&gt;"",Лист12223[[#This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IF(Лист12223[[#This Row],[Итого]]&lt;&gt;"",Лист12223[[#This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IF(Лист12223[[#This Row],[Итого]]&lt;&gt;"",Лист12223[[#This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IF(Лист12223[[#This Row],[Итого]]&lt;&gt;"",Лист12223[[#This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IF(Лист12223[[#This Row],[Итого]]&lt;&gt;"",Лист12223[[#This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1124</v>
      </c>
      <c r="D41" s="3">
        <f>IF(Лист12223[[#This Row],[Итого]]&lt;&gt;"",Лист12223[[#This Row],[Итого]],"")</f>
        <v>1124</v>
      </c>
      <c r="E41" s="2">
        <f t="shared" si="1"/>
        <v>231.28</v>
      </c>
      <c r="F41" s="2">
        <f t="shared" si="0"/>
        <v>-131.28</v>
      </c>
    </row>
    <row r="42" spans="1:7" x14ac:dyDescent="0.25">
      <c r="A42" t="s">
        <v>40</v>
      </c>
      <c r="D42" s="17">
        <f>SUM(D2:D41)</f>
        <v>3442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C512B-027E-4DE1-941A-B79D3ABB9591}">
  <dimension ref="A1:O42"/>
  <sheetViews>
    <sheetView topLeftCell="A22" workbookViewId="0">
      <selection activeCell="M4" sqref="M4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[3]Лист1!$R$2</f>
        <v>213</v>
      </c>
      <c r="L1" s="2" t="s">
        <v>36</v>
      </c>
      <c r="M1" s="2" t="str">
        <f ca="1">MID(CELL("filename",A2),SEARCH("]",CELL("filename",A2))+1,31)</f>
        <v>ЭЖД-53</v>
      </c>
    </row>
    <row r="2" spans="1:15" x14ac:dyDescent="0.25">
      <c r="A2" s="2">
        <v>1</v>
      </c>
      <c r="B2">
        <v>3</v>
      </c>
      <c r="C2">
        <v>330</v>
      </c>
      <c r="D2" s="3">
        <f>IF(Лист12236[[#This Row],[Итого]]&lt;&gt;"",Лист12236[[#This Row],[Итого]],"")</f>
        <v>330</v>
      </c>
      <c r="E2" s="2">
        <f>IF(D2&lt;&gt;"",ROUND(D2/$K$1/2*100,2),"")</f>
        <v>77.459999999999994</v>
      </c>
      <c r="F2" s="2">
        <f>IF(E2&lt;&gt;"",100-E2,"")</f>
        <v>22.540000000000006</v>
      </c>
      <c r="J2" s="8" t="s">
        <v>11</v>
      </c>
      <c r="K2" s="8">
        <f>COUNT(D2:D41)</f>
        <v>28</v>
      </c>
      <c r="L2" s="2" t="s">
        <v>37</v>
      </c>
      <c r="M2" s="2">
        <f>[3]Лист1!$U$1</f>
        <v>15</v>
      </c>
      <c r="O2" s="18"/>
    </row>
    <row r="3" spans="1:15" x14ac:dyDescent="0.25">
      <c r="A3" s="2">
        <v>2</v>
      </c>
      <c r="B3">
        <v>4</v>
      </c>
      <c r="C3">
        <v>0</v>
      </c>
      <c r="D3" s="3">
        <f>IF(Лист12236[[#This Row],[Итого]]&lt;&gt;"",Лист12236[[#This Row],[Итого]],"")</f>
        <v>0</v>
      </c>
      <c r="E3" s="2">
        <f>IF(D3&lt;&gt;"",ROUND(D3/$K$1/2*100,2),"")</f>
        <v>0</v>
      </c>
      <c r="F3" s="2">
        <f t="shared" ref="F3:F41" si="0">IF(E3&lt;&gt;"",100-E3,"")</f>
        <v>100</v>
      </c>
      <c r="I3" s="19" t="s">
        <v>33</v>
      </c>
      <c r="J3" s="4" t="s">
        <v>3</v>
      </c>
      <c r="K3" s="2">
        <f>ROUND(L3/$K$2*100,0)</f>
        <v>18</v>
      </c>
      <c r="L3" s="9">
        <f>K2-SUM($L$4:$L$7)</f>
        <v>5</v>
      </c>
    </row>
    <row r="4" spans="1:15" ht="26.25" x14ac:dyDescent="0.25">
      <c r="A4" s="2">
        <v>3</v>
      </c>
      <c r="B4">
        <v>5</v>
      </c>
      <c r="C4">
        <v>200</v>
      </c>
      <c r="D4" s="3">
        <f>IF(Лист12236[[#This Row],[Итого]]&lt;&gt;"",Лист12236[[#This Row],[Итого]],"")</f>
        <v>200</v>
      </c>
      <c r="E4" s="2">
        <f t="shared" ref="E4:E41" si="1">IF(D4&lt;&gt;"",ROUND(D4/$K$1/2*100,2),"")</f>
        <v>46.95</v>
      </c>
      <c r="F4" s="2">
        <f t="shared" si="0"/>
        <v>53.05</v>
      </c>
      <c r="I4" s="19"/>
      <c r="J4" s="4" t="s">
        <v>4</v>
      </c>
      <c r="K4" s="2">
        <f t="shared" ref="K4:K6" si="2">ROUND(L4/$K$2*100,0)</f>
        <v>7</v>
      </c>
      <c r="L4" s="2">
        <f t="array" ref="L4">SUM(($E$2:$E$37&gt;=10)*(($E$2:$E$37)&lt;30))</f>
        <v>2</v>
      </c>
    </row>
    <row r="5" spans="1:15" ht="26.25" x14ac:dyDescent="0.25">
      <c r="A5" s="2">
        <v>4</v>
      </c>
      <c r="B5">
        <v>6</v>
      </c>
      <c r="C5">
        <v>258</v>
      </c>
      <c r="D5" s="3">
        <f>IF(Лист12236[[#This Row],[Итого]]&lt;&gt;"",Лист12236[[#This Row],[Итого]],"")</f>
        <v>258</v>
      </c>
      <c r="E5" s="2">
        <f t="shared" si="1"/>
        <v>60.56</v>
      </c>
      <c r="F5" s="2">
        <f t="shared" si="0"/>
        <v>39.44</v>
      </c>
      <c r="I5" s="19"/>
      <c r="J5" s="4" t="s">
        <v>5</v>
      </c>
      <c r="K5" s="2">
        <f t="shared" si="2"/>
        <v>29</v>
      </c>
      <c r="L5" s="2">
        <f t="array" ref="L5">SUM(($E$2:$E$37&gt;=30)*(($E$2:$E$37)&lt;50))</f>
        <v>8</v>
      </c>
    </row>
    <row r="6" spans="1:15" ht="26.25" x14ac:dyDescent="0.25">
      <c r="A6" s="2">
        <v>5</v>
      </c>
      <c r="B6">
        <v>7</v>
      </c>
      <c r="C6">
        <v>300</v>
      </c>
      <c r="D6" s="3">
        <f>IF(Лист12236[[#This Row],[Итого]]&lt;&gt;"",Лист12236[[#This Row],[Итого]],"")</f>
        <v>300</v>
      </c>
      <c r="E6" s="2">
        <f t="shared" si="1"/>
        <v>70.42</v>
      </c>
      <c r="F6" s="2">
        <f t="shared" si="0"/>
        <v>29.58</v>
      </c>
      <c r="I6" s="19"/>
      <c r="J6" s="4" t="s">
        <v>6</v>
      </c>
      <c r="K6" s="2">
        <f t="shared" si="2"/>
        <v>25</v>
      </c>
      <c r="L6" s="2">
        <f t="array" ref="L6">SUM(($E$2:$E$37&gt;=50)*(($E$2:$E$37)&lt;70))</f>
        <v>7</v>
      </c>
    </row>
    <row r="7" spans="1:15" ht="26.25" x14ac:dyDescent="0.25">
      <c r="A7" s="2">
        <v>6</v>
      </c>
      <c r="B7">
        <v>8</v>
      </c>
      <c r="C7">
        <v>198</v>
      </c>
      <c r="D7" s="3">
        <f>IF(Лист12236[[#This Row],[Итого]]&lt;&gt;"",Лист12236[[#This Row],[Итого]],"")</f>
        <v>198</v>
      </c>
      <c r="E7" s="2">
        <f t="shared" si="1"/>
        <v>46.48</v>
      </c>
      <c r="F7" s="2">
        <f t="shared" si="0"/>
        <v>53.52</v>
      </c>
      <c r="I7" s="19"/>
      <c r="J7" s="4" t="s">
        <v>7</v>
      </c>
      <c r="K7" s="2">
        <f>100-SUM($K$3:$K$6)</f>
        <v>21</v>
      </c>
      <c r="L7" s="2">
        <f t="array" ref="L7">SUM(($E$2:$E$37&gt;=70)*(($E$2:$E$37)&lt;100))</f>
        <v>6</v>
      </c>
    </row>
    <row r="8" spans="1:15" x14ac:dyDescent="0.25">
      <c r="A8" s="2">
        <v>7</v>
      </c>
      <c r="B8">
        <v>9</v>
      </c>
      <c r="C8">
        <v>218</v>
      </c>
      <c r="D8" s="3">
        <f>IF(Лист12236[[#This Row],[Итого]]&lt;&gt;"",Лист12236[[#This Row],[Итого]],"")</f>
        <v>218</v>
      </c>
      <c r="E8" s="2">
        <f t="shared" si="1"/>
        <v>51.17</v>
      </c>
      <c r="F8" s="2">
        <f t="shared" si="0"/>
        <v>48.83</v>
      </c>
    </row>
    <row r="9" spans="1:15" x14ac:dyDescent="0.25">
      <c r="A9" s="2">
        <v>8</v>
      </c>
      <c r="B9">
        <v>10</v>
      </c>
      <c r="C9">
        <v>68</v>
      </c>
      <c r="D9" s="3">
        <f>IF(Лист12236[[#This Row],[Итого]]&lt;&gt;"",Лист12236[[#This Row],[Итого]],"")</f>
        <v>68</v>
      </c>
      <c r="E9" s="2">
        <f t="shared" si="1"/>
        <v>15.96</v>
      </c>
      <c r="F9" s="2">
        <f t="shared" si="0"/>
        <v>84.039999999999992</v>
      </c>
      <c r="K9" t="s">
        <v>31</v>
      </c>
    </row>
    <row r="10" spans="1:15" ht="26.25" x14ac:dyDescent="0.25">
      <c r="A10" s="2">
        <v>9</v>
      </c>
      <c r="B10">
        <v>11</v>
      </c>
      <c r="C10">
        <v>26</v>
      </c>
      <c r="D10" s="3">
        <f>IF(Лист12236[[#This Row],[Итого]]&lt;&gt;"",Лист12236[[#This Row],[Итого]],"")</f>
        <v>26</v>
      </c>
      <c r="E10" s="2">
        <f t="shared" si="1"/>
        <v>6.1</v>
      </c>
      <c r="F10" s="2">
        <f t="shared" si="0"/>
        <v>93.9</v>
      </c>
      <c r="I10" s="19" t="s">
        <v>34</v>
      </c>
      <c r="J10" s="4" t="s">
        <v>42</v>
      </c>
      <c r="K10" s="2">
        <f t="shared" ref="K10:K13" si="3">ROUND(L10/$K$2*100,0)</f>
        <v>21</v>
      </c>
      <c r="L10" s="2">
        <f t="array" ref="L10">SUM(($F$2:$F$37&gt;=0)*(($F$2:$F$37)&lt;30))</f>
        <v>6</v>
      </c>
    </row>
    <row r="11" spans="1:15" ht="26.25" x14ac:dyDescent="0.25">
      <c r="A11" s="2">
        <v>10</v>
      </c>
      <c r="B11">
        <v>12</v>
      </c>
      <c r="C11">
        <v>24</v>
      </c>
      <c r="D11" s="3">
        <f>IF(Лист12236[[#This Row],[Итого]]&lt;&gt;"",Лист12236[[#This Row],[Итого]],"")</f>
        <v>24</v>
      </c>
      <c r="E11" s="2">
        <f t="shared" si="1"/>
        <v>5.63</v>
      </c>
      <c r="F11" s="2">
        <f t="shared" si="0"/>
        <v>94.37</v>
      </c>
      <c r="I11" s="19"/>
      <c r="J11" s="4" t="s">
        <v>5</v>
      </c>
      <c r="K11" s="2">
        <f t="shared" si="3"/>
        <v>25</v>
      </c>
      <c r="L11" s="2">
        <f t="array" ref="L11">SUM(($F$2:$F$37&gt;=30)*(($F$2:$F$37)&lt;50))</f>
        <v>7</v>
      </c>
    </row>
    <row r="12" spans="1:15" ht="26.25" x14ac:dyDescent="0.25">
      <c r="A12" s="2">
        <v>11</v>
      </c>
      <c r="B12">
        <v>13</v>
      </c>
      <c r="C12">
        <v>242</v>
      </c>
      <c r="D12" s="3">
        <f>IF(Лист12236[[#This Row],[Итого]]&lt;&gt;"",Лист12236[[#This Row],[Итого]],"")</f>
        <v>242</v>
      </c>
      <c r="E12" s="2">
        <f t="shared" si="1"/>
        <v>56.81</v>
      </c>
      <c r="F12" s="2">
        <f t="shared" si="0"/>
        <v>43.19</v>
      </c>
      <c r="I12" s="19"/>
      <c r="J12" s="4" t="s">
        <v>28</v>
      </c>
      <c r="K12" s="2">
        <f t="shared" si="3"/>
        <v>29</v>
      </c>
      <c r="L12" s="2">
        <f t="array" ref="L12">SUM(($F$2:$F$37&gt;=50)*(($F$2:$F$37)&lt;75))</f>
        <v>8</v>
      </c>
    </row>
    <row r="13" spans="1:15" ht="26.25" x14ac:dyDescent="0.25">
      <c r="A13" s="2">
        <v>12</v>
      </c>
      <c r="B13">
        <v>14</v>
      </c>
      <c r="D13" s="3" t="str">
        <f>IF(Лист12236[[#This Row],[Итого]]&lt;&gt;"",Лист12236[[#This Row],[Итого]],"")</f>
        <v/>
      </c>
      <c r="E13" s="2" t="str">
        <f t="shared" si="1"/>
        <v/>
      </c>
      <c r="F13" s="2" t="str">
        <f t="shared" si="0"/>
        <v/>
      </c>
      <c r="I13" s="19"/>
      <c r="J13" s="4" t="s">
        <v>29</v>
      </c>
      <c r="K13" s="2">
        <f t="shared" si="3"/>
        <v>7</v>
      </c>
      <c r="L13" s="2">
        <f t="array" ref="L13">SUM(($F$2:$F$37&gt;=75)*(($F$2:$F$37)&lt;90))</f>
        <v>2</v>
      </c>
    </row>
    <row r="14" spans="1:15" ht="26.25" x14ac:dyDescent="0.25">
      <c r="A14" s="2">
        <v>13</v>
      </c>
      <c r="B14">
        <v>15</v>
      </c>
      <c r="C14">
        <v>312</v>
      </c>
      <c r="D14" s="3">
        <f>IF(Лист12236[[#This Row],[Итого]]&lt;&gt;"",Лист12236[[#This Row],[Итого]],"")</f>
        <v>312</v>
      </c>
      <c r="E14" s="2">
        <f t="shared" si="1"/>
        <v>73.239999999999995</v>
      </c>
      <c r="F14" s="2">
        <f t="shared" si="0"/>
        <v>26.760000000000005</v>
      </c>
      <c r="I14" s="19"/>
      <c r="J14" s="7" t="s">
        <v>30</v>
      </c>
      <c r="K14" s="2">
        <f>100-SUM($K$9:$K$13)</f>
        <v>18</v>
      </c>
      <c r="L14" s="2">
        <f>$K$2-SUM(L9:L$13)</f>
        <v>5</v>
      </c>
    </row>
    <row r="15" spans="1:15" x14ac:dyDescent="0.25">
      <c r="A15" s="2">
        <v>14</v>
      </c>
      <c r="B15">
        <v>16</v>
      </c>
      <c r="C15">
        <v>180</v>
      </c>
      <c r="D15" s="3">
        <f>IF(Лист12236[[#This Row],[Итого]]&lt;&gt;"",Лист12236[[#This Row],[Итого]],"")</f>
        <v>180</v>
      </c>
      <c r="E15" s="2">
        <f t="shared" si="1"/>
        <v>42.25</v>
      </c>
      <c r="F15" s="2">
        <f t="shared" si="0"/>
        <v>57.75</v>
      </c>
    </row>
    <row r="16" spans="1:15" x14ac:dyDescent="0.25">
      <c r="A16" s="2">
        <v>15</v>
      </c>
      <c r="B16">
        <v>17</v>
      </c>
      <c r="C16">
        <v>218</v>
      </c>
      <c r="D16" s="3">
        <f>IF(Лист12236[[#This Row],[Итого]]&lt;&gt;"",Лист12236[[#This Row],[Итого]],"")</f>
        <v>218</v>
      </c>
      <c r="E16" s="2">
        <f t="shared" si="1"/>
        <v>51.17</v>
      </c>
      <c r="F16" s="2">
        <f t="shared" si="0"/>
        <v>48.83</v>
      </c>
    </row>
    <row r="17" spans="1:6" x14ac:dyDescent="0.25">
      <c r="A17" s="2">
        <v>16</v>
      </c>
      <c r="B17">
        <v>18</v>
      </c>
      <c r="C17">
        <v>140</v>
      </c>
      <c r="D17" s="3">
        <f>IF(Лист12236[[#This Row],[Итого]]&lt;&gt;"",Лист12236[[#This Row],[Итого]],"")</f>
        <v>140</v>
      </c>
      <c r="E17" s="2">
        <f t="shared" si="1"/>
        <v>32.86</v>
      </c>
      <c r="F17" s="2">
        <f t="shared" si="0"/>
        <v>67.14</v>
      </c>
    </row>
    <row r="18" spans="1:6" x14ac:dyDescent="0.25">
      <c r="A18" s="2">
        <v>17</v>
      </c>
      <c r="B18">
        <v>19</v>
      </c>
      <c r="C18">
        <v>296</v>
      </c>
      <c r="D18" s="3">
        <f>IF(Лист12236[[#This Row],[Итого]]&lt;&gt;"",Лист12236[[#This Row],[Итого]],"")</f>
        <v>296</v>
      </c>
      <c r="E18" s="2">
        <f t="shared" si="1"/>
        <v>69.48</v>
      </c>
      <c r="F18" s="2">
        <f t="shared" si="0"/>
        <v>30.519999999999996</v>
      </c>
    </row>
    <row r="19" spans="1:6" x14ac:dyDescent="0.25">
      <c r="A19" s="2">
        <v>18</v>
      </c>
      <c r="B19">
        <v>20</v>
      </c>
      <c r="C19">
        <v>360</v>
      </c>
      <c r="D19" s="3">
        <f>IF(Лист12236[[#This Row],[Итого]]&lt;&gt;"",Лист12236[[#This Row],[Итого]],"")</f>
        <v>360</v>
      </c>
      <c r="E19" s="2">
        <f t="shared" si="1"/>
        <v>84.51</v>
      </c>
      <c r="F19" s="2">
        <f t="shared" si="0"/>
        <v>15.489999999999995</v>
      </c>
    </row>
    <row r="20" spans="1:6" x14ac:dyDescent="0.25">
      <c r="A20" s="2">
        <v>19</v>
      </c>
      <c r="B20">
        <v>21</v>
      </c>
      <c r="C20">
        <v>246</v>
      </c>
      <c r="D20" s="3">
        <f>IF(Лист12236[[#This Row],[Итого]]&lt;&gt;"",Лист12236[[#This Row],[Итого]],"")</f>
        <v>246</v>
      </c>
      <c r="E20" s="2">
        <f t="shared" si="1"/>
        <v>57.75</v>
      </c>
      <c r="F20" s="2">
        <f t="shared" si="0"/>
        <v>42.25</v>
      </c>
    </row>
    <row r="21" spans="1:6" x14ac:dyDescent="0.25">
      <c r="A21" s="2">
        <v>20</v>
      </c>
      <c r="B21">
        <v>22</v>
      </c>
      <c r="C21">
        <v>178</v>
      </c>
      <c r="D21" s="3">
        <f>IF(Лист12236[[#This Row],[Итого]]&lt;&gt;"",Лист12236[[#This Row],[Итого]],"")</f>
        <v>178</v>
      </c>
      <c r="E21" s="2">
        <f t="shared" si="1"/>
        <v>41.78</v>
      </c>
      <c r="F21" s="2">
        <f t="shared" si="0"/>
        <v>58.22</v>
      </c>
    </row>
    <row r="22" spans="1:6" x14ac:dyDescent="0.25">
      <c r="A22" s="2">
        <v>21</v>
      </c>
      <c r="B22">
        <v>23</v>
      </c>
      <c r="D22" s="3" t="str">
        <f>IF(Лист12236[[#This Row],[Итого]]&lt;&gt;"",Лист12236[[#This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C23">
        <v>288</v>
      </c>
      <c r="D23" s="3">
        <f>IF(Лист12236[[#This Row],[Итого]]&lt;&gt;"",Лист12236[[#This Row],[Итого]],"")</f>
        <v>288</v>
      </c>
      <c r="E23" s="2">
        <f t="shared" si="1"/>
        <v>67.61</v>
      </c>
      <c r="F23" s="2">
        <f t="shared" si="0"/>
        <v>32.39</v>
      </c>
    </row>
    <row r="24" spans="1:6" x14ac:dyDescent="0.25">
      <c r="A24" s="2">
        <v>23</v>
      </c>
      <c r="B24">
        <v>25</v>
      </c>
      <c r="C24">
        <v>86</v>
      </c>
      <c r="D24" s="3">
        <f>IF(Лист12236[[#This Row],[Итого]]&lt;&gt;"",Лист12236[[#This Row],[Итого]],"")</f>
        <v>86</v>
      </c>
      <c r="E24" s="2">
        <f t="shared" si="1"/>
        <v>20.190000000000001</v>
      </c>
      <c r="F24" s="2">
        <f t="shared" si="0"/>
        <v>79.81</v>
      </c>
    </row>
    <row r="25" spans="1:6" x14ac:dyDescent="0.25">
      <c r="A25" s="2">
        <v>24</v>
      </c>
      <c r="B25">
        <v>26</v>
      </c>
      <c r="C25">
        <v>142</v>
      </c>
      <c r="D25" s="3">
        <f>IF(Лист12236[[#This Row],[Итого]]&lt;&gt;"",Лист12236[[#This Row],[Итого]],"")</f>
        <v>142</v>
      </c>
      <c r="E25" s="2">
        <f t="shared" si="1"/>
        <v>33.33</v>
      </c>
      <c r="F25" s="2">
        <f t="shared" si="0"/>
        <v>66.67</v>
      </c>
    </row>
    <row r="26" spans="1:6" x14ac:dyDescent="0.25">
      <c r="A26" s="2">
        <v>25</v>
      </c>
      <c r="B26">
        <v>27</v>
      </c>
      <c r="C26">
        <v>176</v>
      </c>
      <c r="D26" s="3">
        <f>IF(Лист12236[[#This Row],[Итого]]&lt;&gt;"",Лист12236[[#This Row],[Итого]],"")</f>
        <v>176</v>
      </c>
      <c r="E26" s="2">
        <f t="shared" si="1"/>
        <v>41.31</v>
      </c>
      <c r="F26" s="2">
        <f t="shared" si="0"/>
        <v>58.69</v>
      </c>
    </row>
    <row r="27" spans="1:6" x14ac:dyDescent="0.25">
      <c r="A27" s="2">
        <v>26</v>
      </c>
      <c r="B27">
        <v>28</v>
      </c>
      <c r="C27">
        <v>0</v>
      </c>
      <c r="D27" s="3">
        <f>IF(Лист12236[[#This Row],[Итого]]&lt;&gt;"",Лист12236[[#This Row],[Итого]],"")</f>
        <v>0</v>
      </c>
      <c r="E27" s="2">
        <f t="shared" si="1"/>
        <v>0</v>
      </c>
      <c r="F27" s="2">
        <f t="shared" si="0"/>
        <v>100</v>
      </c>
    </row>
    <row r="28" spans="1:6" x14ac:dyDescent="0.25">
      <c r="A28" s="2">
        <v>27</v>
      </c>
      <c r="B28">
        <v>29</v>
      </c>
      <c r="C28">
        <v>198</v>
      </c>
      <c r="D28" s="3">
        <f>IF(Лист12236[[#This Row],[Итого]]&lt;&gt;"",Лист12236[[#This Row],[Итого]],"")</f>
        <v>198</v>
      </c>
      <c r="E28" s="2">
        <f t="shared" si="1"/>
        <v>46.48</v>
      </c>
      <c r="F28" s="2">
        <f t="shared" si="0"/>
        <v>53.52</v>
      </c>
    </row>
    <row r="29" spans="1:6" x14ac:dyDescent="0.25">
      <c r="A29" s="2">
        <v>28</v>
      </c>
      <c r="B29">
        <v>30</v>
      </c>
      <c r="C29">
        <v>322</v>
      </c>
      <c r="D29" s="3">
        <f>IF(Лист12236[[#This Row],[Итого]]&lt;&gt;"",Лист12236[[#This Row],[Итого]],"")</f>
        <v>322</v>
      </c>
      <c r="E29" s="2">
        <f t="shared" si="1"/>
        <v>75.59</v>
      </c>
      <c r="F29" s="2">
        <f t="shared" si="0"/>
        <v>24.409999999999997</v>
      </c>
    </row>
    <row r="30" spans="1:6" x14ac:dyDescent="0.25">
      <c r="A30" s="2">
        <v>29</v>
      </c>
      <c r="B30">
        <v>31</v>
      </c>
      <c r="C30">
        <v>314</v>
      </c>
      <c r="D30" s="3">
        <f>IF(Лист12236[[#This Row],[Итого]]&lt;&gt;"",Лист12236[[#This Row],[Итого]],"")</f>
        <v>314</v>
      </c>
      <c r="E30" s="2">
        <f t="shared" si="1"/>
        <v>73.709999999999994</v>
      </c>
      <c r="F30" s="2">
        <f t="shared" si="0"/>
        <v>26.290000000000006</v>
      </c>
    </row>
    <row r="31" spans="1:6" x14ac:dyDescent="0.25">
      <c r="A31" s="2">
        <v>30</v>
      </c>
      <c r="B31">
        <v>32</v>
      </c>
      <c r="C31">
        <v>16</v>
      </c>
      <c r="D31" s="3">
        <f>IF(Лист12236[[#This Row],[Итого]]&lt;&gt;"",Лист12236[[#This Row],[Итого]],"")</f>
        <v>16</v>
      </c>
      <c r="E31" s="2">
        <f t="shared" si="1"/>
        <v>3.76</v>
      </c>
      <c r="F31" s="2">
        <f t="shared" si="0"/>
        <v>96.24</v>
      </c>
    </row>
    <row r="32" spans="1:6" x14ac:dyDescent="0.25">
      <c r="A32" s="2">
        <v>31</v>
      </c>
      <c r="B32">
        <v>33</v>
      </c>
      <c r="D32" s="3" t="str">
        <f>IF(Лист12236[[#This Row],[Итого]]&lt;&gt;"",Лист12236[[#This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IF(Лист12236[[#This Row],[Итого]]&lt;&gt;"",Лист12236[[#This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IF(Лист12236[[#This Row],[Итого]]&lt;&gt;"",Лист12236[[#This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IF(Лист12236[[#This Row],[Итого]]&lt;&gt;"",Лист12236[[#This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IF(Лист12236[[#This Row],[Итого]]&lt;&gt;"",Лист12236[[#This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IF(Лист12236[[#This Row],[Итого]]&lt;&gt;"",Лист12236[[#This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IF(Лист12236[[#This Row],[Итого]]&lt;&gt;"",Лист12236[[#This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IF(Лист12236[[#This Row],[Итого]]&lt;&gt;"",Лист12236[[#This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IF(Лист12236[[#This Row],[Итого]]&lt;&gt;"",Лист12236[[#This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D41" s="3" t="str">
        <f>IF(Лист12236[[#This Row],[Итого]]&lt;&gt;"",Лист12236[[#This Row],[Итого]],"")</f>
        <v/>
      </c>
      <c r="E41" s="2" t="str">
        <f t="shared" si="1"/>
        <v/>
      </c>
      <c r="F41" s="2" t="str">
        <f t="shared" si="0"/>
        <v/>
      </c>
    </row>
    <row r="42" spans="1:7" x14ac:dyDescent="0.25">
      <c r="A42" t="s">
        <v>40</v>
      </c>
      <c r="D42" s="17">
        <f>SUM(D2:D41)</f>
        <v>5336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DE250-236B-4247-BBFB-FEF5748E7273}">
  <dimension ref="A1:O42"/>
  <sheetViews>
    <sheetView workbookViewId="0">
      <selection activeCell="F46" sqref="F46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[4]Лист1!$R$2</f>
        <v>231</v>
      </c>
      <c r="L1" s="2" t="s">
        <v>36</v>
      </c>
      <c r="M1" s="2" t="str">
        <f ca="1">MID(CELL("filename",A2),SEARCH("]",CELL("filename",A2))+1,31)</f>
        <v>ЭЖД-54у</v>
      </c>
    </row>
    <row r="2" spans="1:15" x14ac:dyDescent="0.25">
      <c r="A2" s="2">
        <v>1</v>
      </c>
      <c r="B2">
        <v>3</v>
      </c>
      <c r="C2">
        <v>12</v>
      </c>
      <c r="D2" s="3">
        <f>IF(Лист1223637[[#This Row],[Итого]]&lt;&gt;"",Лист1223637[[#This Row],[Итого]],"")</f>
        <v>12</v>
      </c>
      <c r="E2" s="2">
        <f>IF(D2&lt;&gt;"",ROUND(D2/$K$1/2*100,2),"")</f>
        <v>2.6</v>
      </c>
      <c r="F2" s="2">
        <f>IF(E2&lt;&gt;"",100-E2,"")</f>
        <v>97.4</v>
      </c>
      <c r="J2" s="8" t="s">
        <v>11</v>
      </c>
      <c r="K2" s="8">
        <f>COUNT(D2:D41)</f>
        <v>20</v>
      </c>
      <c r="L2" s="2" t="s">
        <v>37</v>
      </c>
      <c r="M2" s="2">
        <f>[4]Лист1!$U$1</f>
        <v>16</v>
      </c>
      <c r="O2" s="18"/>
    </row>
    <row r="3" spans="1:15" x14ac:dyDescent="0.25">
      <c r="A3" s="2">
        <v>2</v>
      </c>
      <c r="B3">
        <v>4</v>
      </c>
      <c r="C3">
        <v>290</v>
      </c>
      <c r="D3" s="3">
        <f>IF(Лист1223637[[#This Row],[Итого]]&lt;&gt;"",Лист1223637[[#This Row],[Итого]],"")</f>
        <v>290</v>
      </c>
      <c r="E3" s="2">
        <f>IF(D3&lt;&gt;"",ROUND(D3/$K$1/2*100,2),"")</f>
        <v>62.77</v>
      </c>
      <c r="F3" s="2">
        <f t="shared" ref="F3:F41" si="0">IF(E3&lt;&gt;"",100-E3,"")</f>
        <v>37.229999999999997</v>
      </c>
      <c r="I3" s="19" t="s">
        <v>33</v>
      </c>
      <c r="J3" s="4" t="s">
        <v>3</v>
      </c>
      <c r="K3" s="2">
        <f>ROUND(L3/$K$2*100,0)</f>
        <v>30</v>
      </c>
      <c r="L3" s="9">
        <f>K2-SUM($L$4:$L$7)</f>
        <v>6</v>
      </c>
    </row>
    <row r="4" spans="1:15" ht="26.25" x14ac:dyDescent="0.25">
      <c r="A4" s="2">
        <v>3</v>
      </c>
      <c r="B4">
        <v>5</v>
      </c>
      <c r="C4">
        <v>68</v>
      </c>
      <c r="D4" s="3">
        <f>IF(Лист1223637[[#This Row],[Итого]]&lt;&gt;"",Лист1223637[[#This Row],[Итого]],"")</f>
        <v>68</v>
      </c>
      <c r="E4" s="2">
        <f t="shared" ref="E4:E41" si="1">IF(D4&lt;&gt;"",ROUND(D4/$K$1/2*100,2),"")</f>
        <v>14.72</v>
      </c>
      <c r="F4" s="2">
        <f t="shared" si="0"/>
        <v>85.28</v>
      </c>
      <c r="I4" s="19"/>
      <c r="J4" s="4" t="s">
        <v>4</v>
      </c>
      <c r="K4" s="2">
        <f t="shared" ref="K4:K6" si="2">ROUND(L4/$K$2*100,0)</f>
        <v>30</v>
      </c>
      <c r="L4" s="2">
        <f t="array" ref="L4">SUM(($E$2:$E$37&gt;=10)*(($E$2:$E$37)&lt;30))</f>
        <v>6</v>
      </c>
    </row>
    <row r="5" spans="1:15" ht="26.25" x14ac:dyDescent="0.25">
      <c r="A5" s="2">
        <v>4</v>
      </c>
      <c r="B5">
        <v>6</v>
      </c>
      <c r="C5">
        <v>70</v>
      </c>
      <c r="D5" s="3">
        <f>IF(Лист1223637[[#This Row],[Итого]]&lt;&gt;"",Лист1223637[[#This Row],[Итого]],"")</f>
        <v>70</v>
      </c>
      <c r="E5" s="2">
        <f t="shared" si="1"/>
        <v>15.15</v>
      </c>
      <c r="F5" s="2">
        <f t="shared" si="0"/>
        <v>84.85</v>
      </c>
      <c r="I5" s="19"/>
      <c r="J5" s="4" t="s">
        <v>5</v>
      </c>
      <c r="K5" s="2">
        <f t="shared" si="2"/>
        <v>20</v>
      </c>
      <c r="L5" s="2">
        <f t="array" ref="L5">SUM(($E$2:$E$37&gt;=30)*(($E$2:$E$37)&lt;50))</f>
        <v>4</v>
      </c>
    </row>
    <row r="6" spans="1:15" ht="26.25" x14ac:dyDescent="0.25">
      <c r="A6" s="2">
        <v>5</v>
      </c>
      <c r="B6">
        <v>7</v>
      </c>
      <c r="C6">
        <v>220</v>
      </c>
      <c r="D6" s="3">
        <f>IF(Лист1223637[[#This Row],[Итого]]&lt;&gt;"",Лист1223637[[#This Row],[Итого]],"")</f>
        <v>220</v>
      </c>
      <c r="E6" s="2">
        <f t="shared" si="1"/>
        <v>47.62</v>
      </c>
      <c r="F6" s="2">
        <f t="shared" si="0"/>
        <v>52.38</v>
      </c>
      <c r="I6" s="19"/>
      <c r="J6" s="4" t="s">
        <v>6</v>
      </c>
      <c r="K6" s="2">
        <f t="shared" si="2"/>
        <v>10</v>
      </c>
      <c r="L6" s="2">
        <f t="array" ref="L6">SUM(($E$2:$E$37&gt;=50)*(($E$2:$E$37)&lt;70))</f>
        <v>2</v>
      </c>
    </row>
    <row r="7" spans="1:15" ht="26.25" x14ac:dyDescent="0.25">
      <c r="A7" s="2">
        <v>6</v>
      </c>
      <c r="B7">
        <v>8</v>
      </c>
      <c r="C7">
        <v>52</v>
      </c>
      <c r="D7" s="3">
        <f>IF(Лист1223637[[#This Row],[Итого]]&lt;&gt;"",Лист1223637[[#This Row],[Итого]],"")</f>
        <v>52</v>
      </c>
      <c r="E7" s="2">
        <f t="shared" si="1"/>
        <v>11.26</v>
      </c>
      <c r="F7" s="2">
        <f t="shared" si="0"/>
        <v>88.74</v>
      </c>
      <c r="I7" s="19"/>
      <c r="J7" s="4" t="s">
        <v>7</v>
      </c>
      <c r="K7" s="2">
        <f>100-SUM($K$3:$K$6)</f>
        <v>10</v>
      </c>
      <c r="L7" s="2">
        <f t="array" ref="L7">SUM(($E$2:$E$37&gt;=70)*(($E$2:$E$37)&lt;100))</f>
        <v>2</v>
      </c>
    </row>
    <row r="8" spans="1:15" x14ac:dyDescent="0.25">
      <c r="A8" s="2">
        <v>7</v>
      </c>
      <c r="B8">
        <v>9</v>
      </c>
      <c r="C8">
        <v>386</v>
      </c>
      <c r="D8" s="3">
        <f>IF(Лист1223637[[#This Row],[Итого]]&lt;&gt;"",Лист1223637[[#This Row],[Итого]],"")</f>
        <v>386</v>
      </c>
      <c r="E8" s="2">
        <f t="shared" si="1"/>
        <v>83.55</v>
      </c>
      <c r="F8" s="2">
        <f t="shared" si="0"/>
        <v>16.450000000000003</v>
      </c>
    </row>
    <row r="9" spans="1:15" x14ac:dyDescent="0.25">
      <c r="A9" s="2">
        <v>8</v>
      </c>
      <c r="B9">
        <v>10</v>
      </c>
      <c r="C9">
        <v>30</v>
      </c>
      <c r="D9" s="3">
        <f>IF(Лист1223637[[#This Row],[Итого]]&lt;&gt;"",Лист1223637[[#This Row],[Итого]],"")</f>
        <v>30</v>
      </c>
      <c r="E9" s="2">
        <f t="shared" si="1"/>
        <v>6.49</v>
      </c>
      <c r="F9" s="2">
        <f t="shared" si="0"/>
        <v>93.51</v>
      </c>
      <c r="K9" t="s">
        <v>31</v>
      </c>
    </row>
    <row r="10" spans="1:15" ht="26.25" x14ac:dyDescent="0.25">
      <c r="A10" s="2">
        <v>9</v>
      </c>
      <c r="B10">
        <v>11</v>
      </c>
      <c r="C10">
        <v>212</v>
      </c>
      <c r="D10" s="3">
        <f>IF(Лист1223637[[#This Row],[Итого]]&lt;&gt;"",Лист1223637[[#This Row],[Итого]],"")</f>
        <v>212</v>
      </c>
      <c r="E10" s="2">
        <f t="shared" si="1"/>
        <v>45.89</v>
      </c>
      <c r="F10" s="2">
        <f t="shared" si="0"/>
        <v>54.11</v>
      </c>
      <c r="I10" s="19" t="s">
        <v>34</v>
      </c>
      <c r="J10" s="4" t="s">
        <v>42</v>
      </c>
      <c r="K10" s="2">
        <f t="shared" ref="K10:K13" si="3">ROUND(L10/$K$2*100,0)</f>
        <v>10</v>
      </c>
      <c r="L10" s="2">
        <f t="array" ref="L10">SUM(($F$2:$F$37&gt;=0)*(($F$2:$F$37)&lt;30))</f>
        <v>2</v>
      </c>
    </row>
    <row r="11" spans="1:15" ht="26.25" x14ac:dyDescent="0.25">
      <c r="A11" s="2">
        <v>10</v>
      </c>
      <c r="B11">
        <v>12</v>
      </c>
      <c r="C11">
        <v>20</v>
      </c>
      <c r="D11" s="3">
        <f>IF(Лист1223637[[#This Row],[Итого]]&lt;&gt;"",Лист1223637[[#This Row],[Итого]],"")</f>
        <v>20</v>
      </c>
      <c r="E11" s="2">
        <f t="shared" si="1"/>
        <v>4.33</v>
      </c>
      <c r="F11" s="2">
        <f t="shared" si="0"/>
        <v>95.67</v>
      </c>
      <c r="I11" s="19"/>
      <c r="J11" s="4" t="s">
        <v>5</v>
      </c>
      <c r="K11" s="2">
        <f t="shared" si="3"/>
        <v>10</v>
      </c>
      <c r="L11" s="2">
        <f t="array" ref="L11">SUM(($F$2:$F$37&gt;=30)*(($F$2:$F$37)&lt;50))</f>
        <v>2</v>
      </c>
    </row>
    <row r="12" spans="1:15" ht="26.25" x14ac:dyDescent="0.25">
      <c r="A12" s="2">
        <v>11</v>
      </c>
      <c r="B12">
        <v>13</v>
      </c>
      <c r="C12">
        <v>162</v>
      </c>
      <c r="D12" s="3">
        <f>IF(Лист1223637[[#This Row],[Итого]]&lt;&gt;"",Лист1223637[[#This Row],[Итого]],"")</f>
        <v>162</v>
      </c>
      <c r="E12" s="2">
        <f t="shared" si="1"/>
        <v>35.06</v>
      </c>
      <c r="F12" s="2">
        <f t="shared" si="0"/>
        <v>64.94</v>
      </c>
      <c r="I12" s="19"/>
      <c r="J12" s="4" t="s">
        <v>28</v>
      </c>
      <c r="K12" s="2">
        <f t="shared" si="3"/>
        <v>20</v>
      </c>
      <c r="L12" s="2">
        <f t="array" ref="L12">SUM(($F$2:$F$37&gt;=50)*(($F$2:$F$37)&lt;75))</f>
        <v>4</v>
      </c>
    </row>
    <row r="13" spans="1:15" ht="26.25" x14ac:dyDescent="0.25">
      <c r="A13" s="2">
        <v>12</v>
      </c>
      <c r="B13">
        <v>14</v>
      </c>
      <c r="C13">
        <v>88</v>
      </c>
      <c r="D13" s="3">
        <f>IF(Лист1223637[[#This Row],[Итого]]&lt;&gt;"",Лист1223637[[#This Row],[Итого]],"")</f>
        <v>88</v>
      </c>
      <c r="E13" s="2">
        <f t="shared" si="1"/>
        <v>19.05</v>
      </c>
      <c r="F13" s="2">
        <f t="shared" si="0"/>
        <v>80.95</v>
      </c>
      <c r="I13" s="19"/>
      <c r="J13" s="4" t="s">
        <v>29</v>
      </c>
      <c r="K13" s="2">
        <f t="shared" si="3"/>
        <v>30</v>
      </c>
      <c r="L13" s="2">
        <f t="array" ref="L13">SUM(($F$2:$F$37&gt;=75)*(($F$2:$F$37)&lt;90))</f>
        <v>6</v>
      </c>
    </row>
    <row r="14" spans="1:15" ht="26.25" x14ac:dyDescent="0.25">
      <c r="A14" s="2">
        <v>13</v>
      </c>
      <c r="B14">
        <v>15</v>
      </c>
      <c r="C14">
        <v>0</v>
      </c>
      <c r="D14" s="3">
        <f>IF(Лист1223637[[#This Row],[Итого]]&lt;&gt;"",Лист1223637[[#This Row],[Итого]],"")</f>
        <v>0</v>
      </c>
      <c r="E14" s="2">
        <f t="shared" si="1"/>
        <v>0</v>
      </c>
      <c r="F14" s="2">
        <f t="shared" si="0"/>
        <v>100</v>
      </c>
      <c r="I14" s="19"/>
      <c r="J14" s="7" t="s">
        <v>30</v>
      </c>
      <c r="K14" s="2">
        <f>100-SUM($K$9:$K$13)</f>
        <v>30</v>
      </c>
      <c r="L14" s="2">
        <f>$K$2-SUM(L9:L$13)</f>
        <v>6</v>
      </c>
    </row>
    <row r="15" spans="1:15" x14ac:dyDescent="0.25">
      <c r="A15" s="2">
        <v>14</v>
      </c>
      <c r="B15">
        <v>16</v>
      </c>
      <c r="C15">
        <v>246</v>
      </c>
      <c r="D15" s="3">
        <f>IF(Лист1223637[[#This Row],[Итого]]&lt;&gt;"",Лист1223637[[#This Row],[Итого]],"")</f>
        <v>246</v>
      </c>
      <c r="E15" s="2">
        <f t="shared" si="1"/>
        <v>53.25</v>
      </c>
      <c r="F15" s="2">
        <f t="shared" si="0"/>
        <v>46.75</v>
      </c>
    </row>
    <row r="16" spans="1:15" x14ac:dyDescent="0.25">
      <c r="A16" s="2">
        <v>15</v>
      </c>
      <c r="B16">
        <v>17</v>
      </c>
      <c r="C16">
        <v>200</v>
      </c>
      <c r="D16" s="3">
        <f>IF(Лист1223637[[#This Row],[Итого]]&lt;&gt;"",Лист1223637[[#This Row],[Итого]],"")</f>
        <v>200</v>
      </c>
      <c r="E16" s="2">
        <f t="shared" si="1"/>
        <v>43.29</v>
      </c>
      <c r="F16" s="2">
        <f t="shared" si="0"/>
        <v>56.71</v>
      </c>
    </row>
    <row r="17" spans="1:6" x14ac:dyDescent="0.25">
      <c r="A17" s="2">
        <v>16</v>
      </c>
      <c r="B17">
        <v>18</v>
      </c>
      <c r="C17">
        <v>44</v>
      </c>
      <c r="D17" s="3">
        <f>IF(Лист1223637[[#This Row],[Итого]]&lt;&gt;"",Лист1223637[[#This Row],[Итого]],"")</f>
        <v>44</v>
      </c>
      <c r="E17" s="2">
        <f t="shared" si="1"/>
        <v>9.52</v>
      </c>
      <c r="F17" s="2">
        <f t="shared" si="0"/>
        <v>90.48</v>
      </c>
    </row>
    <row r="18" spans="1:6" x14ac:dyDescent="0.25">
      <c r="A18" s="2">
        <v>17</v>
      </c>
      <c r="B18">
        <v>19</v>
      </c>
      <c r="C18">
        <v>52</v>
      </c>
      <c r="D18" s="3">
        <f>IF(Лист1223637[[#This Row],[Итого]]&lt;&gt;"",Лист1223637[[#This Row],[Итого]],"")</f>
        <v>52</v>
      </c>
      <c r="E18" s="2">
        <f t="shared" si="1"/>
        <v>11.26</v>
      </c>
      <c r="F18" s="2">
        <f t="shared" si="0"/>
        <v>88.74</v>
      </c>
    </row>
    <row r="19" spans="1:6" x14ac:dyDescent="0.25">
      <c r="A19" s="2">
        <v>18</v>
      </c>
      <c r="B19">
        <v>20</v>
      </c>
      <c r="C19">
        <v>62</v>
      </c>
      <c r="D19" s="3">
        <f>IF(Лист1223637[[#This Row],[Итого]]&lt;&gt;"",Лист1223637[[#This Row],[Итого]],"")</f>
        <v>62</v>
      </c>
      <c r="E19" s="2">
        <f t="shared" si="1"/>
        <v>13.42</v>
      </c>
      <c r="F19" s="2">
        <f t="shared" si="0"/>
        <v>86.58</v>
      </c>
    </row>
    <row r="20" spans="1:6" x14ac:dyDescent="0.25">
      <c r="A20" s="2">
        <v>19</v>
      </c>
      <c r="B20">
        <v>21</v>
      </c>
      <c r="C20">
        <v>34</v>
      </c>
      <c r="D20" s="3">
        <f>IF(Лист1223637[[#This Row],[Итого]]&lt;&gt;"",Лист1223637[[#This Row],[Итого]],"")</f>
        <v>34</v>
      </c>
      <c r="E20" s="2">
        <f t="shared" si="1"/>
        <v>7.36</v>
      </c>
      <c r="F20" s="2">
        <f t="shared" si="0"/>
        <v>92.64</v>
      </c>
    </row>
    <row r="21" spans="1:6" x14ac:dyDescent="0.25">
      <c r="A21" s="2">
        <v>20</v>
      </c>
      <c r="B21">
        <v>22</v>
      </c>
      <c r="C21">
        <v>417</v>
      </c>
      <c r="D21" s="3">
        <f>IF(Лист1223637[[#This Row],[Итого]]&lt;&gt;"",Лист1223637[[#This Row],[Итого]],"")</f>
        <v>417</v>
      </c>
      <c r="E21" s="2">
        <f t="shared" si="1"/>
        <v>90.26</v>
      </c>
      <c r="F21" s="2">
        <f t="shared" si="0"/>
        <v>9.7399999999999949</v>
      </c>
    </row>
    <row r="22" spans="1:6" x14ac:dyDescent="0.25">
      <c r="A22" s="2">
        <v>21</v>
      </c>
      <c r="B22">
        <v>23</v>
      </c>
      <c r="D22" s="3" t="str">
        <f>IF(Лист1223637[[#This Row],[Итого]]&lt;&gt;"",Лист1223637[[#This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D23" s="3" t="str">
        <f>IF(Лист1223637[[#This Row],[Итого]]&lt;&gt;"",Лист1223637[[#This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D24" s="3" t="str">
        <f>IF(Лист1223637[[#This Row],[Итого]]&lt;&gt;"",Лист1223637[[#This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IF(Лист1223637[[#This Row],[Итого]]&lt;&gt;"",Лист1223637[[#This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IF(Лист1223637[[#This Row],[Итого]]&lt;&gt;"",Лист1223637[[#This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IF(Лист1223637[[#This Row],[Итого]]&lt;&gt;"",Лист1223637[[#This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IF(Лист1223637[[#This Row],[Итого]]&lt;&gt;"",Лист1223637[[#This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IF(Лист1223637[[#This Row],[Итого]]&lt;&gt;"",Лист1223637[[#This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IF(Лист1223637[[#This Row],[Итого]]&lt;&gt;"",Лист1223637[[#This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IF(Лист1223637[[#This Row],[Итого]]&lt;&gt;"",Лист1223637[[#This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IF(Лист1223637[[#This Row],[Итого]]&lt;&gt;"",Лист1223637[[#This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IF(Лист1223637[[#This Row],[Итого]]&lt;&gt;"",Лист1223637[[#This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IF(Лист1223637[[#This Row],[Итого]]&lt;&gt;"",Лист1223637[[#This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IF(Лист1223637[[#This Row],[Итого]]&lt;&gt;"",Лист1223637[[#This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IF(Лист1223637[[#This Row],[Итого]]&lt;&gt;"",Лист1223637[[#This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IF(Лист1223637[[#This Row],[Итого]]&lt;&gt;"",Лист1223637[[#This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IF(Лист1223637[[#This Row],[Итого]]&lt;&gt;"",Лист1223637[[#This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IF(Лист1223637[[#This Row],[Итого]]&lt;&gt;"",Лист1223637[[#This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IF(Лист1223637[[#This Row],[Итого]]&lt;&gt;"",Лист1223637[[#This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D41" s="3" t="str">
        <f>IF(Лист1223637[[#This Row],[Итого]]&lt;&gt;"",Лист1223637[[#This Row],[Итого]],"")</f>
        <v/>
      </c>
      <c r="E41" s="2" t="str">
        <f t="shared" si="1"/>
        <v/>
      </c>
      <c r="F41" s="2" t="str">
        <f t="shared" si="0"/>
        <v/>
      </c>
    </row>
    <row r="42" spans="1:7" x14ac:dyDescent="0.25">
      <c r="A42" t="s">
        <v>40</v>
      </c>
      <c r="D42" s="17">
        <f>SUM(D2:D41)</f>
        <v>2665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4EFF-0FE4-49D0-9692-205D21889E03}">
  <dimension ref="A1:O42"/>
  <sheetViews>
    <sheetView topLeftCell="A4" zoomScale="55" zoomScaleNormal="55" workbookViewId="0">
      <selection activeCell="B1" sqref="B1:C41"/>
    </sheetView>
  </sheetViews>
  <sheetFormatPr defaultRowHeight="15" x14ac:dyDescent="0.25"/>
  <cols>
    <col min="2" max="2" width="11.7109375" bestFit="1" customWidth="1"/>
    <col min="3" max="3" width="10.42578125" bestFit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[5]Лист1!$R$2</f>
        <v>216</v>
      </c>
      <c r="L1" s="2" t="s">
        <v>36</v>
      </c>
      <c r="M1" s="2" t="str">
        <f ca="1">MID(CELL("filename",A2),SEARCH("]",CELL("filename",A2))+1,31)</f>
        <v>ЭЖД-55у</v>
      </c>
    </row>
    <row r="2" spans="1:15" x14ac:dyDescent="0.25">
      <c r="A2" s="2">
        <v>1</v>
      </c>
      <c r="B2">
        <v>3</v>
      </c>
      <c r="C2">
        <v>38</v>
      </c>
      <c r="D2" s="3">
        <f>IF(Лист122363738[[#This Row],[Итого]]&lt;&gt;"",Лист122363738[[#This Row],[Итого]],"")</f>
        <v>38</v>
      </c>
      <c r="E2" s="2">
        <f>IF(D2&lt;&gt;"",ROUND(D2/$K$1/2*100,2),"")</f>
        <v>8.8000000000000007</v>
      </c>
      <c r="F2" s="2">
        <f>IF(E2&lt;&gt;"",100-E2,"")</f>
        <v>91.2</v>
      </c>
      <c r="J2" s="8" t="s">
        <v>11</v>
      </c>
      <c r="K2" s="8">
        <f>COUNT(D2:D41)</f>
        <v>16</v>
      </c>
      <c r="L2" s="2" t="s">
        <v>37</v>
      </c>
      <c r="M2" s="2">
        <f>[5]Лист1!$U$1</f>
        <v>16</v>
      </c>
      <c r="O2" s="18"/>
    </row>
    <row r="3" spans="1:15" x14ac:dyDescent="0.25">
      <c r="A3" s="2">
        <v>2</v>
      </c>
      <c r="B3">
        <v>4</v>
      </c>
      <c r="D3" s="3" t="str">
        <f>IF(Лист122363738[[#This Row],[Итого]]&lt;&gt;"",Лист122363738[[#This Row],[Итого]],"")</f>
        <v/>
      </c>
      <c r="E3" s="2" t="str">
        <f>IF(D3&lt;&gt;"",ROUND(D3/$K$1/2*100,2),"")</f>
        <v/>
      </c>
      <c r="F3" s="2" t="str">
        <f t="shared" ref="F3:F41" si="0">IF(E3&lt;&gt;"",100-E3,"")</f>
        <v/>
      </c>
      <c r="I3" s="19" t="s">
        <v>33</v>
      </c>
      <c r="J3" s="4" t="s">
        <v>3</v>
      </c>
      <c r="K3" s="2">
        <f>ROUND(L3/$K$2*100,0)</f>
        <v>63</v>
      </c>
      <c r="L3" s="9">
        <f>K2-SUM($L$4:$L$7)</f>
        <v>10</v>
      </c>
    </row>
    <row r="4" spans="1:15" ht="26.25" x14ac:dyDescent="0.25">
      <c r="A4" s="2">
        <v>3</v>
      </c>
      <c r="B4">
        <v>5</v>
      </c>
      <c r="D4" s="3" t="str">
        <f>IF(Лист122363738[[#This Row],[Итого]]&lt;&gt;"",Лист122363738[[#This Row],[Итого]],"")</f>
        <v/>
      </c>
      <c r="E4" s="2" t="str">
        <f t="shared" ref="E4:E41" si="1">IF(D4&lt;&gt;"",ROUND(D4/$K$1/2*100,2),"")</f>
        <v/>
      </c>
      <c r="F4" s="2" t="str">
        <f t="shared" si="0"/>
        <v/>
      </c>
      <c r="I4" s="19"/>
      <c r="J4" s="4" t="s">
        <v>4</v>
      </c>
      <c r="K4" s="2">
        <f t="shared" ref="K4:K6" si="2">ROUND(L4/$K$2*100,0)</f>
        <v>25</v>
      </c>
      <c r="L4" s="2">
        <f t="array" ref="L4">SUM(($E$2:$E$37&gt;=10)*(($E$2:$E$37)&lt;30))</f>
        <v>4</v>
      </c>
    </row>
    <row r="5" spans="1:15" ht="26.25" x14ac:dyDescent="0.25">
      <c r="A5" s="2">
        <v>4</v>
      </c>
      <c r="B5">
        <v>6</v>
      </c>
      <c r="D5" s="3" t="str">
        <f>IF(Лист122363738[[#This Row],[Итого]]&lt;&gt;"",Лист122363738[[#This Row],[Итого]],"")</f>
        <v/>
      </c>
      <c r="E5" s="2" t="str">
        <f t="shared" si="1"/>
        <v/>
      </c>
      <c r="F5" s="2" t="str">
        <f t="shared" si="0"/>
        <v/>
      </c>
      <c r="I5" s="19"/>
      <c r="J5" s="4" t="s">
        <v>5</v>
      </c>
      <c r="K5" s="2">
        <f t="shared" si="2"/>
        <v>0</v>
      </c>
      <c r="L5" s="2">
        <f t="array" ref="L5">SUM(($E$2:$E$37&gt;=30)*(($E$2:$E$37)&lt;50))</f>
        <v>0</v>
      </c>
    </row>
    <row r="6" spans="1:15" ht="26.25" x14ac:dyDescent="0.25">
      <c r="A6" s="2">
        <v>5</v>
      </c>
      <c r="B6">
        <v>7</v>
      </c>
      <c r="D6" s="3" t="str">
        <f>IF(Лист122363738[[#This Row],[Итого]]&lt;&gt;"",Лист122363738[[#This Row],[Итого]],"")</f>
        <v/>
      </c>
      <c r="E6" s="2" t="str">
        <f t="shared" si="1"/>
        <v/>
      </c>
      <c r="F6" s="2" t="str">
        <f t="shared" si="0"/>
        <v/>
      </c>
      <c r="I6" s="19"/>
      <c r="J6" s="4" t="s">
        <v>6</v>
      </c>
      <c r="K6" s="2">
        <f t="shared" si="2"/>
        <v>6</v>
      </c>
      <c r="L6" s="2">
        <f t="array" ref="L6">SUM(($E$2:$E$37&gt;=50)*(($E$2:$E$37)&lt;70))</f>
        <v>1</v>
      </c>
    </row>
    <row r="7" spans="1:15" ht="26.25" x14ac:dyDescent="0.25">
      <c r="A7" s="2">
        <v>6</v>
      </c>
      <c r="B7">
        <v>8</v>
      </c>
      <c r="C7">
        <v>38</v>
      </c>
      <c r="D7" s="3">
        <f>IF(Лист122363738[[#This Row],[Итого]]&lt;&gt;"",Лист122363738[[#This Row],[Итого]],"")</f>
        <v>38</v>
      </c>
      <c r="E7" s="2">
        <f t="shared" si="1"/>
        <v>8.8000000000000007</v>
      </c>
      <c r="F7" s="2">
        <f t="shared" si="0"/>
        <v>91.2</v>
      </c>
      <c r="I7" s="19"/>
      <c r="J7" s="4" t="s">
        <v>7</v>
      </c>
      <c r="K7" s="2">
        <f>100-SUM($K$3:$K$6)</f>
        <v>6</v>
      </c>
      <c r="L7" s="2">
        <f t="array" ref="L7">SUM(($E$2:$E$37&gt;=70)*(($E$2:$E$37)&lt;100))</f>
        <v>1</v>
      </c>
    </row>
    <row r="8" spans="1:15" x14ac:dyDescent="0.25">
      <c r="A8" s="2">
        <v>7</v>
      </c>
      <c r="B8">
        <v>9</v>
      </c>
      <c r="C8">
        <v>242</v>
      </c>
      <c r="D8" s="3">
        <f>IF(Лист122363738[[#This Row],[Итого]]&lt;&gt;"",Лист122363738[[#This Row],[Итого]],"")</f>
        <v>242</v>
      </c>
      <c r="E8" s="2">
        <f t="shared" si="1"/>
        <v>56.02</v>
      </c>
      <c r="F8" s="2">
        <f t="shared" si="0"/>
        <v>43.98</v>
      </c>
    </row>
    <row r="9" spans="1:15" x14ac:dyDescent="0.25">
      <c r="A9" s="2">
        <v>8</v>
      </c>
      <c r="B9">
        <v>10</v>
      </c>
      <c r="C9">
        <v>32</v>
      </c>
      <c r="D9" s="3">
        <f>IF(Лист122363738[[#This Row],[Итого]]&lt;&gt;"",Лист122363738[[#This Row],[Итого]],"")</f>
        <v>32</v>
      </c>
      <c r="E9" s="2">
        <f t="shared" si="1"/>
        <v>7.41</v>
      </c>
      <c r="F9" s="2">
        <f t="shared" si="0"/>
        <v>92.59</v>
      </c>
      <c r="K9" t="s">
        <v>31</v>
      </c>
    </row>
    <row r="10" spans="1:15" ht="26.25" x14ac:dyDescent="0.25">
      <c r="A10" s="2">
        <v>9</v>
      </c>
      <c r="B10">
        <v>11</v>
      </c>
      <c r="D10" s="3" t="str">
        <f>IF(Лист122363738[[#This Row],[Итого]]&lt;&gt;"",Лист122363738[[#This Row],[Итого]],"")</f>
        <v/>
      </c>
      <c r="E10" s="2" t="str">
        <f t="shared" si="1"/>
        <v/>
      </c>
      <c r="F10" s="2" t="str">
        <f t="shared" si="0"/>
        <v/>
      </c>
      <c r="I10" s="19" t="s">
        <v>34</v>
      </c>
      <c r="J10" s="4" t="s">
        <v>42</v>
      </c>
      <c r="K10" s="2">
        <f t="shared" ref="K10:K13" si="3">ROUND(L10/$K$2*100,0)</f>
        <v>6</v>
      </c>
      <c r="L10" s="2">
        <f t="array" ref="L10">SUM(($F$2:$F$37&gt;=0)*(($F$2:$F$37)&lt;30))</f>
        <v>1</v>
      </c>
    </row>
    <row r="11" spans="1:15" ht="26.25" x14ac:dyDescent="0.25">
      <c r="A11" s="2">
        <v>10</v>
      </c>
      <c r="B11">
        <v>12</v>
      </c>
      <c r="C11">
        <v>22</v>
      </c>
      <c r="D11" s="3">
        <f>IF(Лист122363738[[#This Row],[Итого]]&lt;&gt;"",Лист122363738[[#This Row],[Итого]],"")</f>
        <v>22</v>
      </c>
      <c r="E11" s="2">
        <f t="shared" si="1"/>
        <v>5.09</v>
      </c>
      <c r="F11" s="2">
        <f t="shared" si="0"/>
        <v>94.91</v>
      </c>
      <c r="I11" s="19"/>
      <c r="J11" s="4" t="s">
        <v>5</v>
      </c>
      <c r="K11" s="2">
        <f t="shared" si="3"/>
        <v>6</v>
      </c>
      <c r="L11" s="2">
        <f t="array" ref="L11">SUM(($F$2:$F$37&gt;=30)*(($F$2:$F$37)&lt;50))</f>
        <v>1</v>
      </c>
    </row>
    <row r="12" spans="1:15" ht="26.25" x14ac:dyDescent="0.25">
      <c r="A12" s="2">
        <v>11</v>
      </c>
      <c r="B12">
        <v>13</v>
      </c>
      <c r="D12" s="3" t="str">
        <f>IF(Лист122363738[[#This Row],[Итого]]&lt;&gt;"",Лист122363738[[#This Row],[Итого]],"")</f>
        <v/>
      </c>
      <c r="E12" s="2" t="str">
        <f t="shared" si="1"/>
        <v/>
      </c>
      <c r="F12" s="2" t="str">
        <f t="shared" si="0"/>
        <v/>
      </c>
      <c r="I12" s="19"/>
      <c r="J12" s="4" t="s">
        <v>28</v>
      </c>
      <c r="K12" s="2">
        <f t="shared" si="3"/>
        <v>6</v>
      </c>
      <c r="L12" s="2">
        <f t="array" ref="L12">SUM(($F$2:$F$37&gt;=50)*(($F$2:$F$37)&lt;75))</f>
        <v>1</v>
      </c>
    </row>
    <row r="13" spans="1:15" ht="26.25" x14ac:dyDescent="0.25">
      <c r="A13" s="2">
        <v>12</v>
      </c>
      <c r="B13">
        <v>14</v>
      </c>
      <c r="D13" s="3" t="str">
        <f>IF(Лист122363738[[#This Row],[Итого]]&lt;&gt;"",Лист122363738[[#This Row],[Итого]],"")</f>
        <v/>
      </c>
      <c r="E13" s="2" t="str">
        <f t="shared" si="1"/>
        <v/>
      </c>
      <c r="F13" s="2" t="str">
        <f t="shared" si="0"/>
        <v/>
      </c>
      <c r="I13" s="19"/>
      <c r="J13" s="4" t="s">
        <v>29</v>
      </c>
      <c r="K13" s="2">
        <f t="shared" si="3"/>
        <v>19</v>
      </c>
      <c r="L13" s="2">
        <f t="array" ref="L13">SUM(($F$2:$F$37&gt;=75)*(($F$2:$F$37)&lt;90))</f>
        <v>3</v>
      </c>
    </row>
    <row r="14" spans="1:15" ht="26.25" x14ac:dyDescent="0.25">
      <c r="A14" s="2">
        <v>13</v>
      </c>
      <c r="B14">
        <v>15</v>
      </c>
      <c r="C14">
        <v>16</v>
      </c>
      <c r="D14" s="3">
        <f>IF(Лист122363738[[#This Row],[Итого]]&lt;&gt;"",Лист122363738[[#This Row],[Итого]],"")</f>
        <v>16</v>
      </c>
      <c r="E14" s="2">
        <f t="shared" si="1"/>
        <v>3.7</v>
      </c>
      <c r="F14" s="2">
        <f t="shared" si="0"/>
        <v>96.3</v>
      </c>
      <c r="I14" s="19"/>
      <c r="J14" s="7" t="s">
        <v>30</v>
      </c>
      <c r="K14" s="2">
        <f>100-SUM($K$9:$K$13)</f>
        <v>63</v>
      </c>
      <c r="L14" s="2">
        <f>$K$2-SUM(L9:L$13)</f>
        <v>10</v>
      </c>
    </row>
    <row r="15" spans="1:15" x14ac:dyDescent="0.25">
      <c r="A15" s="2">
        <v>14</v>
      </c>
      <c r="B15">
        <v>16</v>
      </c>
      <c r="D15" s="3" t="str">
        <f>IF(Лист122363738[[#This Row],[Итого]]&lt;&gt;"",Лист122363738[[#This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C16">
        <v>78</v>
      </c>
      <c r="D16" s="3">
        <f>IF(Лист122363738[[#This Row],[Итого]]&lt;&gt;"",Лист122363738[[#This Row],[Итого]],"")</f>
        <v>78</v>
      </c>
      <c r="E16" s="2">
        <f t="shared" si="1"/>
        <v>18.059999999999999</v>
      </c>
      <c r="F16" s="2">
        <f t="shared" si="0"/>
        <v>81.94</v>
      </c>
    </row>
    <row r="17" spans="1:6" x14ac:dyDescent="0.25">
      <c r="A17" s="2">
        <v>16</v>
      </c>
      <c r="B17">
        <v>18</v>
      </c>
      <c r="D17" s="3" t="str">
        <f>IF(Лист122363738[[#This Row],[Итого]]&lt;&gt;"",Лист122363738[[#This Row],[Итого]],"")</f>
        <v/>
      </c>
      <c r="E17" s="2" t="str">
        <f t="shared" si="1"/>
        <v/>
      </c>
      <c r="F17" s="2" t="str">
        <f t="shared" si="0"/>
        <v/>
      </c>
    </row>
    <row r="18" spans="1:6" x14ac:dyDescent="0.25">
      <c r="A18" s="2">
        <v>17</v>
      </c>
      <c r="B18">
        <v>19</v>
      </c>
      <c r="C18">
        <v>68</v>
      </c>
      <c r="D18" s="3">
        <f>IF(Лист122363738[[#This Row],[Итого]]&lt;&gt;"",Лист122363738[[#This Row],[Итого]],"")</f>
        <v>68</v>
      </c>
      <c r="E18" s="2">
        <f t="shared" si="1"/>
        <v>15.74</v>
      </c>
      <c r="F18" s="2">
        <f t="shared" si="0"/>
        <v>84.26</v>
      </c>
    </row>
    <row r="19" spans="1:6" x14ac:dyDescent="0.25">
      <c r="A19" s="2">
        <v>18</v>
      </c>
      <c r="B19">
        <v>20</v>
      </c>
      <c r="C19">
        <v>56</v>
      </c>
      <c r="D19" s="3">
        <f>IF(Лист122363738[[#This Row],[Итого]]&lt;&gt;"",Лист122363738[[#This Row],[Итого]],"")</f>
        <v>56</v>
      </c>
      <c r="E19" s="2">
        <f t="shared" si="1"/>
        <v>12.96</v>
      </c>
      <c r="F19" s="2">
        <f t="shared" si="0"/>
        <v>87.039999999999992</v>
      </c>
    </row>
    <row r="20" spans="1:6" x14ac:dyDescent="0.25">
      <c r="A20" s="2">
        <v>19</v>
      </c>
      <c r="B20">
        <v>21</v>
      </c>
      <c r="C20">
        <v>2</v>
      </c>
      <c r="D20" s="3">
        <f>IF(Лист122363738[[#This Row],[Итого]]&lt;&gt;"",Лист122363738[[#This Row],[Итого]],"")</f>
        <v>2</v>
      </c>
      <c r="E20" s="2">
        <f t="shared" si="1"/>
        <v>0.46</v>
      </c>
      <c r="F20" s="2">
        <f t="shared" si="0"/>
        <v>99.54</v>
      </c>
    </row>
    <row r="21" spans="1:6" x14ac:dyDescent="0.25">
      <c r="A21" s="2">
        <v>20</v>
      </c>
      <c r="B21">
        <v>22</v>
      </c>
      <c r="C21">
        <v>12</v>
      </c>
      <c r="D21" s="3">
        <f>IF(Лист122363738[[#This Row],[Итого]]&lt;&gt;"",Лист122363738[[#This Row],[Итого]],"")</f>
        <v>12</v>
      </c>
      <c r="E21" s="2">
        <f t="shared" si="1"/>
        <v>2.78</v>
      </c>
      <c r="F21" s="2">
        <f t="shared" si="0"/>
        <v>97.22</v>
      </c>
    </row>
    <row r="22" spans="1:6" x14ac:dyDescent="0.25">
      <c r="A22" s="2">
        <v>21</v>
      </c>
      <c r="B22">
        <v>23</v>
      </c>
      <c r="C22">
        <v>124</v>
      </c>
      <c r="D22" s="3">
        <f>IF(Лист122363738[[#This Row],[Итого]]&lt;&gt;"",Лист122363738[[#This Row],[Итого]],"")</f>
        <v>124</v>
      </c>
      <c r="E22" s="2">
        <f t="shared" si="1"/>
        <v>28.7</v>
      </c>
      <c r="F22" s="2">
        <f t="shared" si="0"/>
        <v>71.3</v>
      </c>
    </row>
    <row r="23" spans="1:6" x14ac:dyDescent="0.25">
      <c r="A23" s="2">
        <v>22</v>
      </c>
      <c r="B23">
        <v>24</v>
      </c>
      <c r="D23" s="3" t="str">
        <f>IF(Лист122363738[[#This Row],[Итого]]&lt;&gt;"",Лист122363738[[#This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C24">
        <v>30</v>
      </c>
      <c r="D24" s="3">
        <f>IF(Лист122363738[[#This Row],[Итого]]&lt;&gt;"",Лист122363738[[#This Row],[Итого]],"")</f>
        <v>30</v>
      </c>
      <c r="E24" s="2">
        <f t="shared" si="1"/>
        <v>6.94</v>
      </c>
      <c r="F24" s="2">
        <f t="shared" si="0"/>
        <v>93.06</v>
      </c>
    </row>
    <row r="25" spans="1:6" x14ac:dyDescent="0.25">
      <c r="A25" s="2">
        <v>24</v>
      </c>
      <c r="B25">
        <v>26</v>
      </c>
      <c r="D25" s="3" t="str">
        <f>IF(Лист122363738[[#This Row],[Итого]]&lt;&gt;"",Лист122363738[[#This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IF(Лист122363738[[#This Row],[Итого]]&lt;&gt;"",Лист122363738[[#This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C27">
        <v>2</v>
      </c>
      <c r="D27" s="3">
        <f>IF(Лист122363738[[#This Row],[Итого]]&lt;&gt;"",Лист122363738[[#This Row],[Итого]],"")</f>
        <v>2</v>
      </c>
      <c r="E27" s="2">
        <f t="shared" si="1"/>
        <v>0.46</v>
      </c>
      <c r="F27" s="2">
        <f t="shared" si="0"/>
        <v>99.54</v>
      </c>
    </row>
    <row r="28" spans="1:6" x14ac:dyDescent="0.25">
      <c r="A28" s="2">
        <v>27</v>
      </c>
      <c r="B28">
        <v>29</v>
      </c>
      <c r="C28">
        <v>348</v>
      </c>
      <c r="D28" s="3">
        <f>IF(Лист122363738[[#This Row],[Итого]]&lt;&gt;"",Лист122363738[[#This Row],[Итого]],"")</f>
        <v>348</v>
      </c>
      <c r="E28" s="2">
        <f t="shared" si="1"/>
        <v>80.56</v>
      </c>
      <c r="F28" s="2">
        <f t="shared" si="0"/>
        <v>19.439999999999998</v>
      </c>
    </row>
    <row r="29" spans="1:6" x14ac:dyDescent="0.25">
      <c r="A29" s="2">
        <v>28</v>
      </c>
      <c r="B29">
        <v>30</v>
      </c>
      <c r="D29" s="3" t="str">
        <f>IF(Лист122363738[[#This Row],[Итого]]&lt;&gt;"",Лист122363738[[#This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IF(Лист122363738[[#This Row],[Итого]]&lt;&gt;"",Лист122363738[[#This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IF(Лист122363738[[#This Row],[Итого]]&lt;&gt;"",Лист122363738[[#This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IF(Лист122363738[[#This Row],[Итого]]&lt;&gt;"",Лист122363738[[#This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IF(Лист122363738[[#This Row],[Итого]]&lt;&gt;"",Лист122363738[[#This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IF(Лист122363738[[#This Row],[Итого]]&lt;&gt;"",Лист122363738[[#This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IF(Лист122363738[[#This Row],[Итого]]&lt;&gt;"",Лист122363738[[#This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IF(Лист122363738[[#This Row],[Итого]]&lt;&gt;"",Лист122363738[[#This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IF(Лист122363738[[#This Row],[Итого]]&lt;&gt;"",Лист122363738[[#This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IF(Лист122363738[[#This Row],[Итого]]&lt;&gt;"",Лист122363738[[#This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IF(Лист122363738[[#This Row],[Итого]]&lt;&gt;"",Лист122363738[[#This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IF(Лист122363738[[#This Row],[Итого]]&lt;&gt;"",Лист122363738[[#This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94</v>
      </c>
      <c r="D41" s="3">
        <f>IF(Лист122363738[[#This Row],[Итого]]&lt;&gt;"",Лист122363738[[#This Row],[Итого]],"")</f>
        <v>94</v>
      </c>
      <c r="E41" s="2">
        <f t="shared" si="1"/>
        <v>21.76</v>
      </c>
      <c r="F41" s="2">
        <f t="shared" si="0"/>
        <v>78.239999999999995</v>
      </c>
    </row>
    <row r="42" spans="1:7" x14ac:dyDescent="0.25">
      <c r="A42" t="s">
        <v>40</v>
      </c>
      <c r="D42" s="17">
        <f>SUM(D2:D41)</f>
        <v>1202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AE1DA-3290-49BE-98FE-3446DE05BEA4}">
  <dimension ref="A1:O42"/>
  <sheetViews>
    <sheetView workbookViewId="0">
      <selection activeCell="D42" sqref="D42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[6]Лист1!$R$2</f>
        <v>214</v>
      </c>
      <c r="L1" s="2" t="s">
        <v>36</v>
      </c>
      <c r="M1" s="2" t="str">
        <f ca="1">MID(CELL("filename",A2),SEARCH("]",CELL("filename",A2))+1,31)</f>
        <v>ЭЖД-56у</v>
      </c>
    </row>
    <row r="2" spans="1:15" x14ac:dyDescent="0.25">
      <c r="A2" s="2">
        <v>1</v>
      </c>
      <c r="B2">
        <v>3</v>
      </c>
      <c r="C2">
        <v>140</v>
      </c>
      <c r="D2" s="3">
        <f>IF(Лист12236373839[[#This Row],[Итого]]&lt;&gt;"",Лист12236373839[[#This Row],[Итого]],"")</f>
        <v>140</v>
      </c>
      <c r="E2" s="2">
        <f>IF(D2&lt;&gt;"",ROUND(D2/$K$1/2*100,2),"")</f>
        <v>32.71</v>
      </c>
      <c r="F2" s="2">
        <f>IF(E2&lt;&gt;"",100-E2,"")</f>
        <v>67.289999999999992</v>
      </c>
      <c r="J2" s="8" t="s">
        <v>11</v>
      </c>
      <c r="K2" s="8">
        <f>COUNT(D2:D41)</f>
        <v>17</v>
      </c>
      <c r="L2" s="2" t="s">
        <v>37</v>
      </c>
      <c r="M2" s="2">
        <f>[6]Лист1!$U$1</f>
        <v>16</v>
      </c>
      <c r="O2" s="18"/>
    </row>
    <row r="3" spans="1:15" x14ac:dyDescent="0.25">
      <c r="A3" s="2">
        <v>2</v>
      </c>
      <c r="B3">
        <v>4</v>
      </c>
      <c r="C3">
        <v>92</v>
      </c>
      <c r="D3" s="3">
        <f>IF(Лист12236373839[[#This Row],[Итого]]&lt;&gt;"",Лист12236373839[[#This Row],[Итого]],"")</f>
        <v>92</v>
      </c>
      <c r="E3" s="2">
        <f>IF(D3&lt;&gt;"",ROUND(D3/$K$1/2*100,2),"")</f>
        <v>21.5</v>
      </c>
      <c r="F3" s="2">
        <f t="shared" ref="F3:F41" si="0">IF(E3&lt;&gt;"",100-E3,"")</f>
        <v>78.5</v>
      </c>
      <c r="I3" s="19" t="s">
        <v>33</v>
      </c>
      <c r="J3" s="4" t="s">
        <v>3</v>
      </c>
      <c r="K3" s="2">
        <f>ROUND(L3/$K$2*100,0)</f>
        <v>29</v>
      </c>
      <c r="L3" s="9">
        <f>K2-SUM($L$4:$L$7)</f>
        <v>5</v>
      </c>
    </row>
    <row r="4" spans="1:15" ht="26.25" x14ac:dyDescent="0.25">
      <c r="A4" s="2">
        <v>3</v>
      </c>
      <c r="B4">
        <v>5</v>
      </c>
      <c r="C4">
        <v>76</v>
      </c>
      <c r="D4" s="3">
        <f>IF(Лист12236373839[[#This Row],[Итого]]&lt;&gt;"",Лист12236373839[[#This Row],[Итого]],"")</f>
        <v>76</v>
      </c>
      <c r="E4" s="2">
        <f t="shared" ref="E4:E41" si="1">IF(D4&lt;&gt;"",ROUND(D4/$K$1/2*100,2),"")</f>
        <v>17.760000000000002</v>
      </c>
      <c r="F4" s="2">
        <f t="shared" si="0"/>
        <v>82.24</v>
      </c>
      <c r="I4" s="19"/>
      <c r="J4" s="4" t="s">
        <v>4</v>
      </c>
      <c r="K4" s="2">
        <f t="shared" ref="K4:K6" si="2">ROUND(L4/$K$2*100,0)</f>
        <v>53</v>
      </c>
      <c r="L4" s="2">
        <f t="array" ref="L4">SUM(($E$2:$E$37&gt;=10)*(($E$2:$E$37)&lt;30))</f>
        <v>9</v>
      </c>
    </row>
    <row r="5" spans="1:15" ht="26.25" x14ac:dyDescent="0.25">
      <c r="A5" s="2">
        <v>4</v>
      </c>
      <c r="B5">
        <v>6</v>
      </c>
      <c r="C5">
        <v>126</v>
      </c>
      <c r="D5" s="3">
        <f>IF(Лист12236373839[[#This Row],[Итого]]&lt;&gt;"",Лист12236373839[[#This Row],[Итого]],"")</f>
        <v>126</v>
      </c>
      <c r="E5" s="2">
        <f t="shared" si="1"/>
        <v>29.44</v>
      </c>
      <c r="F5" s="2">
        <f t="shared" si="0"/>
        <v>70.56</v>
      </c>
      <c r="I5" s="19"/>
      <c r="J5" s="4" t="s">
        <v>5</v>
      </c>
      <c r="K5" s="2">
        <f t="shared" si="2"/>
        <v>12</v>
      </c>
      <c r="L5" s="2">
        <f t="array" ref="L5">SUM(($E$2:$E$37&gt;=30)*(($E$2:$E$37)&lt;50))</f>
        <v>2</v>
      </c>
    </row>
    <row r="6" spans="1:15" ht="26.25" x14ac:dyDescent="0.25">
      <c r="A6" s="2">
        <v>5</v>
      </c>
      <c r="B6">
        <v>7</v>
      </c>
      <c r="C6">
        <v>46</v>
      </c>
      <c r="D6" s="3">
        <f>IF(Лист12236373839[[#This Row],[Итого]]&lt;&gt;"",Лист12236373839[[#This Row],[Итого]],"")</f>
        <v>46</v>
      </c>
      <c r="E6" s="2">
        <f t="shared" si="1"/>
        <v>10.75</v>
      </c>
      <c r="F6" s="2">
        <f t="shared" si="0"/>
        <v>89.25</v>
      </c>
      <c r="I6" s="19"/>
      <c r="J6" s="4" t="s">
        <v>6</v>
      </c>
      <c r="K6" s="2">
        <f t="shared" si="2"/>
        <v>6</v>
      </c>
      <c r="L6" s="2">
        <f t="array" ref="L6">SUM(($E$2:$E$37&gt;=50)*(($E$2:$E$37)&lt;70))</f>
        <v>1</v>
      </c>
    </row>
    <row r="7" spans="1:15" ht="26.25" x14ac:dyDescent="0.25">
      <c r="A7" s="2">
        <v>6</v>
      </c>
      <c r="B7">
        <v>8</v>
      </c>
      <c r="C7">
        <v>164</v>
      </c>
      <c r="D7" s="3">
        <f>IF(Лист12236373839[[#This Row],[Итого]]&lt;&gt;"",Лист12236373839[[#This Row],[Итого]],"")</f>
        <v>164</v>
      </c>
      <c r="E7" s="2">
        <f t="shared" si="1"/>
        <v>38.32</v>
      </c>
      <c r="F7" s="2">
        <f t="shared" si="0"/>
        <v>61.68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C8">
        <v>4</v>
      </c>
      <c r="D8" s="3">
        <f>IF(Лист12236373839[[#This Row],[Итого]]&lt;&gt;"",Лист12236373839[[#This Row],[Итого]],"")</f>
        <v>4</v>
      </c>
      <c r="E8" s="2">
        <f t="shared" si="1"/>
        <v>0.93</v>
      </c>
      <c r="F8" s="2">
        <f t="shared" si="0"/>
        <v>99.07</v>
      </c>
    </row>
    <row r="9" spans="1:15" x14ac:dyDescent="0.25">
      <c r="A9" s="2">
        <v>8</v>
      </c>
      <c r="B9">
        <v>10</v>
      </c>
      <c r="C9">
        <v>4</v>
      </c>
      <c r="D9" s="3">
        <f>IF(Лист12236373839[[#This Row],[Итого]]&lt;&gt;"",Лист12236373839[[#This Row],[Итого]],"")</f>
        <v>4</v>
      </c>
      <c r="E9" s="2">
        <f t="shared" si="1"/>
        <v>0.93</v>
      </c>
      <c r="F9" s="2">
        <f t="shared" si="0"/>
        <v>99.07</v>
      </c>
      <c r="K9" t="s">
        <v>31</v>
      </c>
    </row>
    <row r="10" spans="1:15" ht="26.25" x14ac:dyDescent="0.25">
      <c r="A10" s="2">
        <v>9</v>
      </c>
      <c r="B10">
        <v>11</v>
      </c>
      <c r="C10">
        <v>82</v>
      </c>
      <c r="D10" s="3">
        <f>IF(Лист12236373839[[#This Row],[Итого]]&lt;&gt;"",Лист12236373839[[#This Row],[Итого]],"")</f>
        <v>82</v>
      </c>
      <c r="E10" s="2">
        <f t="shared" si="1"/>
        <v>19.16</v>
      </c>
      <c r="F10" s="2">
        <f t="shared" si="0"/>
        <v>80.84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D11" s="3" t="str">
        <f>IF(Лист12236373839[[#This Row],[Итого]]&lt;&gt;"",Лист12236373839[[#This Row],[Итого]],"")</f>
        <v/>
      </c>
      <c r="E11" s="2" t="str">
        <f t="shared" si="1"/>
        <v/>
      </c>
      <c r="F11" s="2" t="str">
        <f t="shared" si="0"/>
        <v/>
      </c>
      <c r="I11" s="19"/>
      <c r="J11" s="4" t="s">
        <v>5</v>
      </c>
      <c r="K11" s="2">
        <f t="shared" si="3"/>
        <v>6</v>
      </c>
      <c r="L11" s="2">
        <f t="array" ref="L11">SUM(($F$2:$F$37&gt;=30)*(($F$2:$F$37)&lt;50))</f>
        <v>1</v>
      </c>
    </row>
    <row r="12" spans="1:15" ht="26.25" x14ac:dyDescent="0.25">
      <c r="A12" s="2">
        <v>11</v>
      </c>
      <c r="B12">
        <v>13</v>
      </c>
      <c r="C12">
        <v>8</v>
      </c>
      <c r="D12" s="3">
        <f>IF(Лист12236373839[[#This Row],[Итого]]&lt;&gt;"",Лист12236373839[[#This Row],[Итого]],"")</f>
        <v>8</v>
      </c>
      <c r="E12" s="2">
        <f t="shared" si="1"/>
        <v>1.87</v>
      </c>
      <c r="F12" s="2">
        <f t="shared" si="0"/>
        <v>98.13</v>
      </c>
      <c r="I12" s="19"/>
      <c r="J12" s="4" t="s">
        <v>28</v>
      </c>
      <c r="K12" s="2">
        <f t="shared" si="3"/>
        <v>24</v>
      </c>
      <c r="L12" s="2">
        <f t="array" ref="L12">SUM(($F$2:$F$37&gt;=50)*(($F$2:$F$37)&lt;75))</f>
        <v>4</v>
      </c>
    </row>
    <row r="13" spans="1:15" ht="26.25" x14ac:dyDescent="0.25">
      <c r="A13" s="2">
        <v>12</v>
      </c>
      <c r="B13">
        <v>14</v>
      </c>
      <c r="C13">
        <v>92</v>
      </c>
      <c r="D13" s="3">
        <f>IF(Лист12236373839[[#This Row],[Итого]]&lt;&gt;"",Лист12236373839[[#This Row],[Итого]],"")</f>
        <v>92</v>
      </c>
      <c r="E13" s="2">
        <f t="shared" si="1"/>
        <v>21.5</v>
      </c>
      <c r="F13" s="2">
        <f t="shared" si="0"/>
        <v>78.5</v>
      </c>
      <c r="I13" s="19"/>
      <c r="J13" s="4" t="s">
        <v>29</v>
      </c>
      <c r="K13" s="2">
        <f t="shared" si="3"/>
        <v>41</v>
      </c>
      <c r="L13" s="2">
        <f t="array" ref="L13">SUM(($F$2:$F$37&gt;=75)*(($F$2:$F$37)&lt;90))</f>
        <v>7</v>
      </c>
    </row>
    <row r="14" spans="1:15" ht="26.25" x14ac:dyDescent="0.25">
      <c r="A14" s="2">
        <v>13</v>
      </c>
      <c r="B14">
        <v>15</v>
      </c>
      <c r="C14">
        <v>38</v>
      </c>
      <c r="D14" s="3">
        <f>IF(Лист12236373839[[#This Row],[Итого]]&lt;&gt;"",Лист12236373839[[#This Row],[Итого]],"")</f>
        <v>38</v>
      </c>
      <c r="E14" s="2">
        <f t="shared" si="1"/>
        <v>8.8800000000000008</v>
      </c>
      <c r="F14" s="2">
        <f t="shared" si="0"/>
        <v>91.12</v>
      </c>
      <c r="I14" s="19"/>
      <c r="J14" s="7" t="s">
        <v>30</v>
      </c>
      <c r="K14" s="2">
        <f>100-SUM($K$9:$K$13)</f>
        <v>29</v>
      </c>
      <c r="L14" s="2">
        <f>$K$2-SUM(L9:L$13)</f>
        <v>5</v>
      </c>
    </row>
    <row r="15" spans="1:15" x14ac:dyDescent="0.25">
      <c r="A15" s="2">
        <v>14</v>
      </c>
      <c r="B15">
        <v>16</v>
      </c>
      <c r="C15">
        <v>56</v>
      </c>
      <c r="D15" s="3">
        <f>IF(Лист12236373839[[#This Row],[Итого]]&lt;&gt;"",Лист12236373839[[#This Row],[Итого]],"")</f>
        <v>56</v>
      </c>
      <c r="E15" s="2">
        <f t="shared" si="1"/>
        <v>13.08</v>
      </c>
      <c r="F15" s="2">
        <f t="shared" si="0"/>
        <v>86.92</v>
      </c>
    </row>
    <row r="16" spans="1:15" x14ac:dyDescent="0.25">
      <c r="A16" s="2">
        <v>15</v>
      </c>
      <c r="B16">
        <v>17</v>
      </c>
      <c r="C16">
        <v>82</v>
      </c>
      <c r="D16" s="3">
        <f>IF(Лист12236373839[[#This Row],[Итого]]&lt;&gt;"",Лист12236373839[[#This Row],[Итого]],"")</f>
        <v>82</v>
      </c>
      <c r="E16" s="2">
        <f t="shared" si="1"/>
        <v>19.16</v>
      </c>
      <c r="F16" s="2">
        <f t="shared" si="0"/>
        <v>80.84</v>
      </c>
    </row>
    <row r="17" spans="1:6" x14ac:dyDescent="0.25">
      <c r="A17" s="2">
        <v>16</v>
      </c>
      <c r="B17">
        <v>18</v>
      </c>
      <c r="C17">
        <v>126</v>
      </c>
      <c r="D17" s="3">
        <f>IF(Лист12236373839[[#This Row],[Итого]]&lt;&gt;"",Лист12236373839[[#This Row],[Итого]],"")</f>
        <v>126</v>
      </c>
      <c r="E17" s="2">
        <f t="shared" si="1"/>
        <v>29.44</v>
      </c>
      <c r="F17" s="2">
        <f t="shared" si="0"/>
        <v>70.56</v>
      </c>
    </row>
    <row r="18" spans="1:6" x14ac:dyDescent="0.25">
      <c r="A18" s="2">
        <v>17</v>
      </c>
      <c r="B18">
        <v>19</v>
      </c>
      <c r="C18">
        <v>298</v>
      </c>
      <c r="D18" s="3">
        <f>IF(Лист12236373839[[#This Row],[Итого]]&lt;&gt;"",Лист12236373839[[#This Row],[Итого]],"")</f>
        <v>298</v>
      </c>
      <c r="E18" s="2">
        <f t="shared" si="1"/>
        <v>69.63</v>
      </c>
      <c r="F18" s="2">
        <f t="shared" si="0"/>
        <v>30.370000000000005</v>
      </c>
    </row>
    <row r="19" spans="1:6" x14ac:dyDescent="0.25">
      <c r="A19" s="2">
        <v>18</v>
      </c>
      <c r="B19">
        <v>20</v>
      </c>
      <c r="D19" s="3" t="str">
        <f>IF(Лист12236373839[[#This Row],[Итого]]&lt;&gt;"",Лист12236373839[[#This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D20" s="3" t="str">
        <f>IF(Лист12236373839[[#This Row],[Итого]]&lt;&gt;"",Лист12236373839[[#This Row],[Итого]],"")</f>
        <v/>
      </c>
      <c r="E20" s="2" t="str">
        <f t="shared" si="1"/>
        <v/>
      </c>
      <c r="F20" s="2" t="str">
        <f t="shared" si="0"/>
        <v/>
      </c>
    </row>
    <row r="21" spans="1:6" x14ac:dyDescent="0.25">
      <c r="A21" s="2">
        <v>20</v>
      </c>
      <c r="B21">
        <v>22</v>
      </c>
      <c r="D21" s="3" t="str">
        <f>IF(Лист12236373839[[#This Row],[Итого]]&lt;&gt;"",Лист12236373839[[#This Row],[Итого]],"")</f>
        <v/>
      </c>
      <c r="E21" s="2" t="str">
        <f t="shared" si="1"/>
        <v/>
      </c>
      <c r="F21" s="2" t="str">
        <f t="shared" si="0"/>
        <v/>
      </c>
    </row>
    <row r="22" spans="1:6" x14ac:dyDescent="0.25">
      <c r="A22" s="2">
        <v>21</v>
      </c>
      <c r="B22">
        <v>23</v>
      </c>
      <c r="D22" s="3" t="str">
        <f>IF(Лист12236373839[[#This Row],[Итого]]&lt;&gt;"",Лист12236373839[[#This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D23" s="3" t="str">
        <f>IF(Лист12236373839[[#This Row],[Итого]]&lt;&gt;"",Лист12236373839[[#This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D24" s="3" t="str">
        <f>IF(Лист12236373839[[#This Row],[Итого]]&lt;&gt;"",Лист12236373839[[#This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IF(Лист12236373839[[#This Row],[Итого]]&lt;&gt;"",Лист12236373839[[#This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IF(Лист12236373839[[#This Row],[Итого]]&lt;&gt;"",Лист12236373839[[#This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IF(Лист12236373839[[#This Row],[Итого]]&lt;&gt;"",Лист12236373839[[#This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IF(Лист12236373839[[#This Row],[Итого]]&lt;&gt;"",Лист12236373839[[#This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IF(Лист12236373839[[#This Row],[Итого]]&lt;&gt;"",Лист12236373839[[#This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IF(Лист12236373839[[#This Row],[Итого]]&lt;&gt;"",Лист12236373839[[#This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IF(Лист12236373839[[#This Row],[Итого]]&lt;&gt;"",Лист12236373839[[#This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IF(Лист12236373839[[#This Row],[Итого]]&lt;&gt;"",Лист12236373839[[#This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IF(Лист12236373839[[#This Row],[Итого]]&lt;&gt;"",Лист12236373839[[#This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IF(Лист12236373839[[#This Row],[Итого]]&lt;&gt;"",Лист12236373839[[#This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IF(Лист12236373839[[#This Row],[Итого]]&lt;&gt;"",Лист12236373839[[#This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IF(Лист12236373839[[#This Row],[Итого]]&lt;&gt;"",Лист12236373839[[#This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IF(Лист12236373839[[#This Row],[Итого]]&lt;&gt;"",Лист12236373839[[#This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IF(Лист12236373839[[#This Row],[Итого]]&lt;&gt;"",Лист12236373839[[#This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IF(Лист12236373839[[#This Row],[Итого]]&lt;&gt;"",Лист12236373839[[#This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IF(Лист12236373839[[#This Row],[Итого]]&lt;&gt;"",Лист12236373839[[#This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256</v>
      </c>
      <c r="D41" s="3">
        <f>IF(Лист12236373839[[#This Row],[Итого]]&lt;&gt;"",Лист12236373839[[#This Row],[Итого]],"")</f>
        <v>256</v>
      </c>
      <c r="E41" s="2">
        <f t="shared" si="1"/>
        <v>59.81</v>
      </c>
      <c r="F41" s="2">
        <f t="shared" si="0"/>
        <v>40.19</v>
      </c>
    </row>
    <row r="42" spans="1:7" x14ac:dyDescent="0.25">
      <c r="A42" t="s">
        <v>40</v>
      </c>
      <c r="D42" s="17">
        <f>SUM(D2:D41)</f>
        <v>1690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D1355-58AE-4664-959E-E4018FAFEE04}">
  <dimension ref="A1:O42"/>
  <sheetViews>
    <sheetView workbookViewId="0">
      <selection activeCell="O5" sqref="O5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[7]Лист1!$R$2</f>
        <v>212</v>
      </c>
      <c r="L1" s="2" t="s">
        <v>36</v>
      </c>
      <c r="M1" s="2" t="str">
        <f ca="1">MID(CELL("filename",A2),SEARCH("]",CELL("filename",A2))+1,31)</f>
        <v>ЭЖД-57у</v>
      </c>
    </row>
    <row r="2" spans="1:15" x14ac:dyDescent="0.25">
      <c r="A2" s="2">
        <v>1</v>
      </c>
      <c r="B2">
        <v>3</v>
      </c>
      <c r="C2">
        <v>68</v>
      </c>
      <c r="D2" s="3">
        <f>IF(Лист1223637383940[[#This Row],[Итого]]&lt;&gt;"",Лист1223637383940[[#This Row],[Итого]],"")</f>
        <v>68</v>
      </c>
      <c r="E2" s="2">
        <f>IF(D2&lt;&gt;"",ROUND(D2/$K$1/2*100,2),"")</f>
        <v>16.04</v>
      </c>
      <c r="F2" s="2">
        <f>IF(E2&lt;&gt;"",100-E2,"")</f>
        <v>83.960000000000008</v>
      </c>
      <c r="J2" s="8" t="s">
        <v>11</v>
      </c>
      <c r="K2" s="8">
        <f>COUNT(D2:D41)</f>
        <v>17</v>
      </c>
      <c r="L2" s="2" t="s">
        <v>37</v>
      </c>
      <c r="M2" s="2">
        <f>[7]Лист1!$U$1</f>
        <v>16</v>
      </c>
      <c r="O2" s="18"/>
    </row>
    <row r="3" spans="1:15" x14ac:dyDescent="0.25">
      <c r="A3" s="2">
        <v>2</v>
      </c>
      <c r="B3">
        <v>4</v>
      </c>
      <c r="C3">
        <v>138</v>
      </c>
      <c r="D3" s="3">
        <f>IF(Лист1223637383940[[#This Row],[Итого]]&lt;&gt;"",Лист1223637383940[[#This Row],[Итого]],"")</f>
        <v>138</v>
      </c>
      <c r="E3" s="2">
        <f>IF(D3&lt;&gt;"",ROUND(D3/$K$1/2*100,2),"")</f>
        <v>32.549999999999997</v>
      </c>
      <c r="F3" s="2">
        <f t="shared" ref="F3:F41" si="0">IF(E3&lt;&gt;"",100-E3,"")</f>
        <v>67.45</v>
      </c>
      <c r="I3" s="19" t="s">
        <v>33</v>
      </c>
      <c r="J3" s="4" t="s">
        <v>3</v>
      </c>
      <c r="K3" s="2">
        <f>ROUND(L3/$K$2*100,0)</f>
        <v>47</v>
      </c>
      <c r="L3" s="9">
        <f>K2-SUM($L$4:$L$7)</f>
        <v>8</v>
      </c>
    </row>
    <row r="4" spans="1:15" ht="26.25" x14ac:dyDescent="0.25">
      <c r="A4" s="2">
        <v>3</v>
      </c>
      <c r="B4">
        <v>5</v>
      </c>
      <c r="C4">
        <v>134</v>
      </c>
      <c r="D4" s="3">
        <f>IF(Лист1223637383940[[#This Row],[Итого]]&lt;&gt;"",Лист1223637383940[[#This Row],[Итого]],"")</f>
        <v>134</v>
      </c>
      <c r="E4" s="2">
        <f t="shared" ref="E4:E41" si="1">IF(D4&lt;&gt;"",ROUND(D4/$K$1/2*100,2),"")</f>
        <v>31.6</v>
      </c>
      <c r="F4" s="2">
        <f t="shared" si="0"/>
        <v>68.400000000000006</v>
      </c>
      <c r="I4" s="19"/>
      <c r="J4" s="4" t="s">
        <v>4</v>
      </c>
      <c r="K4" s="2">
        <f t="shared" ref="K4:K6" si="2">ROUND(L4/$K$2*100,0)</f>
        <v>29</v>
      </c>
      <c r="L4" s="2">
        <f t="array" ref="L4">SUM(($E$2:$E$37&gt;=10)*(($E$2:$E$37)&lt;30))</f>
        <v>5</v>
      </c>
    </row>
    <row r="5" spans="1:15" ht="26.25" x14ac:dyDescent="0.25">
      <c r="A5" s="2">
        <v>4</v>
      </c>
      <c r="B5">
        <v>6</v>
      </c>
      <c r="C5">
        <v>14</v>
      </c>
      <c r="D5" s="3">
        <f>IF(Лист1223637383940[[#This Row],[Итого]]&lt;&gt;"",Лист1223637383940[[#This Row],[Итого]],"")</f>
        <v>14</v>
      </c>
      <c r="E5" s="2">
        <f t="shared" si="1"/>
        <v>3.3</v>
      </c>
      <c r="F5" s="2">
        <f t="shared" si="0"/>
        <v>96.7</v>
      </c>
      <c r="I5" s="19"/>
      <c r="J5" s="4" t="s">
        <v>5</v>
      </c>
      <c r="K5" s="2">
        <f t="shared" si="2"/>
        <v>12</v>
      </c>
      <c r="L5" s="2">
        <f t="array" ref="L5">SUM(($E$2:$E$37&gt;=30)*(($E$2:$E$37)&lt;50))</f>
        <v>2</v>
      </c>
    </row>
    <row r="6" spans="1:15" ht="26.25" x14ac:dyDescent="0.25">
      <c r="A6" s="2">
        <v>5</v>
      </c>
      <c r="B6">
        <v>7</v>
      </c>
      <c r="C6">
        <v>114</v>
      </c>
      <c r="D6" s="3">
        <f>IF(Лист1223637383940[[#This Row],[Итого]]&lt;&gt;"",Лист1223637383940[[#This Row],[Итого]],"")</f>
        <v>114</v>
      </c>
      <c r="E6" s="2">
        <f t="shared" si="1"/>
        <v>26.89</v>
      </c>
      <c r="F6" s="2">
        <f t="shared" si="0"/>
        <v>73.11</v>
      </c>
      <c r="I6" s="19"/>
      <c r="J6" s="4" t="s">
        <v>6</v>
      </c>
      <c r="K6" s="2">
        <f t="shared" si="2"/>
        <v>12</v>
      </c>
      <c r="L6" s="2">
        <f t="array" ref="L6">SUM(($E$2:$E$37&gt;=50)*(($E$2:$E$37)&lt;70))</f>
        <v>2</v>
      </c>
    </row>
    <row r="7" spans="1:15" ht="26.25" x14ac:dyDescent="0.25">
      <c r="A7" s="2">
        <v>6</v>
      </c>
      <c r="B7">
        <v>8</v>
      </c>
      <c r="C7">
        <v>254</v>
      </c>
      <c r="D7" s="3">
        <f>IF(Лист1223637383940[[#This Row],[Итого]]&lt;&gt;"",Лист1223637383940[[#This Row],[Итого]],"")</f>
        <v>254</v>
      </c>
      <c r="E7" s="2">
        <f t="shared" si="1"/>
        <v>59.91</v>
      </c>
      <c r="F7" s="2">
        <f t="shared" si="0"/>
        <v>40.090000000000003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C8">
        <v>74</v>
      </c>
      <c r="D8" s="3">
        <f>IF(Лист1223637383940[[#This Row],[Итого]]&lt;&gt;"",Лист1223637383940[[#This Row],[Итого]],"")</f>
        <v>74</v>
      </c>
      <c r="E8" s="2">
        <f t="shared" si="1"/>
        <v>17.45</v>
      </c>
      <c r="F8" s="2">
        <f t="shared" si="0"/>
        <v>82.55</v>
      </c>
    </row>
    <row r="9" spans="1:15" x14ac:dyDescent="0.25">
      <c r="A9" s="2">
        <v>8</v>
      </c>
      <c r="B9">
        <v>10</v>
      </c>
      <c r="C9">
        <v>32</v>
      </c>
      <c r="D9" s="3">
        <f>IF(Лист1223637383940[[#This Row],[Итого]]&lt;&gt;"",Лист1223637383940[[#This Row],[Итого]],"")</f>
        <v>32</v>
      </c>
      <c r="E9" s="2">
        <f t="shared" si="1"/>
        <v>7.55</v>
      </c>
      <c r="F9" s="2">
        <f t="shared" si="0"/>
        <v>92.45</v>
      </c>
      <c r="K9" t="s">
        <v>31</v>
      </c>
    </row>
    <row r="10" spans="1:15" ht="26.25" x14ac:dyDescent="0.25">
      <c r="A10" s="2">
        <v>9</v>
      </c>
      <c r="B10">
        <v>11</v>
      </c>
      <c r="C10">
        <v>66</v>
      </c>
      <c r="D10" s="3">
        <f>IF(Лист1223637383940[[#This Row],[Итого]]&lt;&gt;"",Лист1223637383940[[#This Row],[Итого]],"")</f>
        <v>66</v>
      </c>
      <c r="E10" s="2">
        <f t="shared" si="1"/>
        <v>15.57</v>
      </c>
      <c r="F10" s="2">
        <f t="shared" si="0"/>
        <v>84.43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C11">
        <v>22</v>
      </c>
      <c r="D11" s="3">
        <f>IF(Лист1223637383940[[#This Row],[Итого]]&lt;&gt;"",Лист1223637383940[[#This Row],[Итого]],"")</f>
        <v>22</v>
      </c>
      <c r="E11" s="2">
        <f t="shared" si="1"/>
        <v>5.19</v>
      </c>
      <c r="F11" s="2">
        <f t="shared" si="0"/>
        <v>94.81</v>
      </c>
      <c r="I11" s="19"/>
      <c r="J11" s="4" t="s">
        <v>5</v>
      </c>
      <c r="K11" s="2">
        <f t="shared" si="3"/>
        <v>12</v>
      </c>
      <c r="L11" s="2">
        <f t="array" ref="L11">SUM(($F$2:$F$37&gt;=30)*(($F$2:$F$37)&lt;50))</f>
        <v>2</v>
      </c>
    </row>
    <row r="12" spans="1:15" ht="26.25" x14ac:dyDescent="0.25">
      <c r="A12" s="2">
        <v>11</v>
      </c>
      <c r="B12">
        <v>13</v>
      </c>
      <c r="C12">
        <v>26</v>
      </c>
      <c r="D12" s="3">
        <f>IF(Лист1223637383940[[#This Row],[Итого]]&lt;&gt;"",Лист1223637383940[[#This Row],[Итого]],"")</f>
        <v>26</v>
      </c>
      <c r="E12" s="2">
        <f t="shared" si="1"/>
        <v>6.13</v>
      </c>
      <c r="F12" s="2">
        <f t="shared" si="0"/>
        <v>93.87</v>
      </c>
      <c r="I12" s="19"/>
      <c r="J12" s="4" t="s">
        <v>28</v>
      </c>
      <c r="K12" s="2">
        <f t="shared" si="3"/>
        <v>18</v>
      </c>
      <c r="L12" s="2">
        <f t="array" ref="L12">SUM(($F$2:$F$37&gt;=50)*(($F$2:$F$37)&lt;75))</f>
        <v>3</v>
      </c>
    </row>
    <row r="13" spans="1:15" ht="26.25" x14ac:dyDescent="0.25">
      <c r="A13" s="2">
        <v>12</v>
      </c>
      <c r="B13">
        <v>14</v>
      </c>
      <c r="C13">
        <v>268</v>
      </c>
      <c r="D13" s="3">
        <f>IF(Лист1223637383940[[#This Row],[Итого]]&lt;&gt;"",Лист1223637383940[[#This Row],[Итого]],"")</f>
        <v>268</v>
      </c>
      <c r="E13" s="2">
        <f t="shared" si="1"/>
        <v>63.21</v>
      </c>
      <c r="F13" s="2">
        <f t="shared" si="0"/>
        <v>36.79</v>
      </c>
      <c r="I13" s="19"/>
      <c r="J13" s="4" t="s">
        <v>29</v>
      </c>
      <c r="K13" s="2">
        <f t="shared" si="3"/>
        <v>24</v>
      </c>
      <c r="L13" s="2">
        <f t="array" ref="L13">SUM(($F$2:$F$37&gt;=75)*(($F$2:$F$37)&lt;90))</f>
        <v>4</v>
      </c>
    </row>
    <row r="14" spans="1:15" ht="26.25" x14ac:dyDescent="0.25">
      <c r="A14" s="2">
        <v>13</v>
      </c>
      <c r="B14">
        <v>15</v>
      </c>
      <c r="C14">
        <v>74</v>
      </c>
      <c r="D14" s="3">
        <f>IF(Лист1223637383940[[#This Row],[Итого]]&lt;&gt;"",Лист1223637383940[[#This Row],[Итого]],"")</f>
        <v>74</v>
      </c>
      <c r="E14" s="2">
        <f t="shared" si="1"/>
        <v>17.45</v>
      </c>
      <c r="F14" s="2">
        <f t="shared" si="0"/>
        <v>82.55</v>
      </c>
      <c r="I14" s="19"/>
      <c r="J14" s="7" t="s">
        <v>30</v>
      </c>
      <c r="K14" s="2">
        <f>100-SUM($K$9:$K$13)</f>
        <v>46</v>
      </c>
      <c r="L14" s="2">
        <f>$K$2-SUM(L9:L$13)</f>
        <v>8</v>
      </c>
    </row>
    <row r="15" spans="1:15" x14ac:dyDescent="0.25">
      <c r="A15" s="2">
        <v>14</v>
      </c>
      <c r="B15">
        <v>16</v>
      </c>
      <c r="C15">
        <v>40</v>
      </c>
      <c r="D15" s="3">
        <f>IF(Лист1223637383940[[#This Row],[Итого]]&lt;&gt;"",Лист1223637383940[[#This Row],[Итого]],"")</f>
        <v>40</v>
      </c>
      <c r="E15" s="2">
        <f t="shared" si="1"/>
        <v>9.43</v>
      </c>
      <c r="F15" s="2">
        <f t="shared" si="0"/>
        <v>90.57</v>
      </c>
    </row>
    <row r="16" spans="1:15" x14ac:dyDescent="0.25">
      <c r="A16" s="2">
        <v>15</v>
      </c>
      <c r="B16">
        <v>17</v>
      </c>
      <c r="C16">
        <v>10</v>
      </c>
      <c r="D16" s="3">
        <f>IF(Лист1223637383940[[#This Row],[Итого]]&lt;&gt;"",Лист1223637383940[[#This Row],[Итого]],"")</f>
        <v>10</v>
      </c>
      <c r="E16" s="2">
        <f t="shared" si="1"/>
        <v>2.36</v>
      </c>
      <c r="F16" s="2">
        <f t="shared" si="0"/>
        <v>97.64</v>
      </c>
    </row>
    <row r="17" spans="1:6" x14ac:dyDescent="0.25">
      <c r="A17" s="2">
        <v>16</v>
      </c>
      <c r="B17">
        <v>18</v>
      </c>
      <c r="C17">
        <v>0</v>
      </c>
      <c r="D17" s="3">
        <f>IF(Лист1223637383940[[#This Row],[Итого]]&lt;&gt;"",Лист1223637383940[[#This Row],[Итого]],"")</f>
        <v>0</v>
      </c>
      <c r="E17" s="2">
        <f t="shared" si="1"/>
        <v>0</v>
      </c>
      <c r="F17" s="2">
        <f t="shared" si="0"/>
        <v>100</v>
      </c>
    </row>
    <row r="18" spans="1:6" x14ac:dyDescent="0.25">
      <c r="A18" s="2">
        <v>17</v>
      </c>
      <c r="B18">
        <v>19</v>
      </c>
      <c r="D18" s="3" t="str">
        <f>IF(Лист1223637383940[[#This Row],[Итого]]&lt;&gt;"",Лист1223637383940[[#This Row],[Итого]],"")</f>
        <v/>
      </c>
      <c r="E18" s="2" t="str">
        <f t="shared" si="1"/>
        <v/>
      </c>
      <c r="F18" s="2" t="str">
        <f t="shared" si="0"/>
        <v/>
      </c>
    </row>
    <row r="19" spans="1:6" x14ac:dyDescent="0.25">
      <c r="A19" s="2">
        <v>18</v>
      </c>
      <c r="B19">
        <v>20</v>
      </c>
      <c r="D19" s="3" t="str">
        <f>IF(Лист1223637383940[[#This Row],[Итого]]&lt;&gt;"",Лист1223637383940[[#This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D20" s="3" t="str">
        <f>IF(Лист1223637383940[[#This Row],[Итого]]&lt;&gt;"",Лист1223637383940[[#This Row],[Итого]],"")</f>
        <v/>
      </c>
      <c r="E20" s="2" t="str">
        <f t="shared" si="1"/>
        <v/>
      </c>
      <c r="F20" s="2" t="str">
        <f t="shared" si="0"/>
        <v/>
      </c>
    </row>
    <row r="21" spans="1:6" x14ac:dyDescent="0.25">
      <c r="A21" s="2">
        <v>20</v>
      </c>
      <c r="B21">
        <v>22</v>
      </c>
      <c r="D21" s="3" t="str">
        <f>IF(Лист1223637383940[[#This Row],[Итого]]&lt;&gt;"",Лист1223637383940[[#This Row],[Итого]],"")</f>
        <v/>
      </c>
      <c r="E21" s="2" t="str">
        <f t="shared" si="1"/>
        <v/>
      </c>
      <c r="F21" s="2" t="str">
        <f t="shared" si="0"/>
        <v/>
      </c>
    </row>
    <row r="22" spans="1:6" x14ac:dyDescent="0.25">
      <c r="A22" s="2">
        <v>21</v>
      </c>
      <c r="B22">
        <v>23</v>
      </c>
      <c r="D22" s="3" t="str">
        <f>IF(Лист1223637383940[[#This Row],[Итого]]&lt;&gt;"",Лист1223637383940[[#This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D23" s="3" t="str">
        <f>IF(Лист1223637383940[[#This Row],[Итого]]&lt;&gt;"",Лист1223637383940[[#This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D24" s="3" t="str">
        <f>IF(Лист1223637383940[[#This Row],[Итого]]&lt;&gt;"",Лист1223637383940[[#This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IF(Лист1223637383940[[#This Row],[Итого]]&lt;&gt;"",Лист1223637383940[[#This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IF(Лист1223637383940[[#This Row],[Итого]]&lt;&gt;"",Лист1223637383940[[#This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IF(Лист1223637383940[[#This Row],[Итого]]&lt;&gt;"",Лист1223637383940[[#This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IF(Лист1223637383940[[#This Row],[Итого]]&lt;&gt;"",Лист1223637383940[[#This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IF(Лист1223637383940[[#This Row],[Итого]]&lt;&gt;"",Лист1223637383940[[#This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IF(Лист1223637383940[[#This Row],[Итого]]&lt;&gt;"",Лист1223637383940[[#This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IF(Лист1223637383940[[#This Row],[Итого]]&lt;&gt;"",Лист1223637383940[[#This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IF(Лист1223637383940[[#This Row],[Итого]]&lt;&gt;"",Лист1223637383940[[#This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IF(Лист1223637383940[[#This Row],[Итого]]&lt;&gt;"",Лист1223637383940[[#This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IF(Лист1223637383940[[#This Row],[Итого]]&lt;&gt;"",Лист1223637383940[[#This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IF(Лист1223637383940[[#This Row],[Итого]]&lt;&gt;"",Лист1223637383940[[#This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IF(Лист1223637383940[[#This Row],[Итого]]&lt;&gt;"",Лист1223637383940[[#This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IF(Лист1223637383940[[#This Row],[Итого]]&lt;&gt;"",Лист1223637383940[[#This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IF(Лист1223637383940[[#This Row],[Итого]]&lt;&gt;"",Лист1223637383940[[#This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IF(Лист1223637383940[[#This Row],[Итого]]&lt;&gt;"",Лист1223637383940[[#This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IF(Лист1223637383940[[#This Row],[Итого]]&lt;&gt;"",Лист1223637383940[[#This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230</v>
      </c>
      <c r="D41" s="3">
        <f>IF(Лист1223637383940[[#This Row],[Итого]]&lt;&gt;"",Лист1223637383940[[#This Row],[Итого]],"")</f>
        <v>230</v>
      </c>
      <c r="E41" s="2">
        <f t="shared" si="1"/>
        <v>54.25</v>
      </c>
      <c r="F41" s="2">
        <f t="shared" si="0"/>
        <v>45.75</v>
      </c>
    </row>
    <row r="42" spans="1:7" x14ac:dyDescent="0.25">
      <c r="A42" t="s">
        <v>40</v>
      </c>
      <c r="D42" s="17">
        <f>SUM(D2:D41)</f>
        <v>1564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0D0DA-8C20-46A7-A843-30C202E0BD4F}">
  <dimension ref="A1:O42"/>
  <sheetViews>
    <sheetView workbookViewId="0">
      <selection activeCell="D2" sqref="D2"/>
    </sheetView>
  </sheetViews>
  <sheetFormatPr defaultRowHeight="15" x14ac:dyDescent="0.25"/>
  <cols>
    <col min="2" max="2" width="9.7109375" bestFit="1" customWidth="1"/>
    <col min="3" max="3" width="8.28515625" bestFit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[8]Лист1!$R$2</f>
        <v>147</v>
      </c>
      <c r="L1" s="2" t="s">
        <v>36</v>
      </c>
      <c r="M1" s="2" t="str">
        <f ca="1">MID(CELL("filename",A2),SEARCH("]",CELL("filename",A2))+1,31)</f>
        <v>Эб-51</v>
      </c>
    </row>
    <row r="2" spans="1:15" x14ac:dyDescent="0.25">
      <c r="A2" s="2">
        <v>1</v>
      </c>
      <c r="B2">
        <v>3</v>
      </c>
      <c r="D2" s="3" t="str">
        <f>IF(Лист122363738394041[[#This Row],[Итого]]&lt;&gt;"",Лист122363738394041[[#This Row],[Итого]],"")</f>
        <v/>
      </c>
      <c r="E2" s="2" t="str">
        <f>IF(D2&lt;&gt;"",ROUND(D2/$K$1/2*100,2),"")</f>
        <v/>
      </c>
      <c r="F2" s="2" t="str">
        <f>IF(E2&lt;&gt;"",100-E2,"")</f>
        <v/>
      </c>
      <c r="J2" s="8" t="s">
        <v>11</v>
      </c>
      <c r="K2" s="8">
        <f>COUNT(D2:D41)</f>
        <v>15</v>
      </c>
      <c r="L2" s="2" t="s">
        <v>37</v>
      </c>
      <c r="M2" s="2">
        <f>[8]Лист1!$U$1</f>
        <v>10</v>
      </c>
      <c r="O2" s="18"/>
    </row>
    <row r="3" spans="1:15" x14ac:dyDescent="0.25">
      <c r="A3" s="2">
        <v>2</v>
      </c>
      <c r="B3">
        <v>4</v>
      </c>
      <c r="C3">
        <v>10</v>
      </c>
      <c r="D3" s="3">
        <f>IF(Лист122363738394041[[#This Row],[Итого]]&lt;&gt;"",Лист122363738394041[[#This Row],[Итого]],"")</f>
        <v>10</v>
      </c>
      <c r="E3" s="2">
        <f>IF(D3&lt;&gt;"",ROUND(D3/$K$1/2*100,2),"")</f>
        <v>3.4</v>
      </c>
      <c r="F3" s="2">
        <f t="shared" ref="F3:F41" si="0">IF(E3&lt;&gt;"",100-E3,"")</f>
        <v>96.6</v>
      </c>
      <c r="I3" s="19" t="s">
        <v>33</v>
      </c>
      <c r="J3" s="4" t="s">
        <v>3</v>
      </c>
      <c r="K3" s="2">
        <f>ROUND(L3/$K$2*100,0)</f>
        <v>47</v>
      </c>
      <c r="L3" s="9">
        <f>K2-SUM($L$4:$L$7)</f>
        <v>7</v>
      </c>
    </row>
    <row r="4" spans="1:15" ht="26.25" x14ac:dyDescent="0.25">
      <c r="A4" s="2">
        <v>3</v>
      </c>
      <c r="B4">
        <v>5</v>
      </c>
      <c r="D4" s="3" t="str">
        <f>IF(Лист122363738394041[[#This Row],[Итого]]&lt;&gt;"",Лист122363738394041[[#This Row],[Итого]],"")</f>
        <v/>
      </c>
      <c r="E4" s="2" t="str">
        <f t="shared" ref="E4:E41" si="1">IF(D4&lt;&gt;"",ROUND(D4/$K$1/2*100,2),"")</f>
        <v/>
      </c>
      <c r="F4" s="2" t="str">
        <f t="shared" si="0"/>
        <v/>
      </c>
      <c r="I4" s="19"/>
      <c r="J4" s="4" t="s">
        <v>4</v>
      </c>
      <c r="K4" s="2">
        <f t="shared" ref="K4:K6" si="2">ROUND(L4/$K$2*100,0)</f>
        <v>40</v>
      </c>
      <c r="L4" s="2">
        <f t="array" ref="L4">SUM(($E$2:$E$37&gt;=10)*(($E$2:$E$37)&lt;30))</f>
        <v>6</v>
      </c>
    </row>
    <row r="5" spans="1:15" ht="26.25" x14ac:dyDescent="0.25">
      <c r="A5" s="2">
        <v>4</v>
      </c>
      <c r="B5">
        <v>6</v>
      </c>
      <c r="D5" s="3" t="str">
        <f>IF(Лист122363738394041[[#This Row],[Итого]]&lt;&gt;"",Лист122363738394041[[#This Row],[Итого]],"")</f>
        <v/>
      </c>
      <c r="E5" s="2" t="str">
        <f t="shared" si="1"/>
        <v/>
      </c>
      <c r="F5" s="2" t="str">
        <f t="shared" si="0"/>
        <v/>
      </c>
      <c r="I5" s="19"/>
      <c r="J5" s="4" t="s">
        <v>5</v>
      </c>
      <c r="K5" s="2">
        <f t="shared" si="2"/>
        <v>7</v>
      </c>
      <c r="L5" s="2">
        <f t="array" ref="L5">SUM(($E$2:$E$37&gt;=30)*(($E$2:$E$37)&lt;50))</f>
        <v>1</v>
      </c>
    </row>
    <row r="6" spans="1:15" ht="26.25" x14ac:dyDescent="0.25">
      <c r="A6" s="2">
        <v>5</v>
      </c>
      <c r="B6">
        <v>7</v>
      </c>
      <c r="C6">
        <v>34</v>
      </c>
      <c r="D6" s="3">
        <f>IF(Лист122363738394041[[#This Row],[Итого]]&lt;&gt;"",Лист122363738394041[[#This Row],[Итого]],"")</f>
        <v>34</v>
      </c>
      <c r="E6" s="2">
        <f t="shared" si="1"/>
        <v>11.56</v>
      </c>
      <c r="F6" s="2">
        <f t="shared" si="0"/>
        <v>88.44</v>
      </c>
      <c r="I6" s="19"/>
      <c r="J6" s="4" t="s">
        <v>6</v>
      </c>
      <c r="K6" s="2">
        <f t="shared" si="2"/>
        <v>7</v>
      </c>
      <c r="L6" s="2">
        <f t="array" ref="L6">SUM(($E$2:$E$37&gt;=50)*(($E$2:$E$37)&lt;70))</f>
        <v>1</v>
      </c>
    </row>
    <row r="7" spans="1:15" ht="26.25" x14ac:dyDescent="0.25">
      <c r="A7" s="2">
        <v>6</v>
      </c>
      <c r="B7">
        <v>8</v>
      </c>
      <c r="C7">
        <v>38</v>
      </c>
      <c r="D7" s="3">
        <f>IF(Лист122363738394041[[#This Row],[Итого]]&lt;&gt;"",Лист122363738394041[[#This Row],[Итого]],"")</f>
        <v>38</v>
      </c>
      <c r="E7" s="2">
        <f t="shared" si="1"/>
        <v>12.93</v>
      </c>
      <c r="F7" s="2">
        <f t="shared" si="0"/>
        <v>87.07</v>
      </c>
      <c r="I7" s="19"/>
      <c r="J7" s="4" t="s">
        <v>7</v>
      </c>
      <c r="K7" s="2">
        <f>100-SUM($K$3:$K$6)</f>
        <v>-1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C8">
        <v>56</v>
      </c>
      <c r="D8" s="3">
        <f>IF(Лист122363738394041[[#This Row],[Итого]]&lt;&gt;"",Лист122363738394041[[#This Row],[Итого]],"")</f>
        <v>56</v>
      </c>
      <c r="E8" s="2">
        <f t="shared" si="1"/>
        <v>19.05</v>
      </c>
      <c r="F8" s="2">
        <f t="shared" si="0"/>
        <v>80.95</v>
      </c>
    </row>
    <row r="9" spans="1:15" x14ac:dyDescent="0.25">
      <c r="A9" s="2">
        <v>8</v>
      </c>
      <c r="B9">
        <v>10</v>
      </c>
      <c r="C9">
        <v>38</v>
      </c>
      <c r="D9" s="3">
        <f>IF(Лист122363738394041[[#This Row],[Итого]]&lt;&gt;"",Лист122363738394041[[#This Row],[Итого]],"")</f>
        <v>38</v>
      </c>
      <c r="E9" s="2">
        <f t="shared" si="1"/>
        <v>12.93</v>
      </c>
      <c r="F9" s="2">
        <f t="shared" si="0"/>
        <v>87.07</v>
      </c>
      <c r="K9" t="s">
        <v>31</v>
      </c>
    </row>
    <row r="10" spans="1:15" ht="26.25" x14ac:dyDescent="0.25">
      <c r="A10" s="2">
        <v>9</v>
      </c>
      <c r="B10">
        <v>11</v>
      </c>
      <c r="D10" s="3" t="str">
        <f>IF(Лист122363738394041[[#This Row],[Итого]]&lt;&gt;"",Лист122363738394041[[#This Row],[Итого]],"")</f>
        <v/>
      </c>
      <c r="E10" s="2" t="str">
        <f t="shared" si="1"/>
        <v/>
      </c>
      <c r="F10" s="2" t="str">
        <f t="shared" si="0"/>
        <v/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C11">
        <v>170</v>
      </c>
      <c r="D11" s="3">
        <f>IF(Лист122363738394041[[#This Row],[Итого]]&lt;&gt;"",Лист122363738394041[[#This Row],[Итого]],"")</f>
        <v>170</v>
      </c>
      <c r="E11" s="2">
        <f t="shared" si="1"/>
        <v>57.82</v>
      </c>
      <c r="F11" s="2">
        <f t="shared" si="0"/>
        <v>42.18</v>
      </c>
      <c r="I11" s="19"/>
      <c r="J11" s="4" t="s">
        <v>5</v>
      </c>
      <c r="K11" s="2">
        <f t="shared" si="3"/>
        <v>7</v>
      </c>
      <c r="L11" s="2">
        <f t="array" ref="L11">SUM(($F$2:$F$37&gt;=30)*(($F$2:$F$37)&lt;50))</f>
        <v>1</v>
      </c>
    </row>
    <row r="12" spans="1:15" ht="26.25" x14ac:dyDescent="0.25">
      <c r="A12" s="2">
        <v>11</v>
      </c>
      <c r="B12">
        <v>13</v>
      </c>
      <c r="C12">
        <v>30</v>
      </c>
      <c r="D12" s="3">
        <f>IF(Лист122363738394041[[#This Row],[Итого]]&lt;&gt;"",Лист122363738394041[[#This Row],[Итого]],"")</f>
        <v>30</v>
      </c>
      <c r="E12" s="2">
        <f t="shared" si="1"/>
        <v>10.199999999999999</v>
      </c>
      <c r="F12" s="2">
        <f t="shared" si="0"/>
        <v>89.8</v>
      </c>
      <c r="I12" s="19"/>
      <c r="J12" s="4" t="s">
        <v>28</v>
      </c>
      <c r="K12" s="2">
        <f t="shared" si="3"/>
        <v>7</v>
      </c>
      <c r="L12" s="2">
        <f t="array" ref="L12">SUM(($F$2:$F$37&gt;=50)*(($F$2:$F$37)&lt;75))</f>
        <v>1</v>
      </c>
    </row>
    <row r="13" spans="1:15" ht="26.25" x14ac:dyDescent="0.25">
      <c r="A13" s="2">
        <v>12</v>
      </c>
      <c r="B13">
        <v>14</v>
      </c>
      <c r="C13">
        <v>10</v>
      </c>
      <c r="D13" s="3">
        <f>IF(Лист122363738394041[[#This Row],[Итого]]&lt;&gt;"",Лист122363738394041[[#This Row],[Итого]],"")</f>
        <v>10</v>
      </c>
      <c r="E13" s="2">
        <f t="shared" si="1"/>
        <v>3.4</v>
      </c>
      <c r="F13" s="2">
        <f t="shared" si="0"/>
        <v>96.6</v>
      </c>
      <c r="I13" s="19"/>
      <c r="J13" s="4" t="s">
        <v>29</v>
      </c>
      <c r="K13" s="2">
        <f t="shared" si="3"/>
        <v>40</v>
      </c>
      <c r="L13" s="2">
        <f t="array" ref="L13">SUM(($F$2:$F$37&gt;=75)*(($F$2:$F$37)&lt;90))</f>
        <v>6</v>
      </c>
    </row>
    <row r="14" spans="1:15" ht="26.25" x14ac:dyDescent="0.25">
      <c r="A14" s="2">
        <v>13</v>
      </c>
      <c r="B14">
        <v>15</v>
      </c>
      <c r="C14">
        <v>52</v>
      </c>
      <c r="D14" s="3">
        <f>IF(Лист122363738394041[[#This Row],[Итого]]&lt;&gt;"",Лист122363738394041[[#This Row],[Итого]],"")</f>
        <v>52</v>
      </c>
      <c r="E14" s="2">
        <f t="shared" si="1"/>
        <v>17.690000000000001</v>
      </c>
      <c r="F14" s="2">
        <f t="shared" si="0"/>
        <v>82.31</v>
      </c>
      <c r="I14" s="19"/>
      <c r="J14" s="7" t="s">
        <v>30</v>
      </c>
      <c r="K14" s="2">
        <f>100-SUM($K$9:$K$13)</f>
        <v>46</v>
      </c>
      <c r="L14" s="2">
        <f>$K$2-SUM(L9:L$13)</f>
        <v>7</v>
      </c>
    </row>
    <row r="15" spans="1:15" x14ac:dyDescent="0.25">
      <c r="A15" s="2">
        <v>14</v>
      </c>
      <c r="B15">
        <v>16</v>
      </c>
      <c r="D15" s="3" t="str">
        <f>IF(Лист122363738394041[[#This Row],[Итого]]&lt;&gt;"",Лист122363738394041[[#This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C16">
        <v>22</v>
      </c>
      <c r="D16" s="3">
        <f>IF(Лист122363738394041[[#This Row],[Итого]]&lt;&gt;"",Лист122363738394041[[#This Row],[Итого]],"")</f>
        <v>22</v>
      </c>
      <c r="E16" s="2">
        <f t="shared" si="1"/>
        <v>7.48</v>
      </c>
      <c r="F16" s="2">
        <f t="shared" si="0"/>
        <v>92.52</v>
      </c>
    </row>
    <row r="17" spans="1:6" x14ac:dyDescent="0.25">
      <c r="A17" s="2">
        <v>16</v>
      </c>
      <c r="B17">
        <v>18</v>
      </c>
      <c r="C17">
        <v>14</v>
      </c>
      <c r="D17" s="3">
        <f>IF(Лист122363738394041[[#This Row],[Итого]]&lt;&gt;"",Лист122363738394041[[#This Row],[Итого]],"")</f>
        <v>14</v>
      </c>
      <c r="E17" s="2">
        <f t="shared" si="1"/>
        <v>4.76</v>
      </c>
      <c r="F17" s="2">
        <f t="shared" si="0"/>
        <v>95.24</v>
      </c>
    </row>
    <row r="18" spans="1:6" x14ac:dyDescent="0.25">
      <c r="A18" s="2">
        <v>17</v>
      </c>
      <c r="B18">
        <v>19</v>
      </c>
      <c r="C18">
        <v>102</v>
      </c>
      <c r="D18" s="3">
        <f>IF(Лист122363738394041[[#This Row],[Итого]]&lt;&gt;"",Лист122363738394041[[#This Row],[Итого]],"")</f>
        <v>102</v>
      </c>
      <c r="E18" s="2">
        <f t="shared" si="1"/>
        <v>34.69</v>
      </c>
      <c r="F18" s="2">
        <f t="shared" si="0"/>
        <v>65.31</v>
      </c>
    </row>
    <row r="19" spans="1:6" x14ac:dyDescent="0.25">
      <c r="A19" s="2">
        <v>18</v>
      </c>
      <c r="B19">
        <v>20</v>
      </c>
      <c r="D19" s="3" t="str">
        <f>IF(Лист122363738394041[[#This Row],[Итого]]&lt;&gt;"",Лист122363738394041[[#This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C20">
        <v>2</v>
      </c>
      <c r="D20" s="3">
        <f>IF(Лист122363738394041[[#This Row],[Итого]]&lt;&gt;"",Лист122363738394041[[#This Row],[Итого]],"")</f>
        <v>2</v>
      </c>
      <c r="E20" s="2">
        <f t="shared" si="1"/>
        <v>0.68</v>
      </c>
      <c r="F20" s="2">
        <f t="shared" si="0"/>
        <v>99.32</v>
      </c>
    </row>
    <row r="21" spans="1:6" x14ac:dyDescent="0.25">
      <c r="A21" s="2">
        <v>20</v>
      </c>
      <c r="B21">
        <v>22</v>
      </c>
      <c r="D21" s="3" t="str">
        <f>IF(Лист122363738394041[[#This Row],[Итого]]&lt;&gt;"",Лист122363738394041[[#This Row],[Итого]],"")</f>
        <v/>
      </c>
      <c r="E21" s="2" t="str">
        <f t="shared" si="1"/>
        <v/>
      </c>
      <c r="F21" s="2" t="str">
        <f t="shared" si="0"/>
        <v/>
      </c>
    </row>
    <row r="22" spans="1:6" x14ac:dyDescent="0.25">
      <c r="A22" s="2">
        <v>21</v>
      </c>
      <c r="B22">
        <v>23</v>
      </c>
      <c r="D22" s="3" t="str">
        <f>IF(Лист122363738394041[[#This Row],[Итого]]&lt;&gt;"",Лист122363738394041[[#This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C23">
        <v>20</v>
      </c>
      <c r="D23" s="3">
        <f>IF(Лист122363738394041[[#This Row],[Итого]]&lt;&gt;"",Лист122363738394041[[#This Row],[Итого]],"")</f>
        <v>20</v>
      </c>
      <c r="E23" s="2">
        <f t="shared" si="1"/>
        <v>6.8</v>
      </c>
      <c r="F23" s="2">
        <f t="shared" si="0"/>
        <v>93.2</v>
      </c>
    </row>
    <row r="24" spans="1:6" x14ac:dyDescent="0.25">
      <c r="A24" s="2">
        <v>23</v>
      </c>
      <c r="B24">
        <v>25</v>
      </c>
      <c r="D24" s="3" t="str">
        <f>IF(Лист122363738394041[[#This Row],[Итого]]&lt;&gt;"",Лист122363738394041[[#This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IF(Лист122363738394041[[#This Row],[Итого]]&lt;&gt;"",Лист122363738394041[[#This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IF(Лист122363738394041[[#This Row],[Итого]]&lt;&gt;"",Лист122363738394041[[#This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IF(Лист122363738394041[[#This Row],[Итого]]&lt;&gt;"",Лист122363738394041[[#This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IF(Лист122363738394041[[#This Row],[Итого]]&lt;&gt;"",Лист122363738394041[[#This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IF(Лист122363738394041[[#This Row],[Итого]]&lt;&gt;"",Лист122363738394041[[#This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IF(Лист122363738394041[[#This Row],[Итого]]&lt;&gt;"",Лист122363738394041[[#This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IF(Лист122363738394041[[#This Row],[Итого]]&lt;&gt;"",Лист122363738394041[[#This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IF(Лист122363738394041[[#This Row],[Итого]]&lt;&gt;"",Лист122363738394041[[#This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IF(Лист122363738394041[[#This Row],[Итого]]&lt;&gt;"",Лист122363738394041[[#This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IF(Лист122363738394041[[#This Row],[Итого]]&lt;&gt;"",Лист122363738394041[[#This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IF(Лист122363738394041[[#This Row],[Итого]]&lt;&gt;"",Лист122363738394041[[#This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IF(Лист122363738394041[[#This Row],[Итого]]&lt;&gt;"",Лист122363738394041[[#This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IF(Лист122363738394041[[#This Row],[Итого]]&lt;&gt;"",Лист122363738394041[[#This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IF(Лист122363738394041[[#This Row],[Итого]]&lt;&gt;"",Лист122363738394041[[#This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IF(Лист122363738394041[[#This Row],[Итого]]&lt;&gt;"",Лист122363738394041[[#This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IF(Лист122363738394041[[#This Row],[Итого]]&lt;&gt;"",Лист122363738394041[[#This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532</v>
      </c>
      <c r="D41" s="3">
        <f>IF(Лист122363738394041[[#This Row],[Итого]]&lt;&gt;"",Лист122363738394041[[#This Row],[Итого]],"")</f>
        <v>532</v>
      </c>
      <c r="E41" s="2">
        <f t="shared" si="1"/>
        <v>180.95</v>
      </c>
      <c r="F41" s="2">
        <f t="shared" si="0"/>
        <v>-80.949999999999989</v>
      </c>
    </row>
    <row r="42" spans="1:7" x14ac:dyDescent="0.25">
      <c r="A42" t="s">
        <v>40</v>
      </c>
      <c r="D42" s="17">
        <f>SUM(D2:D41)</f>
        <v>1130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E74F-E69D-45A1-8608-1B00BB1D3BA5}">
  <dimension ref="A1:O42"/>
  <sheetViews>
    <sheetView workbookViewId="0">
      <selection activeCell="P7" sqref="P7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[9]Лист1!$R$2</f>
        <v>218</v>
      </c>
      <c r="L1" s="2" t="s">
        <v>36</v>
      </c>
      <c r="M1" s="2" t="str">
        <f ca="1">MID(CELL("filename",A2),SEARCH("]",CELL("filename",A2))+1,31)</f>
        <v>Мб-51</v>
      </c>
    </row>
    <row r="2" spans="1:15" x14ac:dyDescent="0.25">
      <c r="A2" s="2">
        <v>1</v>
      </c>
      <c r="B2">
        <v>3</v>
      </c>
      <c r="C2">
        <v>74</v>
      </c>
      <c r="D2" s="3">
        <f>IF(Лист12236373839404142[[#This Row],[Итого]]&lt;&gt;"",Лист12236373839404142[[#This Row],[Итого]],"")</f>
        <v>74</v>
      </c>
      <c r="E2" s="2">
        <f>IF(D2&lt;&gt;"",ROUND(D2/$K$1/2*100,2),"")</f>
        <v>16.97</v>
      </c>
      <c r="F2" s="2">
        <f>IF(E2&lt;&gt;"",100-E2,"")</f>
        <v>83.03</v>
      </c>
      <c r="J2" s="8" t="s">
        <v>11</v>
      </c>
      <c r="K2" s="8">
        <f>COUNT(D2:D41)</f>
        <v>21</v>
      </c>
      <c r="L2" s="2" t="s">
        <v>37</v>
      </c>
      <c r="M2" s="2">
        <f>[9]Лист1!$U$1</f>
        <v>15</v>
      </c>
      <c r="O2" s="18"/>
    </row>
    <row r="3" spans="1:15" x14ac:dyDescent="0.25">
      <c r="A3" s="2">
        <v>2</v>
      </c>
      <c r="B3">
        <v>4</v>
      </c>
      <c r="C3">
        <v>0</v>
      </c>
      <c r="D3" s="3">
        <f>IF(Лист12236373839404142[[#This Row],[Итого]]&lt;&gt;"",Лист12236373839404142[[#This Row],[Итого]],"")</f>
        <v>0</v>
      </c>
      <c r="E3" s="2">
        <f>IF(D3&lt;&gt;"",ROUND(D3/$K$1/2*100,2),"")</f>
        <v>0</v>
      </c>
      <c r="F3" s="2">
        <f t="shared" ref="F3:F41" si="0">IF(E3&lt;&gt;"",100-E3,"")</f>
        <v>100</v>
      </c>
      <c r="I3" s="19" t="s">
        <v>33</v>
      </c>
      <c r="J3" s="4" t="s">
        <v>3</v>
      </c>
      <c r="K3" s="2">
        <f>ROUND(L3/$K$2*100,0)</f>
        <v>62</v>
      </c>
      <c r="L3" s="9">
        <f>K2-SUM($L$4:$L$7)</f>
        <v>13</v>
      </c>
    </row>
    <row r="4" spans="1:15" ht="26.25" x14ac:dyDescent="0.25">
      <c r="A4" s="2">
        <v>3</v>
      </c>
      <c r="B4">
        <v>5</v>
      </c>
      <c r="C4">
        <v>102</v>
      </c>
      <c r="D4" s="3">
        <f>IF(Лист12236373839404142[[#This Row],[Итого]]&lt;&gt;"",Лист12236373839404142[[#This Row],[Итого]],"")</f>
        <v>102</v>
      </c>
      <c r="E4" s="2">
        <f t="shared" ref="E4:E41" si="1">IF(D4&lt;&gt;"",ROUND(D4/$K$1/2*100,2),"")</f>
        <v>23.39</v>
      </c>
      <c r="F4" s="2">
        <f t="shared" si="0"/>
        <v>76.61</v>
      </c>
      <c r="I4" s="19"/>
      <c r="J4" s="4" t="s">
        <v>4</v>
      </c>
      <c r="K4" s="2">
        <f t="shared" ref="K4:K6" si="2">ROUND(L4/$K$2*100,0)</f>
        <v>38</v>
      </c>
      <c r="L4" s="2">
        <f t="array" ref="L4">SUM(($E$2:$E$37&gt;=10)*(($E$2:$E$37)&lt;30))</f>
        <v>8</v>
      </c>
    </row>
    <row r="5" spans="1:15" ht="26.25" x14ac:dyDescent="0.25">
      <c r="A5" s="2">
        <v>4</v>
      </c>
      <c r="B5">
        <v>6</v>
      </c>
      <c r="D5" s="3" t="str">
        <f>IF(Лист12236373839404142[[#This Row],[Итого]]&lt;&gt;"",Лист12236373839404142[[#This Row],[Итого]],"")</f>
        <v/>
      </c>
      <c r="E5" s="2" t="str">
        <f t="shared" si="1"/>
        <v/>
      </c>
      <c r="F5" s="2" t="str">
        <f t="shared" si="0"/>
        <v/>
      </c>
      <c r="I5" s="19"/>
      <c r="J5" s="4" t="s">
        <v>5</v>
      </c>
      <c r="K5" s="2">
        <f t="shared" si="2"/>
        <v>0</v>
      </c>
      <c r="L5" s="2">
        <f t="array" ref="L5">SUM(($E$2:$E$37&gt;=30)*(($E$2:$E$37)&lt;50))</f>
        <v>0</v>
      </c>
    </row>
    <row r="6" spans="1:15" ht="26.25" x14ac:dyDescent="0.25">
      <c r="A6" s="2">
        <v>5</v>
      </c>
      <c r="B6">
        <v>7</v>
      </c>
      <c r="C6">
        <v>94</v>
      </c>
      <c r="D6" s="3">
        <f>IF(Лист12236373839404142[[#This Row],[Итого]]&lt;&gt;"",Лист12236373839404142[[#This Row],[Итого]],"")</f>
        <v>94</v>
      </c>
      <c r="E6" s="2">
        <f t="shared" si="1"/>
        <v>21.56</v>
      </c>
      <c r="F6" s="2">
        <f t="shared" si="0"/>
        <v>78.44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5" ht="26.25" x14ac:dyDescent="0.25">
      <c r="A7" s="2">
        <v>6</v>
      </c>
      <c r="B7">
        <v>8</v>
      </c>
      <c r="C7">
        <v>16</v>
      </c>
      <c r="D7" s="3">
        <f>IF(Лист12236373839404142[[#This Row],[Итого]]&lt;&gt;"",Лист12236373839404142[[#This Row],[Итого]],"")</f>
        <v>16</v>
      </c>
      <c r="E7" s="2">
        <f t="shared" si="1"/>
        <v>3.67</v>
      </c>
      <c r="F7" s="2">
        <f t="shared" si="0"/>
        <v>96.33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C8">
        <v>20</v>
      </c>
      <c r="D8" s="3">
        <f>IF(Лист12236373839404142[[#This Row],[Итого]]&lt;&gt;"",Лист12236373839404142[[#This Row],[Итого]],"")</f>
        <v>20</v>
      </c>
      <c r="E8" s="2">
        <f t="shared" si="1"/>
        <v>4.59</v>
      </c>
      <c r="F8" s="2">
        <f t="shared" si="0"/>
        <v>95.41</v>
      </c>
    </row>
    <row r="9" spans="1:15" x14ac:dyDescent="0.25">
      <c r="A9" s="2">
        <v>8</v>
      </c>
      <c r="B9">
        <v>10</v>
      </c>
      <c r="C9">
        <v>46</v>
      </c>
      <c r="D9" s="3">
        <f>IF(Лист12236373839404142[[#This Row],[Итого]]&lt;&gt;"",Лист12236373839404142[[#This Row],[Итого]],"")</f>
        <v>46</v>
      </c>
      <c r="E9" s="2">
        <f t="shared" si="1"/>
        <v>10.55</v>
      </c>
      <c r="F9" s="2">
        <f t="shared" si="0"/>
        <v>89.45</v>
      </c>
      <c r="K9" t="s">
        <v>31</v>
      </c>
    </row>
    <row r="10" spans="1:15" ht="26.25" x14ac:dyDescent="0.25">
      <c r="A10" s="2">
        <v>9</v>
      </c>
      <c r="B10">
        <v>11</v>
      </c>
      <c r="C10">
        <v>66</v>
      </c>
      <c r="D10" s="3">
        <f>IF(Лист12236373839404142[[#This Row],[Итого]]&lt;&gt;"",Лист12236373839404142[[#This Row],[Итого]],"")</f>
        <v>66</v>
      </c>
      <c r="E10" s="2">
        <f t="shared" si="1"/>
        <v>15.14</v>
      </c>
      <c r="F10" s="2">
        <f t="shared" si="0"/>
        <v>84.86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C11">
        <v>40</v>
      </c>
      <c r="D11" s="3">
        <f>IF(Лист12236373839404142[[#This Row],[Итого]]&lt;&gt;"",Лист12236373839404142[[#This Row],[Итого]],"")</f>
        <v>40</v>
      </c>
      <c r="E11" s="2">
        <f t="shared" si="1"/>
        <v>9.17</v>
      </c>
      <c r="F11" s="2">
        <f t="shared" si="0"/>
        <v>90.83</v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5" ht="26.25" x14ac:dyDescent="0.25">
      <c r="A12" s="2">
        <v>11</v>
      </c>
      <c r="B12">
        <v>13</v>
      </c>
      <c r="C12">
        <v>0</v>
      </c>
      <c r="D12" s="3">
        <f>IF(Лист12236373839404142[[#This Row],[Итого]]&lt;&gt;"",Лист12236373839404142[[#This Row],[Итого]],"")</f>
        <v>0</v>
      </c>
      <c r="E12" s="2">
        <f t="shared" si="1"/>
        <v>0</v>
      </c>
      <c r="F12" s="2">
        <f t="shared" si="0"/>
        <v>100</v>
      </c>
      <c r="I12" s="19"/>
      <c r="J12" s="4" t="s">
        <v>28</v>
      </c>
      <c r="K12" s="2">
        <f t="shared" si="3"/>
        <v>5</v>
      </c>
      <c r="L12" s="2">
        <f t="array" ref="L12">SUM(($F$2:$F$37&gt;=50)*(($F$2:$F$37)&lt;75))</f>
        <v>1</v>
      </c>
    </row>
    <row r="13" spans="1:15" ht="26.25" x14ac:dyDescent="0.25">
      <c r="A13" s="2">
        <v>12</v>
      </c>
      <c r="B13">
        <v>14</v>
      </c>
      <c r="C13">
        <v>18</v>
      </c>
      <c r="D13" s="3">
        <f>IF(Лист12236373839404142[[#This Row],[Итого]]&lt;&gt;"",Лист12236373839404142[[#This Row],[Итого]],"")</f>
        <v>18</v>
      </c>
      <c r="E13" s="2">
        <f t="shared" si="1"/>
        <v>4.13</v>
      </c>
      <c r="F13" s="2">
        <f t="shared" si="0"/>
        <v>95.87</v>
      </c>
      <c r="I13" s="19"/>
      <c r="J13" s="4" t="s">
        <v>29</v>
      </c>
      <c r="K13" s="2">
        <f t="shared" si="3"/>
        <v>33</v>
      </c>
      <c r="L13" s="2">
        <f t="array" ref="L13">SUM(($F$2:$F$37&gt;=75)*(($F$2:$F$37)&lt;90))</f>
        <v>7</v>
      </c>
    </row>
    <row r="14" spans="1:15" ht="26.25" x14ac:dyDescent="0.25">
      <c r="A14" s="2">
        <v>13</v>
      </c>
      <c r="B14">
        <v>15</v>
      </c>
      <c r="C14">
        <v>14</v>
      </c>
      <c r="D14" s="3">
        <f>IF(Лист12236373839404142[[#This Row],[Итого]]&lt;&gt;"",Лист12236373839404142[[#This Row],[Итого]],"")</f>
        <v>14</v>
      </c>
      <c r="E14" s="2">
        <f t="shared" si="1"/>
        <v>3.21</v>
      </c>
      <c r="F14" s="2">
        <f t="shared" si="0"/>
        <v>96.79</v>
      </c>
      <c r="I14" s="19"/>
      <c r="J14" s="7" t="s">
        <v>30</v>
      </c>
      <c r="K14" s="2">
        <f>100-SUM($K$9:$K$13)</f>
        <v>62</v>
      </c>
      <c r="L14" s="2">
        <f>$K$2-SUM(L9:L$13)</f>
        <v>13</v>
      </c>
    </row>
    <row r="15" spans="1:15" x14ac:dyDescent="0.25">
      <c r="A15" s="2">
        <v>14</v>
      </c>
      <c r="B15">
        <v>16</v>
      </c>
      <c r="C15">
        <v>116</v>
      </c>
      <c r="D15" s="3">
        <f>IF(Лист12236373839404142[[#This Row],[Итого]]&lt;&gt;"",Лист12236373839404142[[#This Row],[Итого]],"")</f>
        <v>116</v>
      </c>
      <c r="E15" s="2">
        <f t="shared" si="1"/>
        <v>26.61</v>
      </c>
      <c r="F15" s="2">
        <f t="shared" si="0"/>
        <v>73.39</v>
      </c>
    </row>
    <row r="16" spans="1:15" x14ac:dyDescent="0.25">
      <c r="A16" s="2">
        <v>15</v>
      </c>
      <c r="B16">
        <v>17</v>
      </c>
      <c r="D16" s="3" t="str">
        <f>IF(Лист12236373839404142[[#This Row],[Итого]]&lt;&gt;"",Лист12236373839404142[[#This Row],[Итого]],"")</f>
        <v/>
      </c>
      <c r="E16" s="2" t="str">
        <f t="shared" si="1"/>
        <v/>
      </c>
      <c r="F16" s="2" t="str">
        <f t="shared" si="0"/>
        <v/>
      </c>
    </row>
    <row r="17" spans="1:6" x14ac:dyDescent="0.25">
      <c r="A17" s="2">
        <v>16</v>
      </c>
      <c r="B17">
        <v>18</v>
      </c>
      <c r="C17">
        <v>2</v>
      </c>
      <c r="D17" s="3">
        <f>IF(Лист12236373839404142[[#This Row],[Итого]]&lt;&gt;"",Лист12236373839404142[[#This Row],[Итого]],"")</f>
        <v>2</v>
      </c>
      <c r="E17" s="2">
        <f t="shared" si="1"/>
        <v>0.46</v>
      </c>
      <c r="F17" s="2">
        <f t="shared" si="0"/>
        <v>99.54</v>
      </c>
    </row>
    <row r="18" spans="1:6" x14ac:dyDescent="0.25">
      <c r="A18" s="2">
        <v>17</v>
      </c>
      <c r="B18">
        <v>19</v>
      </c>
      <c r="C18">
        <v>0</v>
      </c>
      <c r="D18" s="3">
        <f>IF(Лист12236373839404142[[#This Row],[Итого]]&lt;&gt;"",Лист12236373839404142[[#This Row],[Итого]],"")</f>
        <v>0</v>
      </c>
      <c r="E18" s="2">
        <f t="shared" si="1"/>
        <v>0</v>
      </c>
      <c r="F18" s="2">
        <f t="shared" si="0"/>
        <v>100</v>
      </c>
    </row>
    <row r="19" spans="1:6" x14ac:dyDescent="0.25">
      <c r="A19" s="2">
        <v>18</v>
      </c>
      <c r="B19">
        <v>20</v>
      </c>
      <c r="C19">
        <v>24</v>
      </c>
      <c r="D19" s="3">
        <f>IF(Лист12236373839404142[[#This Row],[Итого]]&lt;&gt;"",Лист12236373839404142[[#This Row],[Итого]],"")</f>
        <v>24</v>
      </c>
      <c r="E19" s="2">
        <f t="shared" si="1"/>
        <v>5.5</v>
      </c>
      <c r="F19" s="2">
        <f t="shared" si="0"/>
        <v>94.5</v>
      </c>
    </row>
    <row r="20" spans="1:6" x14ac:dyDescent="0.25">
      <c r="A20" s="2">
        <v>19</v>
      </c>
      <c r="B20">
        <v>21</v>
      </c>
      <c r="C20">
        <v>74</v>
      </c>
      <c r="D20" s="3">
        <f>IF(Лист12236373839404142[[#This Row],[Итого]]&lt;&gt;"",Лист12236373839404142[[#This Row],[Итого]],"")</f>
        <v>74</v>
      </c>
      <c r="E20" s="2">
        <f t="shared" si="1"/>
        <v>16.97</v>
      </c>
      <c r="F20" s="2">
        <f t="shared" si="0"/>
        <v>83.03</v>
      </c>
    </row>
    <row r="21" spans="1:6" x14ac:dyDescent="0.25">
      <c r="A21" s="2">
        <v>20</v>
      </c>
      <c r="B21">
        <v>22</v>
      </c>
      <c r="C21">
        <v>12</v>
      </c>
      <c r="D21" s="3">
        <f>IF(Лист12236373839404142[[#This Row],[Итого]]&lt;&gt;"",Лист12236373839404142[[#This Row],[Итого]],"")</f>
        <v>12</v>
      </c>
      <c r="E21" s="2">
        <f t="shared" si="1"/>
        <v>2.75</v>
      </c>
      <c r="F21" s="2">
        <f t="shared" si="0"/>
        <v>97.25</v>
      </c>
    </row>
    <row r="22" spans="1:6" x14ac:dyDescent="0.25">
      <c r="A22" s="2">
        <v>21</v>
      </c>
      <c r="B22">
        <v>23</v>
      </c>
      <c r="C22">
        <v>36</v>
      </c>
      <c r="D22" s="3">
        <f>IF(Лист12236373839404142[[#This Row],[Итого]]&lt;&gt;"",Лист12236373839404142[[#This Row],[Итого]],"")</f>
        <v>36</v>
      </c>
      <c r="E22" s="2">
        <f t="shared" si="1"/>
        <v>8.26</v>
      </c>
      <c r="F22" s="2">
        <f t="shared" si="0"/>
        <v>91.74</v>
      </c>
    </row>
    <row r="23" spans="1:6" x14ac:dyDescent="0.25">
      <c r="A23" s="2">
        <v>22</v>
      </c>
      <c r="B23">
        <v>24</v>
      </c>
      <c r="C23">
        <v>100</v>
      </c>
      <c r="D23" s="3">
        <f>IF(Лист12236373839404142[[#This Row],[Итого]]&lt;&gt;"",Лист12236373839404142[[#This Row],[Итого]],"")</f>
        <v>100</v>
      </c>
      <c r="E23" s="2">
        <f t="shared" si="1"/>
        <v>22.94</v>
      </c>
      <c r="F23" s="2">
        <f t="shared" si="0"/>
        <v>77.06</v>
      </c>
    </row>
    <row r="24" spans="1:6" x14ac:dyDescent="0.25">
      <c r="A24" s="2">
        <v>23</v>
      </c>
      <c r="B24">
        <v>25</v>
      </c>
      <c r="D24" s="3" t="str">
        <f>IF(Лист12236373839404142[[#This Row],[Итого]]&lt;&gt;"",Лист12236373839404142[[#This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IF(Лист12236373839404142[[#This Row],[Итого]]&lt;&gt;"",Лист12236373839404142[[#This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IF(Лист12236373839404142[[#This Row],[Итого]]&lt;&gt;"",Лист12236373839404142[[#This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IF(Лист12236373839404142[[#This Row],[Итого]]&lt;&gt;"",Лист12236373839404142[[#This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IF(Лист12236373839404142[[#This Row],[Итого]]&lt;&gt;"",Лист12236373839404142[[#This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IF(Лист12236373839404142[[#This Row],[Итого]]&lt;&gt;"",Лист12236373839404142[[#This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IF(Лист12236373839404142[[#This Row],[Итого]]&lt;&gt;"",Лист12236373839404142[[#This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IF(Лист12236373839404142[[#This Row],[Итого]]&lt;&gt;"",Лист12236373839404142[[#This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IF(Лист12236373839404142[[#This Row],[Итого]]&lt;&gt;"",Лист12236373839404142[[#This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IF(Лист12236373839404142[[#This Row],[Итого]]&lt;&gt;"",Лист12236373839404142[[#This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IF(Лист12236373839404142[[#This Row],[Итого]]&lt;&gt;"",Лист12236373839404142[[#This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IF(Лист12236373839404142[[#This Row],[Итого]]&lt;&gt;"",Лист12236373839404142[[#This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IF(Лист12236373839404142[[#This Row],[Итого]]&lt;&gt;"",Лист12236373839404142[[#This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IF(Лист12236373839404142[[#This Row],[Итого]]&lt;&gt;"",Лист12236373839404142[[#This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IF(Лист12236373839404142[[#This Row],[Итого]]&lt;&gt;"",Лист12236373839404142[[#This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IF(Лист12236373839404142[[#This Row],[Итого]]&lt;&gt;"",Лист12236373839404142[[#This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IF(Лист12236373839404142[[#This Row],[Итого]]&lt;&gt;"",Лист12236373839404142[[#This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924</v>
      </c>
      <c r="D41" s="3">
        <f>IF(Лист12236373839404142[[#This Row],[Итого]]&lt;&gt;"",Лист12236373839404142[[#This Row],[Итого]],"")</f>
        <v>924</v>
      </c>
      <c r="E41" s="2">
        <f t="shared" si="1"/>
        <v>211.93</v>
      </c>
      <c r="F41" s="2">
        <f t="shared" si="0"/>
        <v>-111.93</v>
      </c>
    </row>
    <row r="42" spans="1:7" x14ac:dyDescent="0.25">
      <c r="A42" t="s">
        <v>40</v>
      </c>
      <c r="D42" s="17">
        <f>SUM(D2:D41)</f>
        <v>1778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7A8C3-094B-4515-8893-9BDABE43576C}">
  <dimension ref="A1:O42"/>
  <sheetViews>
    <sheetView workbookViewId="0">
      <selection activeCell="N5" sqref="N5"/>
    </sheetView>
  </sheetViews>
  <sheetFormatPr defaultRowHeight="15" x14ac:dyDescent="0.25"/>
  <cols>
    <col min="1" max="1" width="9.28515625" customWidth="1"/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[10]Лист1!$R$2</f>
        <v>135</v>
      </c>
      <c r="L1" s="2" t="s">
        <v>36</v>
      </c>
      <c r="M1" s="2" t="str">
        <f ca="1">MID(CELL("filename",A2),SEARCH("]",CELL("filename",A2))+1,31)</f>
        <v>Мб-52</v>
      </c>
    </row>
    <row r="2" spans="1:15" x14ac:dyDescent="0.25">
      <c r="A2" s="2">
        <v>1</v>
      </c>
      <c r="B2">
        <v>3</v>
      </c>
      <c r="D2" s="3" t="str">
        <f>IF(Лист1223637383940414243[[#This Row],[Итого]]&lt;&gt;"",Лист1223637383940414243[[#This Row],[Итого]],"")</f>
        <v/>
      </c>
      <c r="E2" s="2" t="str">
        <f>IF(D2&lt;&gt;"",ROUND(D2/$K$1/2*100,2),"")</f>
        <v/>
      </c>
      <c r="F2" s="2" t="str">
        <f>IF(E2&lt;&gt;"",100-E2,"")</f>
        <v/>
      </c>
      <c r="J2" s="8" t="s">
        <v>11</v>
      </c>
      <c r="K2" s="8">
        <f>COUNT(D2:D41)</f>
        <v>11</v>
      </c>
      <c r="L2" s="2" t="s">
        <v>37</v>
      </c>
      <c r="M2" s="2">
        <f>[10]Лист1!$U$1</f>
        <v>9</v>
      </c>
      <c r="O2" s="18"/>
    </row>
    <row r="3" spans="1:15" x14ac:dyDescent="0.25">
      <c r="A3" s="2">
        <v>2</v>
      </c>
      <c r="B3">
        <v>4</v>
      </c>
      <c r="C3">
        <v>272</v>
      </c>
      <c r="D3" s="3">
        <f>IF(Лист1223637383940414243[[#This Row],[Итого]]&lt;&gt;"",Лист1223637383940414243[[#This Row],[Итого]],"")</f>
        <v>272</v>
      </c>
      <c r="E3" s="2">
        <f>IF(D3&lt;&gt;"",ROUND(D3/$K$1/2*100,2),"")</f>
        <v>100.74</v>
      </c>
      <c r="F3" s="2">
        <f t="shared" ref="F3:F41" si="0">IF(E3&lt;&gt;"",100-E3,"")</f>
        <v>-0.73999999999999488</v>
      </c>
      <c r="I3" s="19" t="s">
        <v>33</v>
      </c>
      <c r="J3" s="4" t="s">
        <v>3</v>
      </c>
      <c r="K3" s="2">
        <f>ROUND(L3/$K$2*100,0)</f>
        <v>9</v>
      </c>
      <c r="L3" s="9">
        <f>K2-SUM($L$4:$L$7)</f>
        <v>1</v>
      </c>
    </row>
    <row r="4" spans="1:15" ht="26.25" x14ac:dyDescent="0.25">
      <c r="A4" s="2">
        <v>3</v>
      </c>
      <c r="B4">
        <v>5</v>
      </c>
      <c r="D4" s="3" t="str">
        <f>IF(Лист1223637383940414243[[#This Row],[Итого]]&lt;&gt;"",Лист1223637383940414243[[#This Row],[Итого]],"")</f>
        <v/>
      </c>
      <c r="E4" s="2" t="str">
        <f t="shared" ref="E4:E41" si="1">IF(D4&lt;&gt;"",ROUND(D4/$K$1/2*100,2),"")</f>
        <v/>
      </c>
      <c r="F4" s="2" t="str">
        <f t="shared" si="0"/>
        <v/>
      </c>
      <c r="I4" s="19"/>
      <c r="J4" s="4" t="s">
        <v>4</v>
      </c>
      <c r="K4" s="2">
        <f t="shared" ref="K4:K6" si="2">ROUND(L4/$K$2*100,0)</f>
        <v>18</v>
      </c>
      <c r="L4" s="2">
        <f t="array" ref="L4">SUM(($E$2:$E$37&gt;=10)*(($E$2:$E$37)&lt;30))</f>
        <v>2</v>
      </c>
    </row>
    <row r="5" spans="1:15" ht="26.25" x14ac:dyDescent="0.25">
      <c r="A5" s="2">
        <v>4</v>
      </c>
      <c r="B5">
        <v>6</v>
      </c>
      <c r="C5">
        <v>174</v>
      </c>
      <c r="D5" s="3">
        <f>IF(Лист1223637383940414243[[#This Row],[Итого]]&lt;&gt;"",Лист1223637383940414243[[#This Row],[Итого]],"")</f>
        <v>174</v>
      </c>
      <c r="E5" s="2">
        <f t="shared" si="1"/>
        <v>64.44</v>
      </c>
      <c r="F5" s="2">
        <f t="shared" si="0"/>
        <v>35.56</v>
      </c>
      <c r="I5" s="19"/>
      <c r="J5" s="4" t="s">
        <v>5</v>
      </c>
      <c r="K5" s="2">
        <f t="shared" si="2"/>
        <v>27</v>
      </c>
      <c r="L5" s="2">
        <f t="array" ref="L5">SUM(($E$2:$E$37&gt;=30)*(($E$2:$E$37)&lt;50))</f>
        <v>3</v>
      </c>
    </row>
    <row r="6" spans="1:15" ht="26.25" x14ac:dyDescent="0.25">
      <c r="A6" s="2">
        <v>5</v>
      </c>
      <c r="B6">
        <v>7</v>
      </c>
      <c r="C6">
        <v>96</v>
      </c>
      <c r="D6" s="3">
        <f>IF(Лист1223637383940414243[[#This Row],[Итого]]&lt;&gt;"",Лист1223637383940414243[[#This Row],[Итого]],"")</f>
        <v>96</v>
      </c>
      <c r="E6" s="2">
        <f t="shared" si="1"/>
        <v>35.56</v>
      </c>
      <c r="F6" s="2">
        <f t="shared" si="0"/>
        <v>64.44</v>
      </c>
      <c r="I6" s="19"/>
      <c r="J6" s="4" t="s">
        <v>6</v>
      </c>
      <c r="K6" s="2">
        <f t="shared" si="2"/>
        <v>36</v>
      </c>
      <c r="L6" s="2">
        <f t="array" ref="L6">SUM(($E$2:$E$37&gt;=50)*(($E$2:$E$37)&lt;70))</f>
        <v>4</v>
      </c>
    </row>
    <row r="7" spans="1:15" ht="26.25" x14ac:dyDescent="0.25">
      <c r="A7" s="2">
        <v>6</v>
      </c>
      <c r="B7">
        <v>8</v>
      </c>
      <c r="C7">
        <v>86</v>
      </c>
      <c r="D7" s="3">
        <f>IF(Лист1223637383940414243[[#This Row],[Итого]]&lt;&gt;"",Лист1223637383940414243[[#This Row],[Итого]],"")</f>
        <v>86</v>
      </c>
      <c r="E7" s="2">
        <f t="shared" si="1"/>
        <v>31.85</v>
      </c>
      <c r="F7" s="2">
        <f t="shared" si="0"/>
        <v>68.150000000000006</v>
      </c>
      <c r="I7" s="19"/>
      <c r="J7" s="4" t="s">
        <v>7</v>
      </c>
      <c r="K7" s="2">
        <f>100-SUM($K$3:$K$6)</f>
        <v>10</v>
      </c>
      <c r="L7" s="2">
        <f t="array" ref="L7">SUM(($E$2:$E$37&gt;=70)*(($E$2:$E$37)&lt;100))</f>
        <v>1</v>
      </c>
    </row>
    <row r="8" spans="1:15" x14ac:dyDescent="0.25">
      <c r="A8" s="2">
        <v>7</v>
      </c>
      <c r="B8">
        <v>9</v>
      </c>
      <c r="D8" s="3" t="str">
        <f>IF(Лист1223637383940414243[[#This Row],[Итого]]&lt;&gt;"",Лист1223637383940414243[[#This Row],[Итого]],"")</f>
        <v/>
      </c>
      <c r="E8" s="2" t="str">
        <f t="shared" si="1"/>
        <v/>
      </c>
      <c r="F8" s="2" t="str">
        <f t="shared" si="0"/>
        <v/>
      </c>
    </row>
    <row r="9" spans="1:15" x14ac:dyDescent="0.25">
      <c r="A9" s="2">
        <v>8</v>
      </c>
      <c r="B9">
        <v>10</v>
      </c>
      <c r="C9">
        <v>170</v>
      </c>
      <c r="D9" s="3">
        <f>IF(Лист1223637383940414243[[#This Row],[Итого]]&lt;&gt;"",Лист1223637383940414243[[#This Row],[Итого]],"")</f>
        <v>170</v>
      </c>
      <c r="E9" s="2">
        <f t="shared" si="1"/>
        <v>62.96</v>
      </c>
      <c r="F9" s="2">
        <f t="shared" si="0"/>
        <v>37.04</v>
      </c>
      <c r="K9" t="s">
        <v>31</v>
      </c>
    </row>
    <row r="10" spans="1:15" ht="26.25" x14ac:dyDescent="0.25">
      <c r="A10" s="2">
        <v>9</v>
      </c>
      <c r="B10">
        <v>11</v>
      </c>
      <c r="D10" s="3" t="str">
        <f>IF(Лист1223637383940414243[[#This Row],[Итого]]&lt;&gt;"",Лист1223637383940414243[[#This Row],[Итого]],"")</f>
        <v/>
      </c>
      <c r="E10" s="2" t="str">
        <f t="shared" si="1"/>
        <v/>
      </c>
      <c r="F10" s="2" t="str">
        <f t="shared" si="0"/>
        <v/>
      </c>
      <c r="I10" s="19" t="s">
        <v>34</v>
      </c>
      <c r="J10" s="4" t="s">
        <v>42</v>
      </c>
      <c r="K10" s="2">
        <f t="shared" ref="K10:K13" si="3">ROUND(L10/$K$2*100,0)</f>
        <v>9</v>
      </c>
      <c r="L10" s="2">
        <f t="array" ref="L10">SUM(($F$2:$F$37&gt;=0)*(($F$2:$F$37)&lt;30))</f>
        <v>1</v>
      </c>
    </row>
    <row r="11" spans="1:15" ht="26.25" x14ac:dyDescent="0.25">
      <c r="A11" s="2">
        <v>10</v>
      </c>
      <c r="B11">
        <v>12</v>
      </c>
      <c r="D11" s="3" t="str">
        <f>IF(Лист1223637383940414243[[#This Row],[Итого]]&lt;&gt;"",Лист1223637383940414243[[#This Row],[Итого]],"")</f>
        <v/>
      </c>
      <c r="E11" s="2" t="str">
        <f t="shared" si="1"/>
        <v/>
      </c>
      <c r="F11" s="2" t="str">
        <f t="shared" si="0"/>
        <v/>
      </c>
      <c r="I11" s="19"/>
      <c r="J11" s="4" t="s">
        <v>5</v>
      </c>
      <c r="K11" s="2">
        <f t="shared" si="3"/>
        <v>36</v>
      </c>
      <c r="L11" s="2">
        <f t="array" ref="L11">SUM(($F$2:$F$37&gt;=30)*(($F$2:$F$37)&lt;50))</f>
        <v>4</v>
      </c>
    </row>
    <row r="12" spans="1:15" ht="26.25" x14ac:dyDescent="0.25">
      <c r="A12" s="2">
        <v>11</v>
      </c>
      <c r="B12">
        <v>13</v>
      </c>
      <c r="C12">
        <v>150</v>
      </c>
      <c r="D12" s="3">
        <f>IF(Лист1223637383940414243[[#This Row],[Итого]]&lt;&gt;"",Лист1223637383940414243[[#This Row],[Итого]],"")</f>
        <v>150</v>
      </c>
      <c r="E12" s="2">
        <f t="shared" si="1"/>
        <v>55.56</v>
      </c>
      <c r="F12" s="2">
        <f t="shared" si="0"/>
        <v>44.44</v>
      </c>
      <c r="I12" s="19"/>
      <c r="J12" s="4" t="s">
        <v>28</v>
      </c>
      <c r="K12" s="2">
        <f t="shared" si="3"/>
        <v>36</v>
      </c>
      <c r="L12" s="2">
        <f t="array" ref="L12">SUM(($F$2:$F$37&gt;=50)*(($F$2:$F$37)&lt;75))</f>
        <v>4</v>
      </c>
    </row>
    <row r="13" spans="1:15" ht="26.25" x14ac:dyDescent="0.25">
      <c r="A13" s="2">
        <v>12</v>
      </c>
      <c r="B13">
        <v>14</v>
      </c>
      <c r="C13">
        <v>130</v>
      </c>
      <c r="D13" s="3">
        <f>IF(Лист1223637383940414243[[#This Row],[Итого]]&lt;&gt;"",Лист1223637383940414243[[#This Row],[Итого]],"")</f>
        <v>130</v>
      </c>
      <c r="E13" s="2">
        <f t="shared" si="1"/>
        <v>48.15</v>
      </c>
      <c r="F13" s="2">
        <f t="shared" si="0"/>
        <v>51.85</v>
      </c>
      <c r="I13" s="19"/>
      <c r="J13" s="4" t="s">
        <v>29</v>
      </c>
      <c r="K13" s="2">
        <f t="shared" si="3"/>
        <v>9</v>
      </c>
      <c r="L13" s="2">
        <f t="array" ref="L13">SUM(($F$2:$F$37&gt;=75)*(($F$2:$F$37)&lt;90))</f>
        <v>1</v>
      </c>
    </row>
    <row r="14" spans="1:15" ht="26.25" x14ac:dyDescent="0.25">
      <c r="A14" s="2">
        <v>13</v>
      </c>
      <c r="B14">
        <v>15</v>
      </c>
      <c r="C14">
        <v>136</v>
      </c>
      <c r="D14" s="3">
        <f>IF(Лист1223637383940414243[[#This Row],[Итого]]&lt;&gt;"",Лист1223637383940414243[[#This Row],[Итого]],"")</f>
        <v>136</v>
      </c>
      <c r="E14" s="2">
        <f t="shared" si="1"/>
        <v>50.37</v>
      </c>
      <c r="F14" s="2">
        <f t="shared" si="0"/>
        <v>49.63</v>
      </c>
      <c r="I14" s="19"/>
      <c r="J14" s="7" t="s">
        <v>30</v>
      </c>
      <c r="K14" s="2">
        <f>100-SUM($K$9:$K$13)</f>
        <v>10</v>
      </c>
      <c r="L14" s="2">
        <f>$K$2-SUM(L9:L$13)</f>
        <v>1</v>
      </c>
    </row>
    <row r="15" spans="1:15" x14ac:dyDescent="0.25">
      <c r="A15" s="2">
        <v>14</v>
      </c>
      <c r="B15">
        <v>16</v>
      </c>
      <c r="D15" s="3" t="str">
        <f>IF(Лист1223637383940414243[[#This Row],[Итого]]&lt;&gt;"",Лист1223637383940414243[[#This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C16">
        <v>78</v>
      </c>
      <c r="D16" s="3">
        <f>IF(Лист1223637383940414243[[#This Row],[Итого]]&lt;&gt;"",Лист1223637383940414243[[#This Row],[Итого]],"")</f>
        <v>78</v>
      </c>
      <c r="E16" s="2">
        <f t="shared" si="1"/>
        <v>28.89</v>
      </c>
      <c r="F16" s="2">
        <f t="shared" si="0"/>
        <v>71.11</v>
      </c>
    </row>
    <row r="17" spans="1:6" x14ac:dyDescent="0.25">
      <c r="A17" s="2">
        <v>16</v>
      </c>
      <c r="B17">
        <v>18</v>
      </c>
      <c r="D17" s="3" t="str">
        <f>IF(Лист1223637383940414243[[#This Row],[Итого]]&lt;&gt;"",Лист1223637383940414243[[#This Row],[Итого]],"")</f>
        <v/>
      </c>
      <c r="E17" s="2" t="str">
        <f t="shared" si="1"/>
        <v/>
      </c>
      <c r="F17" s="2" t="str">
        <f t="shared" si="0"/>
        <v/>
      </c>
    </row>
    <row r="18" spans="1:6" x14ac:dyDescent="0.25">
      <c r="A18" s="2">
        <v>17</v>
      </c>
      <c r="B18">
        <v>19</v>
      </c>
      <c r="D18" s="3" t="str">
        <f>IF(Лист1223637383940414243[[#This Row],[Итого]]&lt;&gt;"",Лист1223637383940414243[[#This Row],[Итого]],"")</f>
        <v/>
      </c>
      <c r="E18" s="2" t="str">
        <f t="shared" si="1"/>
        <v/>
      </c>
      <c r="F18" s="2" t="str">
        <f t="shared" si="0"/>
        <v/>
      </c>
    </row>
    <row r="19" spans="1:6" x14ac:dyDescent="0.25">
      <c r="A19" s="2">
        <v>18</v>
      </c>
      <c r="B19">
        <v>20</v>
      </c>
      <c r="D19" s="3" t="str">
        <f>IF(Лист1223637383940414243[[#This Row],[Итого]]&lt;&gt;"",Лист1223637383940414243[[#This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C20">
        <v>236</v>
      </c>
      <c r="D20" s="3">
        <f>IF(Лист1223637383940414243[[#This Row],[Итого]]&lt;&gt;"",Лист1223637383940414243[[#This Row],[Итого]],"")</f>
        <v>236</v>
      </c>
      <c r="E20" s="2">
        <f t="shared" si="1"/>
        <v>87.41</v>
      </c>
      <c r="F20" s="2">
        <f t="shared" si="0"/>
        <v>12.590000000000003</v>
      </c>
    </row>
    <row r="21" spans="1:6" x14ac:dyDescent="0.25">
      <c r="A21" s="2">
        <v>20</v>
      </c>
      <c r="B21">
        <v>22</v>
      </c>
      <c r="C21">
        <v>32</v>
      </c>
      <c r="D21" s="3">
        <f>IF(Лист1223637383940414243[[#This Row],[Итого]]&lt;&gt;"",Лист1223637383940414243[[#This Row],[Итого]],"")</f>
        <v>32</v>
      </c>
      <c r="E21" s="2">
        <f t="shared" si="1"/>
        <v>11.85</v>
      </c>
      <c r="F21" s="2">
        <f t="shared" si="0"/>
        <v>88.15</v>
      </c>
    </row>
    <row r="22" spans="1:6" x14ac:dyDescent="0.25">
      <c r="A22" s="2">
        <v>21</v>
      </c>
      <c r="B22">
        <v>23</v>
      </c>
      <c r="D22" s="3" t="str">
        <f>IF(Лист1223637383940414243[[#This Row],[Итого]]&lt;&gt;"",Лист1223637383940414243[[#This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D23" s="3" t="str">
        <f>IF(Лист1223637383940414243[[#This Row],[Итого]]&lt;&gt;"",Лист1223637383940414243[[#This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D24" s="3" t="str">
        <f>IF(Лист1223637383940414243[[#This Row],[Итого]]&lt;&gt;"",Лист1223637383940414243[[#This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IF(Лист1223637383940414243[[#This Row],[Итого]]&lt;&gt;"",Лист1223637383940414243[[#This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IF(Лист1223637383940414243[[#This Row],[Итого]]&lt;&gt;"",Лист1223637383940414243[[#This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IF(Лист1223637383940414243[[#This Row],[Итого]]&lt;&gt;"",Лист1223637383940414243[[#This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IF(Лист1223637383940414243[[#This Row],[Итого]]&lt;&gt;"",Лист1223637383940414243[[#This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IF(Лист1223637383940414243[[#This Row],[Итого]]&lt;&gt;"",Лист1223637383940414243[[#This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IF(Лист1223637383940414243[[#This Row],[Итого]]&lt;&gt;"",Лист1223637383940414243[[#This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IF(Лист1223637383940414243[[#This Row],[Итого]]&lt;&gt;"",Лист1223637383940414243[[#This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IF(Лист1223637383940414243[[#This Row],[Итого]]&lt;&gt;"",Лист1223637383940414243[[#This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IF(Лист1223637383940414243[[#This Row],[Итого]]&lt;&gt;"",Лист1223637383940414243[[#This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IF(Лист1223637383940414243[[#This Row],[Итого]]&lt;&gt;"",Лист1223637383940414243[[#This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IF(Лист1223637383940414243[[#This Row],[Итого]]&lt;&gt;"",Лист1223637383940414243[[#This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IF(Лист1223637383940414243[[#This Row],[Итого]]&lt;&gt;"",Лист1223637383940414243[[#This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IF(Лист1223637383940414243[[#This Row],[Итого]]&lt;&gt;"",Лист1223637383940414243[[#This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IF(Лист1223637383940414243[[#This Row],[Итого]]&lt;&gt;"",Лист1223637383940414243[[#This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IF(Лист1223637383940414243[[#This Row],[Итого]]&lt;&gt;"",Лист1223637383940414243[[#This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IF(Лист1223637383940414243[[#This Row],[Итого]]&lt;&gt;"",Лист1223637383940414243[[#This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D41" s="3" t="str">
        <f>IF(Лист1223637383940414243[[#This Row],[Итого]]&lt;&gt;"",Лист1223637383940414243[[#This Row],[Итого]],"")</f>
        <v/>
      </c>
      <c r="E41" s="2" t="str">
        <f t="shared" si="1"/>
        <v/>
      </c>
      <c r="F41" s="2" t="str">
        <f t="shared" si="0"/>
        <v/>
      </c>
    </row>
    <row r="42" spans="1:7" x14ac:dyDescent="0.25">
      <c r="A42" t="s">
        <v>40</v>
      </c>
      <c r="D42" s="17">
        <f>SUM(D2:D41)</f>
        <v>1560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D2D-110B-4304-BFE1-C580DAC20BD3}">
  <dimension ref="A1:O42"/>
  <sheetViews>
    <sheetView workbookViewId="0">
      <selection activeCell="M6" sqref="M6"/>
    </sheetView>
  </sheetViews>
  <sheetFormatPr defaultRowHeight="15" x14ac:dyDescent="0.25"/>
  <cols>
    <col min="2" max="2" width="10.140625" hidden="1" customWidth="1"/>
    <col min="3" max="3" width="8.570312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  <col min="16" max="16" width="10.28515625" bestFit="1" customWidth="1"/>
  </cols>
  <sheetData>
    <row r="1" spans="1:15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[11]Лист1!$R$2</f>
        <v>233</v>
      </c>
      <c r="L1" s="2" t="s">
        <v>36</v>
      </c>
      <c r="M1" s="2" t="str">
        <f ca="1">MID(CELL("filename",A2),SEARCH("]",CELL("filename",A2))+1,31)</f>
        <v>УПб-51</v>
      </c>
    </row>
    <row r="2" spans="1:15" x14ac:dyDescent="0.25">
      <c r="A2" s="2">
        <v>1</v>
      </c>
      <c r="B2">
        <v>3</v>
      </c>
      <c r="C2">
        <v>72</v>
      </c>
      <c r="D2" s="3">
        <f>IF(Лист122363738394041424344[[#This Row],[Итого]]&lt;&gt;"",Лист122363738394041424344[[#This Row],[Итого]],"")</f>
        <v>72</v>
      </c>
      <c r="E2" s="2">
        <f>IF(D2&lt;&gt;"",ROUND(D2/$K$1/2*100,2),"")</f>
        <v>15.45</v>
      </c>
      <c r="F2" s="2">
        <f>IF(E2&lt;&gt;"",100-E2,"")</f>
        <v>84.55</v>
      </c>
      <c r="J2" s="8" t="s">
        <v>11</v>
      </c>
      <c r="K2" s="8">
        <f>COUNT(D2:D41)</f>
        <v>12</v>
      </c>
      <c r="L2" s="2" t="s">
        <v>37</v>
      </c>
      <c r="M2" s="2">
        <f>[11]Лист1!$U$1</f>
        <v>16</v>
      </c>
      <c r="O2" s="18"/>
    </row>
    <row r="3" spans="1:15" x14ac:dyDescent="0.25">
      <c r="A3" s="2">
        <v>2</v>
      </c>
      <c r="B3">
        <v>4</v>
      </c>
      <c r="D3" s="3" t="str">
        <f>IF(Лист122363738394041424344[[#This Row],[Итого]]&lt;&gt;"",Лист122363738394041424344[[#This Row],[Итого]],"")</f>
        <v/>
      </c>
      <c r="E3" s="2" t="str">
        <f>IF(D3&lt;&gt;"",ROUND(D3/$K$1/2*100,2),"")</f>
        <v/>
      </c>
      <c r="F3" s="2" t="str">
        <f t="shared" ref="F3:F41" si="0">IF(E3&lt;&gt;"",100-E3,"")</f>
        <v/>
      </c>
      <c r="I3" s="19" t="s">
        <v>33</v>
      </c>
      <c r="J3" s="4" t="s">
        <v>3</v>
      </c>
      <c r="K3" s="2">
        <f>ROUND(L3/$K$2*100,0)</f>
        <v>42</v>
      </c>
      <c r="L3" s="9">
        <f>K2-SUM($L$4:$L$7)</f>
        <v>5</v>
      </c>
    </row>
    <row r="4" spans="1:15" ht="26.25" x14ac:dyDescent="0.25">
      <c r="A4" s="2">
        <v>3</v>
      </c>
      <c r="B4">
        <v>5</v>
      </c>
      <c r="D4" s="3" t="str">
        <f>IF(Лист122363738394041424344[[#This Row],[Итого]]&lt;&gt;"",Лист122363738394041424344[[#This Row],[Итого]],"")</f>
        <v/>
      </c>
      <c r="E4" s="2" t="str">
        <f t="shared" ref="E4:E41" si="1">IF(D4&lt;&gt;"",ROUND(D4/$K$1/2*100,2),"")</f>
        <v/>
      </c>
      <c r="F4" s="2" t="str">
        <f t="shared" si="0"/>
        <v/>
      </c>
      <c r="I4" s="19"/>
      <c r="J4" s="4" t="s">
        <v>4</v>
      </c>
      <c r="K4" s="2">
        <f t="shared" ref="K4:K6" si="2">ROUND(L4/$K$2*100,0)</f>
        <v>25</v>
      </c>
      <c r="L4" s="2">
        <f t="array" ref="L4">SUM(($E$2:$E$37&gt;=10)*(($E$2:$E$37)&lt;30))</f>
        <v>3</v>
      </c>
    </row>
    <row r="5" spans="1:15" ht="26.25" x14ac:dyDescent="0.25">
      <c r="A5" s="2">
        <v>4</v>
      </c>
      <c r="B5">
        <v>6</v>
      </c>
      <c r="D5" s="3" t="str">
        <f>IF(Лист122363738394041424344[[#This Row],[Итого]]&lt;&gt;"",Лист122363738394041424344[[#This Row],[Итого]],"")</f>
        <v/>
      </c>
      <c r="E5" s="2" t="str">
        <f t="shared" si="1"/>
        <v/>
      </c>
      <c r="F5" s="2" t="str">
        <f t="shared" si="0"/>
        <v/>
      </c>
      <c r="I5" s="19"/>
      <c r="J5" s="4" t="s">
        <v>5</v>
      </c>
      <c r="K5" s="2">
        <f t="shared" si="2"/>
        <v>33</v>
      </c>
      <c r="L5" s="2">
        <f t="array" ref="L5">SUM(($E$2:$E$37&gt;=30)*(($E$2:$E$37)&lt;50))</f>
        <v>4</v>
      </c>
    </row>
    <row r="6" spans="1:15" ht="26.25" x14ac:dyDescent="0.25">
      <c r="A6" s="2">
        <v>5</v>
      </c>
      <c r="B6">
        <v>7</v>
      </c>
      <c r="C6">
        <v>170</v>
      </c>
      <c r="D6" s="3">
        <f>IF(Лист122363738394041424344[[#This Row],[Итого]]&lt;&gt;"",Лист122363738394041424344[[#This Row],[Итого]],"")</f>
        <v>170</v>
      </c>
      <c r="E6" s="2">
        <f t="shared" si="1"/>
        <v>36.479999999999997</v>
      </c>
      <c r="F6" s="2">
        <f t="shared" si="0"/>
        <v>63.52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5" ht="26.25" x14ac:dyDescent="0.25">
      <c r="A7" s="2">
        <v>6</v>
      </c>
      <c r="B7">
        <v>8</v>
      </c>
      <c r="D7" s="3" t="str">
        <f>IF(Лист122363738394041424344[[#This Row],[Итого]]&lt;&gt;"",Лист122363738394041424344[[#This Row],[Итого]],"")</f>
        <v/>
      </c>
      <c r="E7" s="2" t="str">
        <f t="shared" si="1"/>
        <v/>
      </c>
      <c r="F7" s="2" t="str">
        <f t="shared" si="0"/>
        <v/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5" x14ac:dyDescent="0.25">
      <c r="A8" s="2">
        <v>7</v>
      </c>
      <c r="B8">
        <v>9</v>
      </c>
      <c r="D8" s="3" t="str">
        <f>IF(Лист122363738394041424344[[#This Row],[Итого]]&lt;&gt;"",Лист122363738394041424344[[#This Row],[Итого]],"")</f>
        <v/>
      </c>
      <c r="E8" s="2" t="str">
        <f t="shared" si="1"/>
        <v/>
      </c>
      <c r="F8" s="2" t="str">
        <f t="shared" si="0"/>
        <v/>
      </c>
    </row>
    <row r="9" spans="1:15" x14ac:dyDescent="0.25">
      <c r="A9" s="2">
        <v>8</v>
      </c>
      <c r="B9">
        <v>10</v>
      </c>
      <c r="D9" s="3" t="str">
        <f>IF(Лист122363738394041424344[[#This Row],[Итого]]&lt;&gt;"",Лист122363738394041424344[[#This Row],[Итого]],"")</f>
        <v/>
      </c>
      <c r="E9" s="2" t="str">
        <f t="shared" si="1"/>
        <v/>
      </c>
      <c r="F9" s="2" t="str">
        <f t="shared" si="0"/>
        <v/>
      </c>
      <c r="K9" t="s">
        <v>31</v>
      </c>
    </row>
    <row r="10" spans="1:15" ht="26.25" x14ac:dyDescent="0.25">
      <c r="A10" s="2">
        <v>9</v>
      </c>
      <c r="B10">
        <v>11</v>
      </c>
      <c r="C10">
        <v>16</v>
      </c>
      <c r="D10" s="3">
        <f>IF(Лист122363738394041424344[[#This Row],[Итого]]&lt;&gt;"",Лист122363738394041424344[[#This Row],[Итого]],"")</f>
        <v>16</v>
      </c>
      <c r="E10" s="2">
        <f t="shared" si="1"/>
        <v>3.43</v>
      </c>
      <c r="F10" s="2">
        <f t="shared" si="0"/>
        <v>96.57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5" ht="26.25" x14ac:dyDescent="0.25">
      <c r="A11" s="2">
        <v>10</v>
      </c>
      <c r="B11">
        <v>12</v>
      </c>
      <c r="C11">
        <v>26</v>
      </c>
      <c r="D11" s="3">
        <f>IF(Лист122363738394041424344[[#This Row],[Итого]]&lt;&gt;"",Лист122363738394041424344[[#This Row],[Итого]],"")</f>
        <v>26</v>
      </c>
      <c r="E11" s="2">
        <f t="shared" si="1"/>
        <v>5.58</v>
      </c>
      <c r="F11" s="2">
        <f t="shared" si="0"/>
        <v>94.42</v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5" ht="26.25" x14ac:dyDescent="0.25">
      <c r="A12" s="2">
        <v>11</v>
      </c>
      <c r="B12">
        <v>13</v>
      </c>
      <c r="C12">
        <v>90</v>
      </c>
      <c r="D12" s="3">
        <f>IF(Лист122363738394041424344[[#This Row],[Итого]]&lt;&gt;"",Лист122363738394041424344[[#This Row],[Итого]],"")</f>
        <v>90</v>
      </c>
      <c r="E12" s="2">
        <f t="shared" si="1"/>
        <v>19.309999999999999</v>
      </c>
      <c r="F12" s="2">
        <f t="shared" si="0"/>
        <v>80.69</v>
      </c>
      <c r="I12" s="19"/>
      <c r="J12" s="4" t="s">
        <v>28</v>
      </c>
      <c r="K12" s="2">
        <f t="shared" si="3"/>
        <v>33</v>
      </c>
      <c r="L12" s="2">
        <f t="array" ref="L12">SUM(($F$2:$F$37&gt;=50)*(($F$2:$F$37)&lt;75))</f>
        <v>4</v>
      </c>
    </row>
    <row r="13" spans="1:15" ht="26.25" x14ac:dyDescent="0.25">
      <c r="A13" s="2">
        <v>12</v>
      </c>
      <c r="B13">
        <v>14</v>
      </c>
      <c r="C13">
        <v>54</v>
      </c>
      <c r="D13" s="3">
        <f>IF(Лист122363738394041424344[[#This Row],[Итого]]&lt;&gt;"",Лист122363738394041424344[[#This Row],[Итого]],"")</f>
        <v>54</v>
      </c>
      <c r="E13" s="2">
        <f t="shared" si="1"/>
        <v>11.59</v>
      </c>
      <c r="F13" s="2">
        <f t="shared" si="0"/>
        <v>88.41</v>
      </c>
      <c r="I13" s="19"/>
      <c r="J13" s="4" t="s">
        <v>29</v>
      </c>
      <c r="K13" s="2">
        <f t="shared" si="3"/>
        <v>25</v>
      </c>
      <c r="L13" s="2">
        <f t="array" ref="L13">SUM(($F$2:$F$37&gt;=75)*(($F$2:$F$37)&lt;90))</f>
        <v>3</v>
      </c>
    </row>
    <row r="14" spans="1:15" ht="26.25" x14ac:dyDescent="0.25">
      <c r="A14" s="2">
        <v>13</v>
      </c>
      <c r="B14">
        <v>15</v>
      </c>
      <c r="C14">
        <v>158</v>
      </c>
      <c r="D14" s="3">
        <f>IF(Лист122363738394041424344[[#This Row],[Итого]]&lt;&gt;"",Лист122363738394041424344[[#This Row],[Итого]],"")</f>
        <v>158</v>
      </c>
      <c r="E14" s="2">
        <f t="shared" si="1"/>
        <v>33.909999999999997</v>
      </c>
      <c r="F14" s="2">
        <f t="shared" si="0"/>
        <v>66.09</v>
      </c>
      <c r="I14" s="19"/>
      <c r="J14" s="7" t="s">
        <v>30</v>
      </c>
      <c r="K14" s="2">
        <f>100-SUM($K$9:$K$13)</f>
        <v>42</v>
      </c>
      <c r="L14" s="2">
        <f>$K$2-SUM(L9:L$13)</f>
        <v>5</v>
      </c>
    </row>
    <row r="15" spans="1:15" x14ac:dyDescent="0.25">
      <c r="A15" s="2">
        <v>14</v>
      </c>
      <c r="B15">
        <v>16</v>
      </c>
      <c r="D15" s="3" t="str">
        <f>IF(Лист122363738394041424344[[#This Row],[Итого]]&lt;&gt;"",Лист122363738394041424344[[#This Row],[Итого]],"")</f>
        <v/>
      </c>
      <c r="E15" s="2" t="str">
        <f t="shared" si="1"/>
        <v/>
      </c>
      <c r="F15" s="2" t="str">
        <f t="shared" si="0"/>
        <v/>
      </c>
    </row>
    <row r="16" spans="1:15" x14ac:dyDescent="0.25">
      <c r="A16" s="2">
        <v>15</v>
      </c>
      <c r="B16">
        <v>17</v>
      </c>
      <c r="C16">
        <v>146</v>
      </c>
      <c r="D16" s="3">
        <f>IF(Лист122363738394041424344[[#This Row],[Итого]]&lt;&gt;"",Лист122363738394041424344[[#This Row],[Итого]],"")</f>
        <v>146</v>
      </c>
      <c r="E16" s="2">
        <f t="shared" si="1"/>
        <v>31.33</v>
      </c>
      <c r="F16" s="2">
        <f t="shared" si="0"/>
        <v>68.67</v>
      </c>
    </row>
    <row r="17" spans="1:6" x14ac:dyDescent="0.25">
      <c r="A17" s="2">
        <v>16</v>
      </c>
      <c r="B17">
        <v>18</v>
      </c>
      <c r="C17">
        <v>184</v>
      </c>
      <c r="D17" s="3">
        <f>IF(Лист122363738394041424344[[#This Row],[Итого]]&lt;&gt;"",Лист122363738394041424344[[#This Row],[Итого]],"")</f>
        <v>184</v>
      </c>
      <c r="E17" s="2">
        <f t="shared" si="1"/>
        <v>39.479999999999997</v>
      </c>
      <c r="F17" s="2">
        <f t="shared" si="0"/>
        <v>60.52</v>
      </c>
    </row>
    <row r="18" spans="1:6" x14ac:dyDescent="0.25">
      <c r="A18" s="2">
        <v>17</v>
      </c>
      <c r="B18">
        <v>19</v>
      </c>
      <c r="D18" s="3" t="str">
        <f>IF(Лист122363738394041424344[[#This Row],[Итого]]&lt;&gt;"",Лист122363738394041424344[[#This Row],[Итого]],"")</f>
        <v/>
      </c>
      <c r="E18" s="2" t="str">
        <f t="shared" si="1"/>
        <v/>
      </c>
      <c r="F18" s="2" t="str">
        <f t="shared" si="0"/>
        <v/>
      </c>
    </row>
    <row r="19" spans="1:6" x14ac:dyDescent="0.25">
      <c r="A19" s="2">
        <v>18</v>
      </c>
      <c r="B19">
        <v>20</v>
      </c>
      <c r="D19" s="3" t="str">
        <f>IF(Лист122363738394041424344[[#This Row],[Итого]]&lt;&gt;"",Лист122363738394041424344[[#This Row],[Итого]],"")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C20">
        <v>6</v>
      </c>
      <c r="D20" s="3">
        <f>IF(Лист122363738394041424344[[#This Row],[Итого]]&lt;&gt;"",Лист122363738394041424344[[#This Row],[Итого]],"")</f>
        <v>6</v>
      </c>
      <c r="E20" s="2">
        <f t="shared" si="1"/>
        <v>1.29</v>
      </c>
      <c r="F20" s="2">
        <f t="shared" si="0"/>
        <v>98.71</v>
      </c>
    </row>
    <row r="21" spans="1:6" x14ac:dyDescent="0.25">
      <c r="A21" s="2">
        <v>20</v>
      </c>
      <c r="B21">
        <v>22</v>
      </c>
      <c r="C21">
        <v>20</v>
      </c>
      <c r="D21" s="3">
        <f>IF(Лист122363738394041424344[[#This Row],[Итого]]&lt;&gt;"",Лист122363738394041424344[[#This Row],[Итого]],"")</f>
        <v>20</v>
      </c>
      <c r="E21" s="2">
        <f t="shared" si="1"/>
        <v>4.29</v>
      </c>
      <c r="F21" s="2">
        <f t="shared" si="0"/>
        <v>95.71</v>
      </c>
    </row>
    <row r="22" spans="1:6" x14ac:dyDescent="0.25">
      <c r="A22" s="2">
        <v>21</v>
      </c>
      <c r="B22">
        <v>23</v>
      </c>
      <c r="D22" s="3" t="str">
        <f>IF(Лист122363738394041424344[[#This Row],[Итого]]&lt;&gt;"",Лист122363738394041424344[[#This Row],[Итого]],"")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D23" s="3" t="str">
        <f>IF(Лист122363738394041424344[[#This Row],[Итого]]&lt;&gt;"",Лист122363738394041424344[[#This Row],[Итого]],"")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D24" s="3" t="str">
        <f>IF(Лист122363738394041424344[[#This Row],[Итого]]&lt;&gt;"",Лист122363738394041424344[[#This Row],[Итого]],"")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D25" s="3" t="str">
        <f>IF(Лист122363738394041424344[[#This Row],[Итого]]&lt;&gt;"",Лист122363738394041424344[[#This Row],[Итого]],"")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D26" s="3" t="str">
        <f>IF(Лист122363738394041424344[[#This Row],[Итого]]&lt;&gt;"",Лист122363738394041424344[[#This Row],[Итого]],"")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D27" s="3" t="str">
        <f>IF(Лист122363738394041424344[[#This Row],[Итого]]&lt;&gt;"",Лист122363738394041424344[[#This Row],[Итого]],"")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D28" s="3" t="str">
        <f>IF(Лист122363738394041424344[[#This Row],[Итого]]&lt;&gt;"",Лист122363738394041424344[[#This Row],[Итого]],"")</f>
        <v/>
      </c>
      <c r="E28" s="2" t="str">
        <f t="shared" si="1"/>
        <v/>
      </c>
      <c r="F28" s="2" t="str">
        <f t="shared" si="0"/>
        <v/>
      </c>
    </row>
    <row r="29" spans="1:6" x14ac:dyDescent="0.25">
      <c r="A29" s="2">
        <v>28</v>
      </c>
      <c r="B29">
        <v>30</v>
      </c>
      <c r="D29" s="3" t="str">
        <f>IF(Лист122363738394041424344[[#This Row],[Итого]]&lt;&gt;"",Лист122363738394041424344[[#This Row],[Итого]],"")</f>
        <v/>
      </c>
      <c r="E29" s="2" t="str">
        <f t="shared" si="1"/>
        <v/>
      </c>
      <c r="F29" s="2" t="str">
        <f t="shared" si="0"/>
        <v/>
      </c>
    </row>
    <row r="30" spans="1:6" x14ac:dyDescent="0.25">
      <c r="A30" s="2">
        <v>29</v>
      </c>
      <c r="B30">
        <v>31</v>
      </c>
      <c r="D30" s="3" t="str">
        <f>IF(Лист122363738394041424344[[#This Row],[Итого]]&lt;&gt;"",Лист122363738394041424344[[#This Row],[Итого]],"")</f>
        <v/>
      </c>
      <c r="E30" s="2" t="str">
        <f t="shared" si="1"/>
        <v/>
      </c>
      <c r="F30" s="2" t="str">
        <f t="shared" si="0"/>
        <v/>
      </c>
    </row>
    <row r="31" spans="1:6" x14ac:dyDescent="0.25">
      <c r="A31" s="2">
        <v>30</v>
      </c>
      <c r="B31">
        <v>32</v>
      </c>
      <c r="D31" s="3" t="str">
        <f>IF(Лист122363738394041424344[[#This Row],[Итого]]&lt;&gt;"",Лист122363738394041424344[[#This Row],[Итого]],"")</f>
        <v/>
      </c>
      <c r="E31" s="2" t="str">
        <f t="shared" si="1"/>
        <v/>
      </c>
      <c r="F31" s="2" t="str">
        <f t="shared" si="0"/>
        <v/>
      </c>
    </row>
    <row r="32" spans="1:6" x14ac:dyDescent="0.25">
      <c r="A32" s="2">
        <v>31</v>
      </c>
      <c r="B32">
        <v>33</v>
      </c>
      <c r="D32" s="3" t="str">
        <f>IF(Лист122363738394041424344[[#This Row],[Итого]]&lt;&gt;"",Лист122363738394041424344[[#This Row],[Итого]],"")</f>
        <v/>
      </c>
      <c r="E32" s="2" t="str">
        <f t="shared" si="1"/>
        <v/>
      </c>
      <c r="F32" s="2" t="str">
        <f t="shared" si="0"/>
        <v/>
      </c>
    </row>
    <row r="33" spans="1:7" x14ac:dyDescent="0.25">
      <c r="A33" s="2">
        <v>32</v>
      </c>
      <c r="B33">
        <v>34</v>
      </c>
      <c r="D33" s="3" t="str">
        <f>IF(Лист122363738394041424344[[#This Row],[Итого]]&lt;&gt;"",Лист122363738394041424344[[#This Row],[Итого]],"")</f>
        <v/>
      </c>
      <c r="E33" s="2" t="str">
        <f t="shared" si="1"/>
        <v/>
      </c>
      <c r="F33" s="2" t="str">
        <f t="shared" si="0"/>
        <v/>
      </c>
    </row>
    <row r="34" spans="1:7" x14ac:dyDescent="0.25">
      <c r="A34" s="2">
        <v>33</v>
      </c>
      <c r="B34">
        <v>35</v>
      </c>
      <c r="D34" s="3" t="str">
        <f>IF(Лист122363738394041424344[[#This Row],[Итого]]&lt;&gt;"",Лист122363738394041424344[[#This Row],[Итого]],"")</f>
        <v/>
      </c>
      <c r="E34" s="2" t="str">
        <f t="shared" si="1"/>
        <v/>
      </c>
      <c r="F34" s="2" t="str">
        <f t="shared" si="0"/>
        <v/>
      </c>
    </row>
    <row r="35" spans="1:7" x14ac:dyDescent="0.25">
      <c r="A35" s="2">
        <v>34</v>
      </c>
      <c r="B35">
        <v>36</v>
      </c>
      <c r="D35" s="3" t="str">
        <f>IF(Лист122363738394041424344[[#This Row],[Итого]]&lt;&gt;"",Лист122363738394041424344[[#This Row],[Итого]],"")</f>
        <v/>
      </c>
      <c r="E35" s="2" t="str">
        <f t="shared" si="1"/>
        <v/>
      </c>
      <c r="F35" s="2" t="str">
        <f t="shared" si="0"/>
        <v/>
      </c>
    </row>
    <row r="36" spans="1:7" x14ac:dyDescent="0.25">
      <c r="A36" s="2">
        <v>35</v>
      </c>
      <c r="B36">
        <v>37</v>
      </c>
      <c r="D36" s="3" t="str">
        <f>IF(Лист122363738394041424344[[#This Row],[Итого]]&lt;&gt;"",Лист122363738394041424344[[#This Row],[Итого]],"")</f>
        <v/>
      </c>
      <c r="E36" s="2" t="str">
        <f t="shared" si="1"/>
        <v/>
      </c>
      <c r="F36" s="2" t="str">
        <f t="shared" si="0"/>
        <v/>
      </c>
    </row>
    <row r="37" spans="1:7" x14ac:dyDescent="0.25">
      <c r="A37" s="2">
        <v>36</v>
      </c>
      <c r="B37">
        <v>38</v>
      </c>
      <c r="D37" s="3" t="str">
        <f>IF(Лист122363738394041424344[[#This Row],[Итого]]&lt;&gt;"",Лист122363738394041424344[[#This Row],[Итого]],"")</f>
        <v/>
      </c>
      <c r="E37" s="2" t="str">
        <f t="shared" si="1"/>
        <v/>
      </c>
      <c r="F37" s="2" t="str">
        <f t="shared" si="0"/>
        <v/>
      </c>
    </row>
    <row r="38" spans="1:7" x14ac:dyDescent="0.25">
      <c r="A38" s="2">
        <v>37</v>
      </c>
      <c r="B38">
        <v>39</v>
      </c>
      <c r="D38" s="3" t="str">
        <f>IF(Лист122363738394041424344[[#This Row],[Итого]]&lt;&gt;"",Лист122363738394041424344[[#This Row],[Итого]],"")</f>
        <v/>
      </c>
      <c r="E38" s="2" t="str">
        <f t="shared" si="1"/>
        <v/>
      </c>
      <c r="F38" s="2" t="str">
        <f t="shared" si="0"/>
        <v/>
      </c>
    </row>
    <row r="39" spans="1:7" x14ac:dyDescent="0.25">
      <c r="A39" s="2">
        <v>38</v>
      </c>
      <c r="B39">
        <v>40</v>
      </c>
      <c r="D39" s="3" t="str">
        <f>IF(Лист122363738394041424344[[#This Row],[Итого]]&lt;&gt;"",Лист122363738394041424344[[#This Row],[Итого]],"")</f>
        <v/>
      </c>
      <c r="E39" s="2" t="str">
        <f t="shared" si="1"/>
        <v/>
      </c>
      <c r="F39" s="2" t="str">
        <f t="shared" si="0"/>
        <v/>
      </c>
    </row>
    <row r="40" spans="1:7" x14ac:dyDescent="0.25">
      <c r="A40" s="2">
        <v>39</v>
      </c>
      <c r="B40">
        <v>41</v>
      </c>
      <c r="D40" s="3" t="str">
        <f>IF(Лист122363738394041424344[[#This Row],[Итого]]&lt;&gt;"",Лист122363738394041424344[[#This Row],[Итого]],"")</f>
        <v/>
      </c>
      <c r="E40" s="2" t="str">
        <f t="shared" si="1"/>
        <v/>
      </c>
      <c r="F40" s="2" t="str">
        <f t="shared" si="0"/>
        <v/>
      </c>
    </row>
    <row r="41" spans="1:7" x14ac:dyDescent="0.25">
      <c r="A41" s="2">
        <v>40</v>
      </c>
      <c r="B41">
        <v>42</v>
      </c>
      <c r="C41">
        <v>589</v>
      </c>
      <c r="D41" s="3">
        <f>IF(Лист122363738394041424344[[#This Row],[Итого]]&lt;&gt;"",Лист122363738394041424344[[#This Row],[Итого]],"")</f>
        <v>589</v>
      </c>
      <c r="E41" s="2">
        <f t="shared" si="1"/>
        <v>126.39</v>
      </c>
      <c r="F41" s="2">
        <f t="shared" si="0"/>
        <v>-26.39</v>
      </c>
    </row>
    <row r="42" spans="1:7" x14ac:dyDescent="0.25">
      <c r="A42" t="s">
        <v>40</v>
      </c>
      <c r="D42" s="17">
        <f>SUM(D2:D41)</f>
        <v>1531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640EF-E597-4857-8900-1CCEAAEE7723}">
  <sheetPr codeName="Лист2"/>
  <dimension ref="A1:M42"/>
  <sheetViews>
    <sheetView zoomScale="85" zoomScaleNormal="85" workbookViewId="0">
      <selection activeCell="B1" sqref="B1:C41"/>
    </sheetView>
  </sheetViews>
  <sheetFormatPr defaultRowHeight="15" x14ac:dyDescent="0.25"/>
  <cols>
    <col min="2" max="2" width="10.42578125" hidden="1" customWidth="1"/>
    <col min="3" max="3" width="8.7109375" hidden="1" customWidth="1"/>
    <col min="4" max="4" width="33.5703125" customWidth="1"/>
    <col min="5" max="5" width="8.5703125" customWidth="1"/>
    <col min="6" max="6" width="17.7109375" bestFit="1" customWidth="1"/>
    <col min="7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t="s">
        <v>35</v>
      </c>
      <c r="C1" t="s">
        <v>55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[12]Лист1!$R$2</f>
        <v>168</v>
      </c>
      <c r="L1" s="2" t="s">
        <v>36</v>
      </c>
      <c r="M1" s="2" t="str">
        <f ca="1">MID(CELL("filename",A2),SEARCH("]",CELL("filename",A2))+1,31)</f>
        <v>УПб-41</v>
      </c>
    </row>
    <row r="2" spans="1:13" x14ac:dyDescent="0.25">
      <c r="A2" s="2">
        <v>1</v>
      </c>
      <c r="B2">
        <v>3</v>
      </c>
      <c r="C2" t="s">
        <v>38</v>
      </c>
      <c r="D2" s="3" t="str">
        <f>IF(Лист1[[#This Row],[Итого]]&lt;&gt;"",Лист1[[#This Row],[Итого]],"")</f>
        <v/>
      </c>
      <c r="E2" s="2" t="str">
        <f>IF(D2&lt;&gt;"",ROUND(D2/$K$1/2*100,2),"")</f>
        <v/>
      </c>
      <c r="F2" s="2" t="str">
        <f>IF(E2&lt;&gt;"",100-E2,"")</f>
        <v/>
      </c>
      <c r="J2" s="8" t="s">
        <v>11</v>
      </c>
      <c r="K2" s="8">
        <f>COUNT(D2:D41)</f>
        <v>15</v>
      </c>
      <c r="L2" s="2" t="s">
        <v>37</v>
      </c>
      <c r="M2" s="2">
        <f>[12]Лист1!$U$1</f>
        <v>14</v>
      </c>
    </row>
    <row r="3" spans="1:13" x14ac:dyDescent="0.25">
      <c r="A3" s="2">
        <v>2</v>
      </c>
      <c r="B3">
        <v>4</v>
      </c>
      <c r="C3">
        <v>0</v>
      </c>
      <c r="D3" s="3">
        <f>IF(Лист1[[#This Row],[Итого]]&lt;&gt;"",Лист1[[#This Row],[Итого]],"")</f>
        <v>0</v>
      </c>
      <c r="E3" s="2">
        <f t="shared" ref="E3:E39" si="0">IF(D3&lt;&gt;"",ROUND(D3/$K$1/2*100,2),"")</f>
        <v>0</v>
      </c>
      <c r="F3" s="2">
        <f t="shared" ref="F3:F39" si="1">IF(E3&lt;&gt;"",100-E3,"")</f>
        <v>100</v>
      </c>
      <c r="I3" s="19" t="s">
        <v>33</v>
      </c>
      <c r="J3" s="4" t="s">
        <v>3</v>
      </c>
      <c r="K3" s="2">
        <f>ROUND(L3/$K$2*100,0)</f>
        <v>40</v>
      </c>
      <c r="L3" s="9">
        <f>K2-SUM($L$4:$L$7)</f>
        <v>6</v>
      </c>
    </row>
    <row r="4" spans="1:13" ht="26.25" x14ac:dyDescent="0.25">
      <c r="A4" s="2">
        <v>3</v>
      </c>
      <c r="B4">
        <v>5</v>
      </c>
      <c r="C4">
        <v>58</v>
      </c>
      <c r="D4" s="3">
        <f>IF(Лист1[[#This Row],[Итого]]&lt;&gt;"",Лист1[[#This Row],[Итого]],"")</f>
        <v>58</v>
      </c>
      <c r="E4" s="2">
        <f t="shared" si="0"/>
        <v>17.260000000000002</v>
      </c>
      <c r="F4" s="2">
        <f t="shared" si="1"/>
        <v>82.74</v>
      </c>
      <c r="I4" s="19"/>
      <c r="J4" s="4" t="s">
        <v>4</v>
      </c>
      <c r="K4" s="2">
        <f t="shared" ref="K4:K6" si="2">ROUND(L4/$K$2*100,0)</f>
        <v>47</v>
      </c>
      <c r="L4" s="2">
        <f t="array" ref="L4">SUM(($E$2:$E$37&gt;=10)*(($E$2:$E$37)&lt;30))</f>
        <v>7</v>
      </c>
    </row>
    <row r="5" spans="1:13" ht="26.25" x14ac:dyDescent="0.25">
      <c r="A5" s="2">
        <v>4</v>
      </c>
      <c r="B5">
        <v>6</v>
      </c>
      <c r="C5">
        <v>108</v>
      </c>
      <c r="D5" s="3">
        <f>IF(Лист1[[#This Row],[Итого]]&lt;&gt;"",Лист1[[#This Row],[Итого]],"")</f>
        <v>108</v>
      </c>
      <c r="E5" s="2">
        <f t="shared" si="0"/>
        <v>32.14</v>
      </c>
      <c r="F5" s="2">
        <f t="shared" si="1"/>
        <v>67.86</v>
      </c>
      <c r="I5" s="19"/>
      <c r="J5" s="4" t="s">
        <v>5</v>
      </c>
      <c r="K5" s="2">
        <f t="shared" si="2"/>
        <v>7</v>
      </c>
      <c r="L5" s="2">
        <f t="array" ref="L5">SUM(($E$2:$E$37&gt;=30)*(($E$2:$E$37)&lt;50))</f>
        <v>1</v>
      </c>
    </row>
    <row r="6" spans="1:13" ht="26.25" x14ac:dyDescent="0.25">
      <c r="A6" s="2">
        <v>5</v>
      </c>
      <c r="B6">
        <v>7</v>
      </c>
      <c r="C6">
        <v>0</v>
      </c>
      <c r="D6" s="3">
        <f>IF(Лист1[[#This Row],[Итого]]&lt;&gt;"",Лист1[[#This Row],[Итого]],"")</f>
        <v>0</v>
      </c>
      <c r="E6" s="2">
        <f t="shared" si="0"/>
        <v>0</v>
      </c>
      <c r="F6" s="2">
        <f t="shared" si="1"/>
        <v>100</v>
      </c>
      <c r="I6" s="19"/>
      <c r="J6" s="4" t="s">
        <v>6</v>
      </c>
      <c r="K6" s="2">
        <f t="shared" si="2"/>
        <v>7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>
        <v>8</v>
      </c>
      <c r="C7">
        <v>82</v>
      </c>
      <c r="D7" s="3">
        <f>IF(Лист1[[#This Row],[Итого]]&lt;&gt;"",Лист1[[#This Row],[Итого]],"")</f>
        <v>82</v>
      </c>
      <c r="E7" s="2">
        <f t="shared" si="0"/>
        <v>24.4</v>
      </c>
      <c r="F7" s="2">
        <f t="shared" si="1"/>
        <v>75.599999999999994</v>
      </c>
      <c r="I7" s="19"/>
      <c r="J7" s="4" t="s">
        <v>7</v>
      </c>
      <c r="K7" s="2">
        <f>100-SUM($K$3:$K$6)</f>
        <v>-1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66</v>
      </c>
      <c r="D8" s="3">
        <f>IF(Лист1[[#This Row],[Итого]]&lt;&gt;"",Лист1[[#This Row],[Итого]],"")</f>
        <v>66</v>
      </c>
      <c r="E8" s="2">
        <f t="shared" si="0"/>
        <v>19.64</v>
      </c>
      <c r="F8" s="2">
        <f t="shared" si="1"/>
        <v>80.36</v>
      </c>
    </row>
    <row r="9" spans="1:13" x14ac:dyDescent="0.25">
      <c r="A9" s="2">
        <v>8</v>
      </c>
      <c r="B9">
        <v>10</v>
      </c>
      <c r="C9" t="s">
        <v>38</v>
      </c>
      <c r="D9" s="3" t="str">
        <f>IF(Лист1[[#This Row],[Итого]]&lt;&gt;"",Лист1[[#This Row],[Итого]],"")</f>
        <v/>
      </c>
      <c r="E9" s="2" t="str">
        <f t="shared" si="0"/>
        <v/>
      </c>
      <c r="F9" s="2" t="str">
        <f t="shared" si="1"/>
        <v/>
      </c>
      <c r="K9" t="s">
        <v>31</v>
      </c>
    </row>
    <row r="10" spans="1:13" ht="26.25" x14ac:dyDescent="0.25">
      <c r="A10" s="2">
        <v>9</v>
      </c>
      <c r="B10">
        <v>11</v>
      </c>
      <c r="C10">
        <v>0</v>
      </c>
      <c r="D10" s="3">
        <f>IF(Лист1[[#This Row],[Итого]]&lt;&gt;"",Лист1[[#This Row],[Итого]],"")</f>
        <v>0</v>
      </c>
      <c r="E10" s="2">
        <f t="shared" si="0"/>
        <v>0</v>
      </c>
      <c r="F10" s="2">
        <f t="shared" si="1"/>
        <v>100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72</v>
      </c>
      <c r="D11" s="3">
        <f>IF(Лист1[[#This Row],[Итого]]&lt;&gt;"",Лист1[[#This Row],[Итого]],"")</f>
        <v>72</v>
      </c>
      <c r="E11" s="2">
        <f t="shared" si="0"/>
        <v>21.43</v>
      </c>
      <c r="F11" s="2">
        <f t="shared" si="1"/>
        <v>78.569999999999993</v>
      </c>
      <c r="I11" s="19"/>
      <c r="J11" s="4" t="s">
        <v>5</v>
      </c>
      <c r="K11" s="2">
        <f t="shared" si="3"/>
        <v>7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>
        <v>13</v>
      </c>
      <c r="C12">
        <v>32</v>
      </c>
      <c r="D12" s="3">
        <f>IF(Лист1[[#This Row],[Итого]]&lt;&gt;"",Лист1[[#This Row],[Итого]],"")</f>
        <v>32</v>
      </c>
      <c r="E12" s="2">
        <f t="shared" si="0"/>
        <v>9.52</v>
      </c>
      <c r="F12" s="2">
        <f t="shared" si="1"/>
        <v>90.48</v>
      </c>
      <c r="I12" s="19"/>
      <c r="J12" s="4" t="s">
        <v>28</v>
      </c>
      <c r="K12" s="2">
        <f t="shared" si="3"/>
        <v>7</v>
      </c>
      <c r="L12" s="2">
        <f t="array" ref="L12">SUM(($F$2:$F$37&gt;=50)*(($F$2:$F$37)&lt;75))</f>
        <v>1</v>
      </c>
    </row>
    <row r="13" spans="1:13" ht="26.25" x14ac:dyDescent="0.25">
      <c r="A13" s="2">
        <v>12</v>
      </c>
      <c r="B13">
        <v>14</v>
      </c>
      <c r="C13">
        <v>224</v>
      </c>
      <c r="D13" s="3">
        <f>IF(Лист1[[#This Row],[Итого]]&lt;&gt;"",Лист1[[#This Row],[Итого]],"")</f>
        <v>224</v>
      </c>
      <c r="E13" s="2">
        <f t="shared" si="0"/>
        <v>66.67</v>
      </c>
      <c r="F13" s="2">
        <f t="shared" si="1"/>
        <v>33.33</v>
      </c>
      <c r="I13" s="19"/>
      <c r="J13" s="4" t="s">
        <v>29</v>
      </c>
      <c r="K13" s="2">
        <f t="shared" si="3"/>
        <v>47</v>
      </c>
      <c r="L13" s="2">
        <f t="array" ref="L13">SUM(($F$2:$F$37&gt;=75)*(($F$2:$F$37)&lt;90))</f>
        <v>7</v>
      </c>
    </row>
    <row r="14" spans="1:13" ht="26.25" x14ac:dyDescent="0.25">
      <c r="A14" s="2">
        <v>13</v>
      </c>
      <c r="B14">
        <v>15</v>
      </c>
      <c r="C14">
        <v>80</v>
      </c>
      <c r="D14" s="3">
        <f>IF(Лист1[[#This Row],[Итого]]&lt;&gt;"",Лист1[[#This Row],[Итого]],"")</f>
        <v>80</v>
      </c>
      <c r="E14" s="2">
        <f t="shared" si="0"/>
        <v>23.81</v>
      </c>
      <c r="F14" s="2">
        <f t="shared" si="1"/>
        <v>76.19</v>
      </c>
      <c r="I14" s="19"/>
      <c r="J14" s="7" t="s">
        <v>30</v>
      </c>
      <c r="K14" s="2">
        <f>100-SUM($K$9:$K$13)</f>
        <v>39</v>
      </c>
      <c r="L14" s="2">
        <f>$K$2-SUM(L9:L$13)</f>
        <v>6</v>
      </c>
    </row>
    <row r="15" spans="1:13" x14ac:dyDescent="0.25">
      <c r="A15" s="2">
        <v>14</v>
      </c>
      <c r="B15">
        <v>16</v>
      </c>
      <c r="C15">
        <v>58</v>
      </c>
      <c r="D15" s="3">
        <f>IF(Лист1[[#This Row],[Итого]]&lt;&gt;"",Лист1[[#This Row],[Итого]],"")</f>
        <v>58</v>
      </c>
      <c r="E15" s="2">
        <f t="shared" si="0"/>
        <v>17.260000000000002</v>
      </c>
      <c r="F15" s="2">
        <f t="shared" si="1"/>
        <v>82.74</v>
      </c>
    </row>
    <row r="16" spans="1:13" x14ac:dyDescent="0.25">
      <c r="A16" s="2">
        <v>15</v>
      </c>
      <c r="B16">
        <v>17</v>
      </c>
      <c r="C16">
        <v>70</v>
      </c>
      <c r="D16" s="3">
        <f>IF(Лист1[[#This Row],[Итого]]&lt;&gt;"",Лист1[[#This Row],[Итого]],"")</f>
        <v>70</v>
      </c>
      <c r="E16" s="2">
        <f t="shared" si="0"/>
        <v>20.83</v>
      </c>
      <c r="F16" s="2">
        <f t="shared" si="1"/>
        <v>79.17</v>
      </c>
    </row>
    <row r="17" spans="1:6" x14ac:dyDescent="0.25">
      <c r="A17" s="2">
        <v>16</v>
      </c>
      <c r="B17">
        <v>18</v>
      </c>
      <c r="C17">
        <v>0</v>
      </c>
      <c r="D17" s="3">
        <f>IF(Лист1[[#This Row],[Итого]]&lt;&gt;"",Лист1[[#This Row],[Итого]],"")</f>
        <v>0</v>
      </c>
      <c r="E17" s="2">
        <f t="shared" si="0"/>
        <v>0</v>
      </c>
      <c r="F17" s="2">
        <f t="shared" si="1"/>
        <v>100</v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IF(Лист1[[#This Row],[Итого]]&lt;&gt;"",Лист1[[#This Row],[Итого]],"")</f>
        <v/>
      </c>
      <c r="E18" s="2" t="str">
        <f t="shared" si="0"/>
        <v/>
      </c>
      <c r="F18" s="2" t="str">
        <f t="shared" si="1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IF(Лист1[[#This Row],[Итого]]&lt;&gt;"",Лист1[[#This Row],[Итого]],"")</f>
        <v/>
      </c>
      <c r="E19" s="2" t="str">
        <f t="shared" si="0"/>
        <v/>
      </c>
      <c r="F19" s="2" t="str">
        <f t="shared" si="1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IF(Лист1[[#This Row],[Итого]]&lt;&gt;"",Лист1[[#This Row],[Итого]],"")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IF(Лист1[[#This Row],[Итого]]&lt;&gt;"",Лист1[[#This Row],[Итого]],"")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IF(Лист1[[#This Row],[Итого]]&lt;&gt;"",Лист1[[#This Row],[Итого]],"")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IF(Лист1[[#This Row],[Итого]]&lt;&gt;"",Лист1[[#This Row],[Итого]],"")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IF(Лист1[[#This Row],[Итого]]&lt;&gt;"",Лист1[[#This Row],[Итого]],"")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IF(Лист1[[#This Row],[Итого]]&lt;&gt;"",Лист1[[#This Row],[Итого]],"")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IF(Лист1[[#This Row],[Итого]]&lt;&gt;"",Лист1[[#This Row],[Итого]],"")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IF(Лист1[[#This Row],[Итого]]&lt;&gt;"",Лист1[[#This Row],[Итого]],"")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IF(Лист1[[#This Row],[Итого]]&lt;&gt;"",Лист1[[#This Row],[Итого]],"")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IF(Лист1[[#This Row],[Итого]]&lt;&gt;"",Лист1[[#This Row],[Итого]],"")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IF(Лист1[[#This Row],[Итого]]&lt;&gt;"",Лист1[[#This Row],[Итого]],"")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IF(Лист1[[#This Row],[Итого]]&lt;&gt;"",Лист1[[#This Row],[Итого]],"")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IF(Лист1[[#This Row],[Итого]]&lt;&gt;"",Лист1[[#This Row],[Итого]],"")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IF(Лист1[[#This Row],[Итого]]&lt;&gt;"",Лист1[[#This Row],[Итого]],"")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IF(Лист1[[#This Row],[Итого]]&lt;&gt;"",Лист1[[#This Row],[Итого]],"")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IF(Лист1[[#This Row],[Итого]]&lt;&gt;"",Лист1[[#This Row],[Итого]],"")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IF(Лист1[[#This Row],[Итого]]&lt;&gt;"",Лист1[[#This Row],[Итого]],"")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IF(Лист1[[#This Row],[Итого]]&lt;&gt;"",Лист1[[#This Row],[Итого]],"")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IF(Лист1[[#This Row],[Итого]]&lt;&gt;"",Лист1[[#This Row],[Итого]],"")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IF(Лист1[[#This Row],[Итого]]&lt;&gt;"",Лист1[[#This Row],[Итого]],"")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IF(Лист1[[#This Row],[Итого]]&lt;&gt;"",Лист1[[#This Row],[Итого]],"")</f>
        <v/>
      </c>
      <c r="E40" s="2" t="str">
        <f t="shared" ref="E40:E41" si="4">IF(D40&lt;&gt;"",ROUND(D40/$K$1/2*100,2),"")</f>
        <v/>
      </c>
      <c r="F40" s="2" t="str">
        <f t="shared" ref="F40:F41" si="5">IF(E40&lt;&gt;"",100-E40,"")</f>
        <v/>
      </c>
    </row>
    <row r="41" spans="1:7" x14ac:dyDescent="0.25">
      <c r="A41" s="2">
        <v>40</v>
      </c>
      <c r="B41">
        <v>42</v>
      </c>
      <c r="C41">
        <v>624</v>
      </c>
      <c r="D41" s="3">
        <f>IF(Лист1[[#This Row],[Итого]]&lt;&gt;"",Лист1[[#This Row],[Итого]],"")</f>
        <v>624</v>
      </c>
      <c r="E41" s="2">
        <f t="shared" si="4"/>
        <v>185.71</v>
      </c>
      <c r="F41" s="2">
        <f t="shared" si="5"/>
        <v>-85.710000000000008</v>
      </c>
    </row>
    <row r="42" spans="1:7" x14ac:dyDescent="0.25">
      <c r="A42" t="s">
        <v>40</v>
      </c>
      <c r="D42" s="17">
        <f>SUM(D2:D41)</f>
        <v>1474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AFCB-0914-44E8-B2EA-9FFB50497766}">
  <sheetPr codeName="Лист3"/>
  <dimension ref="A1:M42"/>
  <sheetViews>
    <sheetView workbookViewId="0">
      <selection activeCell="B1" sqref="B1:C41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[13]Лист1!$R$2</f>
        <v>189</v>
      </c>
      <c r="L1" s="2" t="s">
        <v>36</v>
      </c>
      <c r="M1" s="2" t="str">
        <f ca="1">MID(CELL("filename",A2),SEARCH("]",CELL("filename",A2))+1,31)</f>
        <v>ЭМб-41</v>
      </c>
    </row>
    <row r="2" spans="1:13" x14ac:dyDescent="0.25">
      <c r="A2" s="2">
        <v>1</v>
      </c>
      <c r="B2" s="11">
        <v>3</v>
      </c>
      <c r="C2">
        <v>142</v>
      </c>
      <c r="D2" s="3">
        <f>IF(Лист1__2[[#This Row],[Column18]]&lt;&gt;"",Лист1__2[[#This Row],[Column18]],"")</f>
        <v>142</v>
      </c>
      <c r="E2" s="2">
        <f>IF(D2&lt;&gt;"",ROUND(D2/$K$1/2*100,2),"")</f>
        <v>37.57</v>
      </c>
      <c r="F2" s="2">
        <f>IF(E2&lt;&gt;"",100-E2,"")</f>
        <v>62.43</v>
      </c>
      <c r="J2" s="8" t="s">
        <v>11</v>
      </c>
      <c r="K2" s="8">
        <f>COUNT(D2:D41)</f>
        <v>24</v>
      </c>
      <c r="L2" s="2" t="s">
        <v>37</v>
      </c>
      <c r="M2" s="2">
        <f>[13]Лист1!$U$1</f>
        <v>15</v>
      </c>
    </row>
    <row r="3" spans="1:13" x14ac:dyDescent="0.25">
      <c r="A3" s="2">
        <v>2</v>
      </c>
      <c r="B3" s="10">
        <v>4</v>
      </c>
      <c r="C3">
        <v>20</v>
      </c>
      <c r="D3" s="3">
        <f>IF(Лист1__2[[#This Row],[Column18]]&lt;&gt;"",Лист1__2[[#This Row],[Column18]],"")</f>
        <v>20</v>
      </c>
      <c r="E3" s="2">
        <f t="shared" ref="E3:E41" si="0">IF(D3&lt;&gt;"",ROUND(D3/$K$1/2*100,2),"")</f>
        <v>5.29</v>
      </c>
      <c r="F3" s="2">
        <f t="shared" ref="F3:F41" si="1">IF(E3&lt;&gt;"",100-E3,"")</f>
        <v>94.71</v>
      </c>
      <c r="I3" s="19" t="s">
        <v>33</v>
      </c>
      <c r="J3" s="4" t="s">
        <v>3</v>
      </c>
      <c r="K3" s="2">
        <f>ROUND(L3/$K$2*100,0)</f>
        <v>29</v>
      </c>
      <c r="L3" s="9">
        <f>K2-SUM($L$4:$L$7)</f>
        <v>7</v>
      </c>
    </row>
    <row r="4" spans="1:13" ht="26.25" x14ac:dyDescent="0.25">
      <c r="A4" s="2">
        <v>3</v>
      </c>
      <c r="B4" s="10">
        <v>5</v>
      </c>
      <c r="C4">
        <v>0</v>
      </c>
      <c r="D4" s="3">
        <f>IF(Лист1__2[[#This Row],[Column18]]&lt;&gt;"",Лист1__2[[#This Row],[Column18]],"")</f>
        <v>0</v>
      </c>
      <c r="E4" s="2">
        <f t="shared" si="0"/>
        <v>0</v>
      </c>
      <c r="F4" s="2">
        <f t="shared" si="1"/>
        <v>100</v>
      </c>
      <c r="I4" s="19"/>
      <c r="J4" s="4" t="s">
        <v>4</v>
      </c>
      <c r="K4" s="2">
        <f t="shared" ref="K4:K6" si="2">ROUND(L4/$K$2*100,0)</f>
        <v>42</v>
      </c>
      <c r="L4" s="2">
        <f t="array" ref="L4">SUM(($E$2:$E$37&gt;=10)*(($E$2:$E$37)&lt;30))</f>
        <v>10</v>
      </c>
    </row>
    <row r="5" spans="1:13" ht="26.25" x14ac:dyDescent="0.25">
      <c r="A5" s="2">
        <v>4</v>
      </c>
      <c r="B5" s="10">
        <v>6</v>
      </c>
      <c r="C5">
        <v>58</v>
      </c>
      <c r="D5" s="3">
        <f>IF(Лист1__2[[#This Row],[Column18]]&lt;&gt;"",Лист1__2[[#This Row],[Column18]],"")</f>
        <v>58</v>
      </c>
      <c r="E5" s="2">
        <f t="shared" si="0"/>
        <v>15.34</v>
      </c>
      <c r="F5" s="2">
        <f t="shared" si="1"/>
        <v>84.66</v>
      </c>
      <c r="I5" s="19"/>
      <c r="J5" s="4" t="s">
        <v>5</v>
      </c>
      <c r="K5" s="2">
        <f t="shared" si="2"/>
        <v>25</v>
      </c>
      <c r="L5" s="2">
        <f t="array" ref="L5">SUM(($E$2:$E$37&gt;=30)*(($E$2:$E$37)&lt;50))</f>
        <v>6</v>
      </c>
    </row>
    <row r="6" spans="1:13" ht="26.25" x14ac:dyDescent="0.25">
      <c r="A6" s="2">
        <v>5</v>
      </c>
      <c r="B6" s="10">
        <v>7</v>
      </c>
      <c r="C6">
        <v>72</v>
      </c>
      <c r="D6" s="3">
        <f>IF(Лист1__2[[#This Row],[Column18]]&lt;&gt;"",Лист1__2[[#This Row],[Column18]],"")</f>
        <v>72</v>
      </c>
      <c r="E6" s="2">
        <f t="shared" si="0"/>
        <v>19.05</v>
      </c>
      <c r="F6" s="2">
        <f t="shared" si="1"/>
        <v>80.95</v>
      </c>
      <c r="I6" s="19"/>
      <c r="J6" s="4" t="s">
        <v>6</v>
      </c>
      <c r="K6" s="2">
        <f t="shared" si="2"/>
        <v>4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 s="10">
        <v>8</v>
      </c>
      <c r="C7">
        <v>22</v>
      </c>
      <c r="D7" s="3">
        <f>IF(Лист1__2[[#This Row],[Column18]]&lt;&gt;"",Лист1__2[[#This Row],[Column18]],"")</f>
        <v>22</v>
      </c>
      <c r="E7" s="2">
        <f t="shared" si="0"/>
        <v>5.82</v>
      </c>
      <c r="F7" s="2">
        <f t="shared" si="1"/>
        <v>94.18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 s="10">
        <v>9</v>
      </c>
      <c r="C8">
        <v>18</v>
      </c>
      <c r="D8" s="3">
        <f>IF(Лист1__2[[#This Row],[Column18]]&lt;&gt;"",Лист1__2[[#This Row],[Column18]],"")</f>
        <v>18</v>
      </c>
      <c r="E8" s="2">
        <f t="shared" si="0"/>
        <v>4.76</v>
      </c>
      <c r="F8" s="2">
        <f t="shared" si="1"/>
        <v>95.24</v>
      </c>
    </row>
    <row r="9" spans="1:13" x14ac:dyDescent="0.25">
      <c r="A9" s="2">
        <v>8</v>
      </c>
      <c r="B9" s="10">
        <v>10</v>
      </c>
      <c r="C9">
        <v>206</v>
      </c>
      <c r="D9" s="3">
        <f>IF(Лист1__2[[#This Row],[Column18]]&lt;&gt;"",Лист1__2[[#This Row],[Column18]],"")</f>
        <v>206</v>
      </c>
      <c r="E9" s="2">
        <f t="shared" si="0"/>
        <v>54.5</v>
      </c>
      <c r="F9" s="2">
        <f t="shared" si="1"/>
        <v>45.5</v>
      </c>
      <c r="K9" t="s">
        <v>31</v>
      </c>
    </row>
    <row r="10" spans="1:13" ht="26.25" x14ac:dyDescent="0.25">
      <c r="A10" s="2">
        <v>9</v>
      </c>
      <c r="B10" s="10">
        <v>11</v>
      </c>
      <c r="C10">
        <v>60</v>
      </c>
      <c r="D10" s="3">
        <f>IF(Лист1__2[[#This Row],[Column18]]&lt;&gt;"",Лист1__2[[#This Row],[Column18]],"")</f>
        <v>60</v>
      </c>
      <c r="E10" s="2">
        <f t="shared" si="0"/>
        <v>15.87</v>
      </c>
      <c r="F10" s="2">
        <f t="shared" si="1"/>
        <v>84.13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 s="10">
        <v>12</v>
      </c>
      <c r="C11">
        <v>162</v>
      </c>
      <c r="D11" s="3">
        <f>IF(Лист1__2[[#This Row],[Column18]]&lt;&gt;"",Лист1__2[[#This Row],[Column18]],"")</f>
        <v>162</v>
      </c>
      <c r="E11" s="2">
        <f t="shared" si="0"/>
        <v>42.86</v>
      </c>
      <c r="F11" s="2">
        <f t="shared" si="1"/>
        <v>57.14</v>
      </c>
      <c r="I11" s="19"/>
      <c r="J11" s="4" t="s">
        <v>5</v>
      </c>
      <c r="K11" s="2">
        <f t="shared" si="3"/>
        <v>4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 s="10">
        <v>13</v>
      </c>
      <c r="C12">
        <v>70</v>
      </c>
      <c r="D12" s="3">
        <f>IF(Лист1__2[[#This Row],[Column18]]&lt;&gt;"",Лист1__2[[#This Row],[Column18]],"")</f>
        <v>70</v>
      </c>
      <c r="E12" s="2">
        <f t="shared" si="0"/>
        <v>18.52</v>
      </c>
      <c r="F12" s="2">
        <f t="shared" si="1"/>
        <v>81.48</v>
      </c>
      <c r="I12" s="19"/>
      <c r="J12" s="4" t="s">
        <v>28</v>
      </c>
      <c r="K12" s="2">
        <f t="shared" si="3"/>
        <v>29</v>
      </c>
      <c r="L12" s="2">
        <f t="array" ref="L12">SUM(($F$2:$F$37&gt;=50)*(($F$2:$F$37)&lt;75))</f>
        <v>7</v>
      </c>
    </row>
    <row r="13" spans="1:13" ht="26.25" x14ac:dyDescent="0.25">
      <c r="A13" s="2">
        <v>12</v>
      </c>
      <c r="B13" s="10">
        <v>14</v>
      </c>
      <c r="C13">
        <v>20</v>
      </c>
      <c r="D13" s="3">
        <f>IF(Лист1__2[[#This Row],[Column18]]&lt;&gt;"",Лист1__2[[#This Row],[Column18]],"")</f>
        <v>20</v>
      </c>
      <c r="E13" s="2">
        <f t="shared" si="0"/>
        <v>5.29</v>
      </c>
      <c r="F13" s="2">
        <f t="shared" si="1"/>
        <v>94.71</v>
      </c>
      <c r="I13" s="19"/>
      <c r="J13" s="4" t="s">
        <v>29</v>
      </c>
      <c r="K13" s="2">
        <f t="shared" si="3"/>
        <v>38</v>
      </c>
      <c r="L13" s="2">
        <f t="array" ref="L13">SUM(($F$2:$F$37&gt;=75)*(($F$2:$F$37)&lt;90))</f>
        <v>9</v>
      </c>
    </row>
    <row r="14" spans="1:13" ht="26.25" x14ac:dyDescent="0.25">
      <c r="A14" s="2">
        <v>13</v>
      </c>
      <c r="B14" s="10">
        <v>15</v>
      </c>
      <c r="C14">
        <v>22</v>
      </c>
      <c r="D14" s="3">
        <f>IF(Лист1__2[[#This Row],[Column18]]&lt;&gt;"",Лист1__2[[#This Row],[Column18]],"")</f>
        <v>22</v>
      </c>
      <c r="E14" s="2">
        <f t="shared" si="0"/>
        <v>5.82</v>
      </c>
      <c r="F14" s="2">
        <f t="shared" si="1"/>
        <v>94.18</v>
      </c>
      <c r="I14" s="19"/>
      <c r="J14" s="7" t="s">
        <v>30</v>
      </c>
      <c r="K14" s="2">
        <f>100-SUM($K$9:$K$13)</f>
        <v>29</v>
      </c>
      <c r="L14" s="2">
        <f>$K$2-SUM(L9:L$13)</f>
        <v>7</v>
      </c>
    </row>
    <row r="15" spans="1:13" x14ac:dyDescent="0.25">
      <c r="A15" s="2">
        <v>14</v>
      </c>
      <c r="B15" s="10">
        <v>16</v>
      </c>
      <c r="C15">
        <v>90</v>
      </c>
      <c r="D15" s="3">
        <f>IF(Лист1__2[[#This Row],[Column18]]&lt;&gt;"",Лист1__2[[#This Row],[Column18]],"")</f>
        <v>90</v>
      </c>
      <c r="E15" s="2">
        <f t="shared" si="0"/>
        <v>23.81</v>
      </c>
      <c r="F15" s="2">
        <f t="shared" si="1"/>
        <v>76.19</v>
      </c>
    </row>
    <row r="16" spans="1:13" x14ac:dyDescent="0.25">
      <c r="A16" s="2">
        <v>15</v>
      </c>
      <c r="B16" s="10">
        <v>17</v>
      </c>
      <c r="C16">
        <v>136</v>
      </c>
      <c r="D16" s="3">
        <f>IF(Лист1__2[[#This Row],[Column18]]&lt;&gt;"",Лист1__2[[#This Row],[Column18]],"")</f>
        <v>136</v>
      </c>
      <c r="E16" s="2">
        <f t="shared" si="0"/>
        <v>35.979999999999997</v>
      </c>
      <c r="F16" s="2">
        <f t="shared" si="1"/>
        <v>64.02000000000001</v>
      </c>
    </row>
    <row r="17" spans="1:6" x14ac:dyDescent="0.25">
      <c r="A17" s="2">
        <v>16</v>
      </c>
      <c r="B17" s="10">
        <v>18</v>
      </c>
      <c r="C17">
        <v>150</v>
      </c>
      <c r="D17" s="3">
        <f>IF(Лист1__2[[#This Row],[Column18]]&lt;&gt;"",Лист1__2[[#This Row],[Column18]],"")</f>
        <v>150</v>
      </c>
      <c r="E17" s="2">
        <f t="shared" si="0"/>
        <v>39.68</v>
      </c>
      <c r="F17" s="2">
        <f t="shared" si="1"/>
        <v>60.32</v>
      </c>
    </row>
    <row r="18" spans="1:6" x14ac:dyDescent="0.25">
      <c r="A18" s="2">
        <v>17</v>
      </c>
      <c r="B18" s="10">
        <v>19</v>
      </c>
      <c r="C18">
        <v>140</v>
      </c>
      <c r="D18" s="3">
        <f>IF(Лист1__2[[#This Row],[Column18]]&lt;&gt;"",Лист1__2[[#This Row],[Column18]],"")</f>
        <v>140</v>
      </c>
      <c r="E18" s="2">
        <f t="shared" si="0"/>
        <v>37.04</v>
      </c>
      <c r="F18" s="2">
        <f t="shared" si="1"/>
        <v>62.96</v>
      </c>
    </row>
    <row r="19" spans="1:6" x14ac:dyDescent="0.25">
      <c r="A19" s="2">
        <v>18</v>
      </c>
      <c r="B19" s="10">
        <v>20</v>
      </c>
      <c r="C19">
        <v>46</v>
      </c>
      <c r="D19" s="3">
        <f>IF(Лист1__2[[#This Row],[Column18]]&lt;&gt;"",Лист1__2[[#This Row],[Column18]],"")</f>
        <v>46</v>
      </c>
      <c r="E19" s="2">
        <f t="shared" si="0"/>
        <v>12.17</v>
      </c>
      <c r="F19" s="2">
        <f t="shared" si="1"/>
        <v>87.83</v>
      </c>
    </row>
    <row r="20" spans="1:6" x14ac:dyDescent="0.25">
      <c r="A20" s="2">
        <v>19</v>
      </c>
      <c r="B20" s="10">
        <v>21</v>
      </c>
      <c r="C20">
        <v>122</v>
      </c>
      <c r="D20" s="3">
        <f>IF(Лист1__2[[#This Row],[Column18]]&lt;&gt;"",Лист1__2[[#This Row],[Column18]],"")</f>
        <v>122</v>
      </c>
      <c r="E20" s="2">
        <f t="shared" si="0"/>
        <v>32.28</v>
      </c>
      <c r="F20" s="2">
        <f t="shared" si="1"/>
        <v>67.72</v>
      </c>
    </row>
    <row r="21" spans="1:6" x14ac:dyDescent="0.25">
      <c r="A21" s="2">
        <v>20</v>
      </c>
      <c r="B21" s="10">
        <v>22</v>
      </c>
      <c r="C21">
        <v>16</v>
      </c>
      <c r="D21" s="3">
        <f>IF(Лист1__2[[#This Row],[Column18]]&lt;&gt;"",Лист1__2[[#This Row],[Column18]],"")</f>
        <v>16</v>
      </c>
      <c r="E21" s="2">
        <f t="shared" si="0"/>
        <v>4.2300000000000004</v>
      </c>
      <c r="F21" s="2">
        <f t="shared" si="1"/>
        <v>95.77</v>
      </c>
    </row>
    <row r="22" spans="1:6" x14ac:dyDescent="0.25">
      <c r="A22" s="2">
        <v>21</v>
      </c>
      <c r="B22" s="10">
        <v>23</v>
      </c>
      <c r="C22">
        <v>46</v>
      </c>
      <c r="D22" s="3">
        <f>IF(Лист1__2[[#This Row],[Column18]]&lt;&gt;"",Лист1__2[[#This Row],[Column18]],"")</f>
        <v>46</v>
      </c>
      <c r="E22" s="2">
        <f t="shared" si="0"/>
        <v>12.17</v>
      </c>
      <c r="F22" s="2">
        <f t="shared" si="1"/>
        <v>87.83</v>
      </c>
    </row>
    <row r="23" spans="1:6" x14ac:dyDescent="0.25">
      <c r="A23" s="2">
        <v>22</v>
      </c>
      <c r="B23" s="10">
        <v>24</v>
      </c>
      <c r="C23">
        <v>88</v>
      </c>
      <c r="D23" s="3">
        <f>IF(Лист1__2[[#This Row],[Column18]]&lt;&gt;"",Лист1__2[[#This Row],[Column18]],"")</f>
        <v>88</v>
      </c>
      <c r="E23" s="2">
        <f t="shared" si="0"/>
        <v>23.28</v>
      </c>
      <c r="F23" s="2">
        <f t="shared" si="1"/>
        <v>76.72</v>
      </c>
    </row>
    <row r="24" spans="1:6" x14ac:dyDescent="0.25">
      <c r="A24" s="2">
        <v>23</v>
      </c>
      <c r="B24" s="10">
        <v>25</v>
      </c>
      <c r="C24">
        <v>96</v>
      </c>
      <c r="D24" s="3">
        <f>IF(Лист1__2[[#This Row],[Column18]]&lt;&gt;"",Лист1__2[[#This Row],[Column18]],"")</f>
        <v>96</v>
      </c>
      <c r="E24" s="2">
        <f t="shared" si="0"/>
        <v>25.4</v>
      </c>
      <c r="F24" s="2">
        <f t="shared" si="1"/>
        <v>74.599999999999994</v>
      </c>
    </row>
    <row r="25" spans="1:6" x14ac:dyDescent="0.25">
      <c r="A25" s="2">
        <v>24</v>
      </c>
      <c r="B25" s="10">
        <v>26</v>
      </c>
      <c r="C25">
        <v>94</v>
      </c>
      <c r="D25" s="3">
        <f>IF(Лист1__2[[#This Row],[Column18]]&lt;&gt;"",Лист1__2[[#This Row],[Column18]],"")</f>
        <v>94</v>
      </c>
      <c r="E25" s="2">
        <f t="shared" si="0"/>
        <v>24.87</v>
      </c>
      <c r="F25" s="2">
        <f t="shared" si="1"/>
        <v>75.13</v>
      </c>
    </row>
    <row r="26" spans="1:6" x14ac:dyDescent="0.25">
      <c r="A26" s="2">
        <v>25</v>
      </c>
      <c r="B26" s="10">
        <v>27</v>
      </c>
      <c r="C26" t="s">
        <v>38</v>
      </c>
      <c r="D26" s="3" t="str">
        <f>IF(Лист1__2[[#This Row],[Column18]]&lt;&gt;"",Лист1__2[[#This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 s="10">
        <v>28</v>
      </c>
      <c r="C27" t="s">
        <v>38</v>
      </c>
      <c r="D27" s="3" t="str">
        <f>IF(Лист1__2[[#This Row],[Column18]]&lt;&gt;"",Лист1__2[[#This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 s="10">
        <v>29</v>
      </c>
      <c r="C28" t="s">
        <v>38</v>
      </c>
      <c r="D28" s="3" t="str">
        <f>IF(Лист1__2[[#This Row],[Column18]]&lt;&gt;"",Лист1__2[[#This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 s="10">
        <v>30</v>
      </c>
      <c r="C29" t="s">
        <v>38</v>
      </c>
      <c r="D29" s="3" t="str">
        <f>IF(Лист1__2[[#This Row],[Column18]]&lt;&gt;"",Лист1__2[[#This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 s="10">
        <v>31</v>
      </c>
      <c r="C30" t="s">
        <v>38</v>
      </c>
      <c r="D30" s="3" t="str">
        <f>IF(Лист1__2[[#This Row],[Column18]]&lt;&gt;"",Лист1__2[[#This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 s="10">
        <v>32</v>
      </c>
      <c r="C31" t="s">
        <v>38</v>
      </c>
      <c r="D31" s="3" t="str">
        <f>IF(Лист1__2[[#This Row],[Column18]]&lt;&gt;"",Лист1__2[[#This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 s="10">
        <v>33</v>
      </c>
      <c r="C32" t="s">
        <v>38</v>
      </c>
      <c r="D32" s="3" t="str">
        <f>IF(Лист1__2[[#This Row],[Column18]]&lt;&gt;"",Лист1__2[[#This Row],[Column18]],"")</f>
        <v/>
      </c>
      <c r="E32" s="2" t="str">
        <f t="shared" si="0"/>
        <v/>
      </c>
      <c r="F32" s="2" t="str">
        <f t="shared" si="1"/>
        <v/>
      </c>
    </row>
    <row r="33" spans="1:6" x14ac:dyDescent="0.25">
      <c r="A33" s="2">
        <v>32</v>
      </c>
      <c r="B33" s="10">
        <v>34</v>
      </c>
      <c r="C33" t="s">
        <v>38</v>
      </c>
      <c r="D33" s="3" t="str">
        <f>IF(Лист1__2[[#This Row],[Column18]]&lt;&gt;"",Лист1__2[[#This Row],[Column18]],"")</f>
        <v/>
      </c>
      <c r="E33" s="2" t="str">
        <f t="shared" si="0"/>
        <v/>
      </c>
      <c r="F33" s="2" t="str">
        <f t="shared" si="1"/>
        <v/>
      </c>
    </row>
    <row r="34" spans="1:6" x14ac:dyDescent="0.25">
      <c r="A34" s="2">
        <v>33</v>
      </c>
      <c r="B34" s="10">
        <v>35</v>
      </c>
      <c r="C34" t="s">
        <v>38</v>
      </c>
      <c r="D34" s="3" t="str">
        <f>IF(Лист1__2[[#This Row],[Column18]]&lt;&gt;"",Лист1__2[[#This Row],[Column18]],"")</f>
        <v/>
      </c>
      <c r="E34" s="2" t="str">
        <f t="shared" si="0"/>
        <v/>
      </c>
      <c r="F34" s="2" t="str">
        <f t="shared" si="1"/>
        <v/>
      </c>
    </row>
    <row r="35" spans="1:6" x14ac:dyDescent="0.25">
      <c r="A35" s="2">
        <v>34</v>
      </c>
      <c r="B35" s="10">
        <v>36</v>
      </c>
      <c r="C35" t="s">
        <v>38</v>
      </c>
      <c r="D35" s="3" t="str">
        <f>IF(Лист1__2[[#This Row],[Column18]]&lt;&gt;"",Лист1__2[[#This Row],[Column18]],"")</f>
        <v/>
      </c>
      <c r="E35" s="2" t="str">
        <f t="shared" si="0"/>
        <v/>
      </c>
      <c r="F35" s="2" t="str">
        <f t="shared" si="1"/>
        <v/>
      </c>
    </row>
    <row r="36" spans="1:6" x14ac:dyDescent="0.25">
      <c r="A36" s="2">
        <v>35</v>
      </c>
      <c r="B36" s="10">
        <v>37</v>
      </c>
      <c r="C36" t="s">
        <v>38</v>
      </c>
      <c r="D36" s="3" t="str">
        <f>IF(Лист1__2[[#This Row],[Column18]]&lt;&gt;"",Лист1__2[[#This Row],[Column18]],"")</f>
        <v/>
      </c>
      <c r="E36" s="2" t="str">
        <f t="shared" si="0"/>
        <v/>
      </c>
      <c r="F36" s="2" t="str">
        <f t="shared" si="1"/>
        <v/>
      </c>
    </row>
    <row r="37" spans="1:6" x14ac:dyDescent="0.25">
      <c r="A37" s="2">
        <v>36</v>
      </c>
      <c r="B37" s="10">
        <v>38</v>
      </c>
      <c r="C37" t="s">
        <v>38</v>
      </c>
      <c r="D37" s="3" t="str">
        <f>IF(Лист1__2[[#This Row],[Column18]]&lt;&gt;"",Лист1__2[[#This Row],[Column18]],"")</f>
        <v/>
      </c>
      <c r="E37" s="2" t="str">
        <f t="shared" si="0"/>
        <v/>
      </c>
      <c r="F37" s="2" t="str">
        <f t="shared" si="1"/>
        <v/>
      </c>
    </row>
    <row r="38" spans="1:6" x14ac:dyDescent="0.25">
      <c r="A38" s="2">
        <v>37</v>
      </c>
      <c r="B38" s="10">
        <v>39</v>
      </c>
      <c r="C38" t="s">
        <v>38</v>
      </c>
      <c r="D38" s="3" t="str">
        <f>IF(Лист1__2[[#This Row],[Column18]]&lt;&gt;"",Лист1__2[[#This Row],[Column18]],"")</f>
        <v/>
      </c>
      <c r="E38" s="2" t="str">
        <f t="shared" si="0"/>
        <v/>
      </c>
      <c r="F38" s="2" t="str">
        <f t="shared" si="1"/>
        <v/>
      </c>
    </row>
    <row r="39" spans="1:6" x14ac:dyDescent="0.25">
      <c r="A39" s="2">
        <v>38</v>
      </c>
      <c r="B39" s="10">
        <v>40</v>
      </c>
      <c r="C39" t="s">
        <v>38</v>
      </c>
      <c r="D39" s="3" t="str">
        <f>IF(Лист1__2[[#This Row],[Column18]]&lt;&gt;"",Лист1__2[[#This Row],[Column18]],"")</f>
        <v/>
      </c>
      <c r="E39" s="2" t="str">
        <f t="shared" si="0"/>
        <v/>
      </c>
      <c r="F39" s="2" t="str">
        <f t="shared" si="1"/>
        <v/>
      </c>
    </row>
    <row r="40" spans="1:6" x14ac:dyDescent="0.25">
      <c r="A40" s="2">
        <v>39</v>
      </c>
      <c r="B40" s="10">
        <v>41</v>
      </c>
      <c r="C40" t="s">
        <v>38</v>
      </c>
      <c r="D40" s="3" t="str">
        <f>IF(Лист1__2[[#This Row],[Column18]]&lt;&gt;"",Лист1__2[[#This Row],[Column18]],"")</f>
        <v/>
      </c>
      <c r="E40" s="2" t="str">
        <f t="shared" si="0"/>
        <v/>
      </c>
      <c r="F40" s="2" t="str">
        <f t="shared" si="1"/>
        <v/>
      </c>
    </row>
    <row r="41" spans="1:6" x14ac:dyDescent="0.25">
      <c r="A41" s="2">
        <v>40</v>
      </c>
      <c r="B41" s="10">
        <v>42</v>
      </c>
      <c r="C41" t="s">
        <v>38</v>
      </c>
      <c r="D41" s="3" t="str">
        <f>IF(Лист1__2[[#This Row],[Column18]]&lt;&gt;"",Лист1__2[[#This Row],[Column18]],"")</f>
        <v/>
      </c>
      <c r="E41" s="2" t="str">
        <f t="shared" si="0"/>
        <v/>
      </c>
      <c r="F41" s="2" t="str">
        <f t="shared" si="1"/>
        <v/>
      </c>
    </row>
    <row r="42" spans="1:6" x14ac:dyDescent="0.25">
      <c r="A42" t="s">
        <v>40</v>
      </c>
      <c r="D42" s="12">
        <f>SUM(D2:D41)</f>
        <v>1896</v>
      </c>
      <c r="E42" s="6"/>
      <c r="F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349BB-64BE-4C71-9498-AE6F429F58F2}">
  <sheetPr codeName="Лист4"/>
  <dimension ref="A1:M42"/>
  <sheetViews>
    <sheetView workbookViewId="0">
      <selection activeCell="B1" sqref="B1:C41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[14]Лист1!$R$2</f>
        <v>160</v>
      </c>
      <c r="L1" s="2" t="s">
        <v>36</v>
      </c>
      <c r="M1" s="2" t="str">
        <f ca="1">MID(CELL("filename",A2),SEARCH("]",CELL("filename",A2))+1,31)</f>
        <v>ЭЖД-46у</v>
      </c>
    </row>
    <row r="2" spans="1:13" x14ac:dyDescent="0.25">
      <c r="A2" s="2">
        <v>1</v>
      </c>
      <c r="B2">
        <v>3</v>
      </c>
      <c r="C2">
        <v>32</v>
      </c>
      <c r="D2" s="3">
        <f>IF(Лист1__4[[#This Row],[Column18]]&lt;&gt;"",Лист1__4[[#This Row],[Column18]],"")</f>
        <v>32</v>
      </c>
      <c r="E2" s="2">
        <f>IF(D2&lt;&gt;"",ROUND(D2/$K$1/2*100,2),"")</f>
        <v>10</v>
      </c>
      <c r="F2" s="2">
        <f>IF(E2&lt;&gt;"",100-E2,"")</f>
        <v>90</v>
      </c>
      <c r="J2" s="8" t="s">
        <v>11</v>
      </c>
      <c r="K2" s="8">
        <f>COUNT(D2:D41)</f>
        <v>20</v>
      </c>
      <c r="L2" s="2" t="s">
        <v>37</v>
      </c>
      <c r="M2" s="2">
        <f>[14]Лист1!$U$1</f>
        <v>16</v>
      </c>
    </row>
    <row r="3" spans="1:13" x14ac:dyDescent="0.25">
      <c r="A3" s="2">
        <v>2</v>
      </c>
      <c r="B3">
        <v>4</v>
      </c>
      <c r="C3">
        <v>16</v>
      </c>
      <c r="D3" s="3">
        <f>IF(Лист1__4[[#This Row],[Column18]]&lt;&gt;"",Лист1__4[[#This Row],[Column18]],"")</f>
        <v>16</v>
      </c>
      <c r="E3" s="2">
        <f t="shared" ref="E3:E41" si="0">IF(D3&lt;&gt;"",ROUND(D3/$K$1/2*100,2),"")</f>
        <v>5</v>
      </c>
      <c r="F3" s="2">
        <f t="shared" ref="F3:F41" si="1">IF(E3&lt;&gt;"",100-E3,"")</f>
        <v>95</v>
      </c>
      <c r="I3" s="19" t="s">
        <v>33</v>
      </c>
      <c r="J3" s="4" t="s">
        <v>3</v>
      </c>
      <c r="K3" s="2">
        <f>ROUND(L3/$K$2*100,0)</f>
        <v>65</v>
      </c>
      <c r="L3" s="9">
        <f>K2-SUM($L$4:$L$7)</f>
        <v>13</v>
      </c>
    </row>
    <row r="4" spans="1:13" ht="26.25" x14ac:dyDescent="0.25">
      <c r="A4" s="2">
        <v>3</v>
      </c>
      <c r="B4">
        <v>5</v>
      </c>
      <c r="C4">
        <v>0</v>
      </c>
      <c r="D4" s="3">
        <f>IF(Лист1__4[[#This Row],[Column18]]&lt;&gt;"",Лист1__4[[#This Row],[Column18]],"")</f>
        <v>0</v>
      </c>
      <c r="E4" s="2">
        <f t="shared" si="0"/>
        <v>0</v>
      </c>
      <c r="F4" s="2">
        <f t="shared" si="1"/>
        <v>100</v>
      </c>
      <c r="I4" s="19"/>
      <c r="J4" s="4" t="s">
        <v>4</v>
      </c>
      <c r="K4" s="2">
        <f t="shared" ref="K4:K6" si="2">ROUND(L4/$K$2*100,0)</f>
        <v>35</v>
      </c>
      <c r="L4" s="2">
        <f t="array" ref="L4">SUM(($E$2:$E$37&gt;=10)*(($E$2:$E$37)&lt;30))</f>
        <v>7</v>
      </c>
    </row>
    <row r="5" spans="1:13" ht="26.25" x14ac:dyDescent="0.25">
      <c r="A5" s="2">
        <v>4</v>
      </c>
      <c r="B5">
        <v>6</v>
      </c>
      <c r="C5">
        <v>30</v>
      </c>
      <c r="D5" s="3">
        <f>IF(Лист1__4[[#This Row],[Column18]]&lt;&gt;"",Лист1__4[[#This Row],[Column18]],"")</f>
        <v>30</v>
      </c>
      <c r="E5" s="2">
        <f t="shared" si="0"/>
        <v>9.3800000000000008</v>
      </c>
      <c r="F5" s="2">
        <f t="shared" si="1"/>
        <v>90.62</v>
      </c>
      <c r="I5" s="19"/>
      <c r="J5" s="4" t="s">
        <v>5</v>
      </c>
      <c r="K5" s="2">
        <f t="shared" si="2"/>
        <v>0</v>
      </c>
      <c r="L5" s="2">
        <f t="array" ref="L5">SUM(($E$2:$E$37&gt;=30)*(($E$2:$E$37)&lt;50))</f>
        <v>0</v>
      </c>
    </row>
    <row r="6" spans="1:13" ht="26.25" x14ac:dyDescent="0.25">
      <c r="A6" s="2">
        <v>5</v>
      </c>
      <c r="B6">
        <v>7</v>
      </c>
      <c r="C6">
        <v>32</v>
      </c>
      <c r="D6" s="3">
        <f>IF(Лист1__4[[#This Row],[Column18]]&lt;&gt;"",Лист1__4[[#This Row],[Column18]],"")</f>
        <v>32</v>
      </c>
      <c r="E6" s="2">
        <f t="shared" si="0"/>
        <v>10</v>
      </c>
      <c r="F6" s="2">
        <f t="shared" si="1"/>
        <v>90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10</v>
      </c>
      <c r="D7" s="3">
        <f>IF(Лист1__4[[#This Row],[Column18]]&lt;&gt;"",Лист1__4[[#This Row],[Column18]],"")</f>
        <v>10</v>
      </c>
      <c r="E7" s="2">
        <f t="shared" si="0"/>
        <v>3.13</v>
      </c>
      <c r="F7" s="2">
        <f t="shared" si="1"/>
        <v>96.87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 t="s">
        <v>38</v>
      </c>
      <c r="D8" s="3" t="str">
        <f>IF(Лист1__4[[#This Row],[Column18]]&lt;&gt;"",Лист1__4[[#This Row],[Column18]],"")</f>
        <v/>
      </c>
      <c r="E8" s="2" t="str">
        <f t="shared" si="0"/>
        <v/>
      </c>
      <c r="F8" s="2" t="str">
        <f t="shared" si="1"/>
        <v/>
      </c>
    </row>
    <row r="9" spans="1:13" x14ac:dyDescent="0.25">
      <c r="A9" s="2">
        <v>8</v>
      </c>
      <c r="B9">
        <v>10</v>
      </c>
      <c r="C9">
        <v>0</v>
      </c>
      <c r="D9" s="3">
        <f>IF(Лист1__4[[#This Row],[Column18]]&lt;&gt;"",Лист1__4[[#This Row],[Column18]],"")</f>
        <v>0</v>
      </c>
      <c r="E9" s="2">
        <f t="shared" si="0"/>
        <v>0</v>
      </c>
      <c r="F9" s="2">
        <f t="shared" si="1"/>
        <v>100</v>
      </c>
      <c r="K9" t="s">
        <v>31</v>
      </c>
    </row>
    <row r="10" spans="1:13" ht="26.25" x14ac:dyDescent="0.25">
      <c r="A10" s="2">
        <v>9</v>
      </c>
      <c r="B10">
        <v>11</v>
      </c>
      <c r="C10">
        <v>60</v>
      </c>
      <c r="D10" s="3">
        <f>IF(Лист1__4[[#This Row],[Column18]]&lt;&gt;"",Лист1__4[[#This Row],[Column18]],"")</f>
        <v>60</v>
      </c>
      <c r="E10" s="2">
        <f t="shared" si="0"/>
        <v>18.75</v>
      </c>
      <c r="F10" s="2">
        <f t="shared" si="1"/>
        <v>81.25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54</v>
      </c>
      <c r="D11" s="3">
        <f>IF(Лист1__4[[#This Row],[Column18]]&lt;&gt;"",Лист1__4[[#This Row],[Column18]],"")</f>
        <v>54</v>
      </c>
      <c r="E11" s="2">
        <f t="shared" si="0"/>
        <v>16.88</v>
      </c>
      <c r="F11" s="2">
        <f t="shared" si="1"/>
        <v>83.12</v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>
        <v>16</v>
      </c>
      <c r="D12" s="3">
        <f>IF(Лист1__4[[#This Row],[Column18]]&lt;&gt;"",Лист1__4[[#This Row],[Column18]],"")</f>
        <v>16</v>
      </c>
      <c r="E12" s="2">
        <f t="shared" si="0"/>
        <v>5</v>
      </c>
      <c r="F12" s="2">
        <f t="shared" si="1"/>
        <v>95</v>
      </c>
      <c r="I12" s="19"/>
      <c r="J12" s="4" t="s">
        <v>28</v>
      </c>
      <c r="K12" s="2">
        <f t="shared" si="3"/>
        <v>0</v>
      </c>
      <c r="L12" s="2">
        <f t="array" ref="L12">SUM(($F$2:$F$37&gt;=50)*(($F$2:$F$37)&lt;75))</f>
        <v>0</v>
      </c>
    </row>
    <row r="13" spans="1:13" ht="26.25" x14ac:dyDescent="0.25">
      <c r="A13" s="2">
        <v>12</v>
      </c>
      <c r="B13">
        <v>14</v>
      </c>
      <c r="C13">
        <v>18</v>
      </c>
      <c r="D13" s="3">
        <f>IF(Лист1__4[[#This Row],[Column18]]&lt;&gt;"",Лист1__4[[#This Row],[Column18]],"")</f>
        <v>18</v>
      </c>
      <c r="E13" s="2">
        <f t="shared" si="0"/>
        <v>5.63</v>
      </c>
      <c r="F13" s="2">
        <f t="shared" si="1"/>
        <v>94.37</v>
      </c>
      <c r="I13" s="19"/>
      <c r="J13" s="4" t="s">
        <v>29</v>
      </c>
      <c r="K13" s="2">
        <f t="shared" si="3"/>
        <v>20</v>
      </c>
      <c r="L13" s="2">
        <f t="array" ref="L13">SUM(($F$2:$F$37&gt;=75)*(($F$2:$F$37)&lt;90))</f>
        <v>4</v>
      </c>
    </row>
    <row r="14" spans="1:13" ht="26.25" x14ac:dyDescent="0.25">
      <c r="A14" s="2">
        <v>13</v>
      </c>
      <c r="B14">
        <v>15</v>
      </c>
      <c r="C14">
        <v>8</v>
      </c>
      <c r="D14" s="3">
        <f>IF(Лист1__4[[#This Row],[Column18]]&lt;&gt;"",Лист1__4[[#This Row],[Column18]],"")</f>
        <v>8</v>
      </c>
      <c r="E14" s="2">
        <f t="shared" si="0"/>
        <v>2.5</v>
      </c>
      <c r="F14" s="2">
        <f t="shared" si="1"/>
        <v>97.5</v>
      </c>
      <c r="I14" s="19"/>
      <c r="J14" s="7" t="s">
        <v>30</v>
      </c>
      <c r="K14" s="2">
        <f>100-SUM($K$9:$K$13)</f>
        <v>80</v>
      </c>
      <c r="L14" s="2">
        <f>$K$2-SUM(L9:L$13)</f>
        <v>16</v>
      </c>
    </row>
    <row r="15" spans="1:13" x14ac:dyDescent="0.25">
      <c r="A15" s="2">
        <v>14</v>
      </c>
      <c r="B15">
        <v>16</v>
      </c>
      <c r="C15">
        <v>22</v>
      </c>
      <c r="D15" s="3">
        <f>IF(Лист1__4[[#This Row],[Column18]]&lt;&gt;"",Лист1__4[[#This Row],[Column18]],"")</f>
        <v>22</v>
      </c>
      <c r="E15" s="2">
        <f t="shared" si="0"/>
        <v>6.88</v>
      </c>
      <c r="F15" s="2">
        <f t="shared" si="1"/>
        <v>93.12</v>
      </c>
    </row>
    <row r="16" spans="1:13" x14ac:dyDescent="0.25">
      <c r="A16" s="2">
        <v>15</v>
      </c>
      <c r="B16">
        <v>17</v>
      </c>
      <c r="C16">
        <v>2</v>
      </c>
      <c r="D16" s="3">
        <f>IF(Лист1__4[[#This Row],[Column18]]&lt;&gt;"",Лист1__4[[#This Row],[Column18]],"")</f>
        <v>2</v>
      </c>
      <c r="E16" s="2">
        <f t="shared" si="0"/>
        <v>0.63</v>
      </c>
      <c r="F16" s="2">
        <f t="shared" si="1"/>
        <v>99.37</v>
      </c>
    </row>
    <row r="17" spans="1:6" x14ac:dyDescent="0.25">
      <c r="A17" s="2">
        <v>16</v>
      </c>
      <c r="B17">
        <v>18</v>
      </c>
      <c r="C17">
        <v>48</v>
      </c>
      <c r="D17" s="3">
        <f>IF(Лист1__4[[#This Row],[Column18]]&lt;&gt;"",Лист1__4[[#This Row],[Column18]],"")</f>
        <v>48</v>
      </c>
      <c r="E17" s="2">
        <f t="shared" si="0"/>
        <v>15</v>
      </c>
      <c r="F17" s="2">
        <f t="shared" si="1"/>
        <v>85</v>
      </c>
    </row>
    <row r="18" spans="1:6" x14ac:dyDescent="0.25">
      <c r="A18" s="2">
        <v>17</v>
      </c>
      <c r="B18">
        <v>19</v>
      </c>
      <c r="C18">
        <v>26</v>
      </c>
      <c r="D18" s="3">
        <f>IF(Лист1__4[[#This Row],[Column18]]&lt;&gt;"",Лист1__4[[#This Row],[Column18]],"")</f>
        <v>26</v>
      </c>
      <c r="E18" s="2">
        <f t="shared" si="0"/>
        <v>8.1300000000000008</v>
      </c>
      <c r="F18" s="2">
        <f t="shared" si="1"/>
        <v>91.87</v>
      </c>
    </row>
    <row r="19" spans="1:6" x14ac:dyDescent="0.25">
      <c r="A19" s="2">
        <v>18</v>
      </c>
      <c r="B19">
        <v>20</v>
      </c>
      <c r="C19">
        <v>22</v>
      </c>
      <c r="D19" s="3">
        <f>IF(Лист1__4[[#This Row],[Column18]]&lt;&gt;"",Лист1__4[[#This Row],[Column18]],"")</f>
        <v>22</v>
      </c>
      <c r="E19" s="2">
        <f t="shared" si="0"/>
        <v>6.88</v>
      </c>
      <c r="F19" s="2">
        <f t="shared" si="1"/>
        <v>93.12</v>
      </c>
    </row>
    <row r="20" spans="1:6" x14ac:dyDescent="0.25">
      <c r="A20" s="2">
        <v>19</v>
      </c>
      <c r="B20">
        <v>21</v>
      </c>
      <c r="C20">
        <v>58</v>
      </c>
      <c r="D20" s="3">
        <f>IF(Лист1__4[[#This Row],[Column18]]&lt;&gt;"",Лист1__4[[#This Row],[Column18]],"")</f>
        <v>58</v>
      </c>
      <c r="E20" s="2">
        <f t="shared" si="0"/>
        <v>18.13</v>
      </c>
      <c r="F20" s="2">
        <f t="shared" si="1"/>
        <v>81.87</v>
      </c>
    </row>
    <row r="21" spans="1:6" x14ac:dyDescent="0.25">
      <c r="A21" s="2">
        <v>20</v>
      </c>
      <c r="B21">
        <v>22</v>
      </c>
      <c r="C21">
        <v>2</v>
      </c>
      <c r="D21" s="3">
        <f>IF(Лист1__4[[#This Row],[Column18]]&lt;&gt;"",Лист1__4[[#This Row],[Column18]],"")</f>
        <v>2</v>
      </c>
      <c r="E21" s="2">
        <f t="shared" si="0"/>
        <v>0.63</v>
      </c>
      <c r="F21" s="2">
        <f t="shared" si="1"/>
        <v>99.37</v>
      </c>
    </row>
    <row r="22" spans="1:6" x14ac:dyDescent="0.25">
      <c r="A22" s="2">
        <v>21</v>
      </c>
      <c r="B22">
        <v>23</v>
      </c>
      <c r="C22">
        <v>32</v>
      </c>
      <c r="D22" s="3">
        <f>IF(Лист1__4[[#This Row],[Column18]]&lt;&gt;"",Лист1__4[[#This Row],[Column18]],"")</f>
        <v>32</v>
      </c>
      <c r="E22" s="2">
        <f t="shared" si="0"/>
        <v>10</v>
      </c>
      <c r="F22" s="2">
        <f t="shared" si="1"/>
        <v>90</v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IF(Лист1__4[[#This Row],[Column18]]&lt;&gt;"",Лист1__4[[#This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IF(Лист1__4[[#This Row],[Column18]]&lt;&gt;"",Лист1__4[[#This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IF(Лист1__4[[#This Row],[Column18]]&lt;&gt;"",Лист1__4[[#This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IF(Лист1__4[[#This Row],[Column18]]&lt;&gt;"",Лист1__4[[#This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IF(Лист1__4[[#This Row],[Column18]]&lt;&gt;"",Лист1__4[[#This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IF(Лист1__4[[#This Row],[Column18]]&lt;&gt;"",Лист1__4[[#This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IF(Лист1__4[[#This Row],[Column18]]&lt;&gt;"",Лист1__4[[#This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IF(Лист1__4[[#This Row],[Column18]]&lt;&gt;"",Лист1__4[[#This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IF(Лист1__4[[#This Row],[Column18]]&lt;&gt;"",Лист1__4[[#This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IF(Лист1__4[[#This Row],[Column18]]&lt;&gt;"",Лист1__4[[#This Row],[Column18]],"")</f>
        <v/>
      </c>
      <c r="E32" s="2" t="str">
        <f t="shared" si="0"/>
        <v/>
      </c>
      <c r="F32" s="2" t="str">
        <f t="shared" si="1"/>
        <v/>
      </c>
    </row>
    <row r="33" spans="1:6" x14ac:dyDescent="0.25">
      <c r="A33" s="2">
        <v>32</v>
      </c>
      <c r="B33">
        <v>34</v>
      </c>
      <c r="C33" t="s">
        <v>38</v>
      </c>
      <c r="D33" s="3" t="str">
        <f>IF(Лист1__4[[#This Row],[Column18]]&lt;&gt;"",Лист1__4[[#This Row],[Column18]],"")</f>
        <v/>
      </c>
      <c r="E33" s="2" t="str">
        <f t="shared" si="0"/>
        <v/>
      </c>
      <c r="F33" s="2" t="str">
        <f t="shared" si="1"/>
        <v/>
      </c>
    </row>
    <row r="34" spans="1:6" x14ac:dyDescent="0.25">
      <c r="A34" s="2">
        <v>33</v>
      </c>
      <c r="B34">
        <v>35</v>
      </c>
      <c r="C34" t="s">
        <v>38</v>
      </c>
      <c r="D34" s="3" t="str">
        <f>IF(Лист1__4[[#This Row],[Column18]]&lt;&gt;"",Лист1__4[[#This Row],[Column18]],"")</f>
        <v/>
      </c>
      <c r="E34" s="2" t="str">
        <f t="shared" si="0"/>
        <v/>
      </c>
      <c r="F34" s="2" t="str">
        <f t="shared" si="1"/>
        <v/>
      </c>
    </row>
    <row r="35" spans="1:6" x14ac:dyDescent="0.25">
      <c r="A35" s="2">
        <v>34</v>
      </c>
      <c r="B35">
        <v>36</v>
      </c>
      <c r="C35" t="s">
        <v>38</v>
      </c>
      <c r="D35" s="3" t="str">
        <f>IF(Лист1__4[[#This Row],[Column18]]&lt;&gt;"",Лист1__4[[#This Row],[Column18]],"")</f>
        <v/>
      </c>
      <c r="E35" s="2" t="str">
        <f t="shared" si="0"/>
        <v/>
      </c>
      <c r="F35" s="2" t="str">
        <f t="shared" si="1"/>
        <v/>
      </c>
    </row>
    <row r="36" spans="1:6" x14ac:dyDescent="0.25">
      <c r="A36" s="2">
        <v>35</v>
      </c>
      <c r="B36">
        <v>37</v>
      </c>
      <c r="C36" t="s">
        <v>38</v>
      </c>
      <c r="D36" s="3" t="str">
        <f>IF(Лист1__4[[#This Row],[Column18]]&lt;&gt;"",Лист1__4[[#This Row],[Column18]],"")</f>
        <v/>
      </c>
      <c r="E36" s="2" t="str">
        <f t="shared" si="0"/>
        <v/>
      </c>
      <c r="F36" s="2" t="str">
        <f t="shared" si="1"/>
        <v/>
      </c>
    </row>
    <row r="37" spans="1:6" x14ac:dyDescent="0.25">
      <c r="A37" s="2">
        <v>36</v>
      </c>
      <c r="B37">
        <v>38</v>
      </c>
      <c r="C37" t="s">
        <v>38</v>
      </c>
      <c r="D37" s="3" t="str">
        <f>IF(Лист1__4[[#This Row],[Column18]]&lt;&gt;"",Лист1__4[[#This Row],[Column18]],"")</f>
        <v/>
      </c>
      <c r="E37" s="2" t="str">
        <f t="shared" si="0"/>
        <v/>
      </c>
      <c r="F37" s="2" t="str">
        <f t="shared" si="1"/>
        <v/>
      </c>
    </row>
    <row r="38" spans="1:6" x14ac:dyDescent="0.25">
      <c r="A38" s="2">
        <v>37</v>
      </c>
      <c r="B38">
        <v>39</v>
      </c>
      <c r="C38" t="s">
        <v>38</v>
      </c>
      <c r="D38" s="3" t="str">
        <f>IF(Лист1__4[[#This Row],[Column18]]&lt;&gt;"",Лист1__4[[#This Row],[Column18]],"")</f>
        <v/>
      </c>
      <c r="E38" s="2" t="str">
        <f t="shared" si="0"/>
        <v/>
      </c>
      <c r="F38" s="2" t="str">
        <f t="shared" si="1"/>
        <v/>
      </c>
    </row>
    <row r="39" spans="1:6" x14ac:dyDescent="0.25">
      <c r="A39" s="2">
        <v>38</v>
      </c>
      <c r="B39">
        <v>40</v>
      </c>
      <c r="C39" t="s">
        <v>38</v>
      </c>
      <c r="D39" s="3" t="str">
        <f>IF(Лист1__4[[#This Row],[Column18]]&lt;&gt;"",Лист1__4[[#This Row],[Column18]],"")</f>
        <v/>
      </c>
      <c r="E39" s="2" t="str">
        <f t="shared" si="0"/>
        <v/>
      </c>
      <c r="F39" s="2" t="str">
        <f t="shared" si="1"/>
        <v/>
      </c>
    </row>
    <row r="40" spans="1:6" x14ac:dyDescent="0.25">
      <c r="A40" s="2">
        <v>39</v>
      </c>
      <c r="B40">
        <v>41</v>
      </c>
      <c r="C40" t="s">
        <v>38</v>
      </c>
      <c r="D40" s="3" t="str">
        <f>IF(Лист1__4[[#This Row],[Column18]]&lt;&gt;"",Лист1__4[[#This Row],[Column18]],"")</f>
        <v/>
      </c>
      <c r="E40" s="2" t="str">
        <f t="shared" si="0"/>
        <v/>
      </c>
      <c r="F40" s="2" t="str">
        <f t="shared" si="1"/>
        <v/>
      </c>
    </row>
    <row r="41" spans="1:6" x14ac:dyDescent="0.25">
      <c r="A41" s="2">
        <v>40</v>
      </c>
      <c r="B41">
        <v>42</v>
      </c>
      <c r="C41" t="s">
        <v>38</v>
      </c>
      <c r="D41" s="3" t="str">
        <f>IF(Лист1__4[[#This Row],[Column18]]&lt;&gt;"",Лист1__4[[#This Row],[Column18]],"")</f>
        <v/>
      </c>
      <c r="E41" s="2" t="str">
        <f t="shared" si="0"/>
        <v/>
      </c>
      <c r="F41" s="2" t="str">
        <f t="shared" si="1"/>
        <v/>
      </c>
    </row>
    <row r="42" spans="1:6" x14ac:dyDescent="0.25">
      <c r="A42" t="s">
        <v>40</v>
      </c>
      <c r="D42" s="12">
        <f>SUM(D2:D41)</f>
        <v>488</v>
      </c>
      <c r="E42" s="6"/>
      <c r="F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598-7BAC-444C-A2DC-29F491FFD0E6}">
  <sheetPr codeName="Лист5"/>
  <dimension ref="A1:M42"/>
  <sheetViews>
    <sheetView workbookViewId="0">
      <selection activeCell="N5" sqref="N5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[15]Лист1!$R$2</f>
        <v>140</v>
      </c>
      <c r="L1" s="2" t="s">
        <v>36</v>
      </c>
      <c r="M1" s="2" t="str">
        <f ca="1">MID(CELL("filename",A2),SEARCH("]",CELL("filename",A2))+1,31)</f>
        <v>ЭЖД-45у</v>
      </c>
    </row>
    <row r="2" spans="1:13" x14ac:dyDescent="0.25">
      <c r="A2" s="2">
        <v>1</v>
      </c>
      <c r="B2">
        <v>3</v>
      </c>
      <c r="C2">
        <v>66</v>
      </c>
      <c r="D2" s="3">
        <f>IF(Лист1__5[[#This Row],[Column18]]&lt;&gt;"",Лист1__5[[#This Row],[Column18]],"")</f>
        <v>66</v>
      </c>
      <c r="E2" s="2">
        <f>IF(D2&lt;&gt;"",ROUND(D2/$K$1/2*100,2),"")</f>
        <v>23.57</v>
      </c>
      <c r="F2" s="2">
        <f>IF(E2&lt;&gt;"",100-E2,"")</f>
        <v>76.430000000000007</v>
      </c>
      <c r="J2" s="8" t="s">
        <v>11</v>
      </c>
      <c r="K2" s="8">
        <f>COUNT(D2:D41)</f>
        <v>20</v>
      </c>
      <c r="L2" s="2" t="s">
        <v>37</v>
      </c>
      <c r="M2" s="2">
        <f>[15]Лист1!$U$1</f>
        <v>16</v>
      </c>
    </row>
    <row r="3" spans="1:13" x14ac:dyDescent="0.25">
      <c r="A3" s="2">
        <v>2</v>
      </c>
      <c r="B3">
        <v>4</v>
      </c>
      <c r="C3">
        <v>22</v>
      </c>
      <c r="D3" s="3">
        <f>IF(Лист1__5[[#This Row],[Column18]]&lt;&gt;"",Лист1__5[[#This Row],[Column18]],"")</f>
        <v>22</v>
      </c>
      <c r="E3" s="2">
        <f t="shared" ref="E3:E41" si="0">IF(D3&lt;&gt;"",ROUND(D3/$K$1/2*100,2),"")</f>
        <v>7.86</v>
      </c>
      <c r="F3" s="2">
        <f t="shared" ref="F3:F41" si="1">IF(E3&lt;&gt;"",100-E3,"")</f>
        <v>92.14</v>
      </c>
      <c r="I3" s="19" t="s">
        <v>33</v>
      </c>
      <c r="J3" s="4" t="s">
        <v>3</v>
      </c>
      <c r="K3" s="2">
        <f>ROUND(L3/$K$2*100,0)</f>
        <v>35</v>
      </c>
      <c r="L3" s="9">
        <f>K2-SUM($L$4:$L$7)</f>
        <v>7</v>
      </c>
    </row>
    <row r="4" spans="1:13" ht="26.25" x14ac:dyDescent="0.25">
      <c r="A4" s="2">
        <v>3</v>
      </c>
      <c r="B4">
        <v>5</v>
      </c>
      <c r="C4">
        <v>12</v>
      </c>
      <c r="D4" s="3">
        <f>IF(Лист1__5[[#This Row],[Column18]]&lt;&gt;"",Лист1__5[[#This Row],[Column18]],"")</f>
        <v>12</v>
      </c>
      <c r="E4" s="2">
        <f t="shared" si="0"/>
        <v>4.29</v>
      </c>
      <c r="F4" s="2">
        <f t="shared" si="1"/>
        <v>95.71</v>
      </c>
      <c r="I4" s="19"/>
      <c r="J4" s="4" t="s">
        <v>4</v>
      </c>
      <c r="K4" s="2">
        <f t="shared" ref="K4:K6" si="2">ROUND(L4/$K$2*100,0)</f>
        <v>50</v>
      </c>
      <c r="L4" s="2">
        <f t="array" ref="L4">SUM(($E$2:$E$37&gt;=10)*(($E$2:$E$37)&lt;30))</f>
        <v>10</v>
      </c>
    </row>
    <row r="5" spans="1:13" ht="26.25" x14ac:dyDescent="0.25">
      <c r="A5" s="2">
        <v>4</v>
      </c>
      <c r="B5">
        <v>6</v>
      </c>
      <c r="C5" t="s">
        <v>38</v>
      </c>
      <c r="D5" s="3" t="str">
        <f>IF(Лист1__5[[#This Row],[Column18]]&lt;&gt;"",Лист1__5[[#This Row],[Column18]],"")</f>
        <v/>
      </c>
      <c r="E5" s="2" t="str">
        <f t="shared" si="0"/>
        <v/>
      </c>
      <c r="F5" s="2" t="str">
        <f t="shared" si="1"/>
        <v/>
      </c>
      <c r="I5" s="19"/>
      <c r="J5" s="4" t="s">
        <v>5</v>
      </c>
      <c r="K5" s="2">
        <f t="shared" si="2"/>
        <v>10</v>
      </c>
      <c r="L5" s="2">
        <f t="array" ref="L5">SUM(($E$2:$E$37&gt;=30)*(($E$2:$E$37)&lt;50))</f>
        <v>2</v>
      </c>
    </row>
    <row r="6" spans="1:13" ht="26.25" x14ac:dyDescent="0.25">
      <c r="A6" s="2">
        <v>5</v>
      </c>
      <c r="B6">
        <v>7</v>
      </c>
      <c r="C6">
        <v>40</v>
      </c>
      <c r="D6" s="3">
        <f>IF(Лист1__5[[#This Row],[Column18]]&lt;&gt;"",Лист1__5[[#This Row],[Column18]],"")</f>
        <v>40</v>
      </c>
      <c r="E6" s="2">
        <f t="shared" si="0"/>
        <v>14.29</v>
      </c>
      <c r="F6" s="2">
        <f t="shared" si="1"/>
        <v>85.710000000000008</v>
      </c>
      <c r="I6" s="19"/>
      <c r="J6" s="4" t="s">
        <v>6</v>
      </c>
      <c r="K6" s="2">
        <f t="shared" si="2"/>
        <v>5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>
        <v>8</v>
      </c>
      <c r="C7">
        <v>76</v>
      </c>
      <c r="D7" s="3">
        <f>IF(Лист1__5[[#This Row],[Column18]]&lt;&gt;"",Лист1__5[[#This Row],[Column18]],"")</f>
        <v>76</v>
      </c>
      <c r="E7" s="2">
        <f t="shared" si="0"/>
        <v>27.14</v>
      </c>
      <c r="F7" s="2">
        <f t="shared" si="1"/>
        <v>72.86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22</v>
      </c>
      <c r="D8" s="3">
        <f>IF(Лист1__5[[#This Row],[Column18]]&lt;&gt;"",Лист1__5[[#This Row],[Column18]],"")</f>
        <v>22</v>
      </c>
      <c r="E8" s="2">
        <f t="shared" si="0"/>
        <v>7.86</v>
      </c>
      <c r="F8" s="2">
        <f t="shared" si="1"/>
        <v>92.14</v>
      </c>
    </row>
    <row r="9" spans="1:13" x14ac:dyDescent="0.25">
      <c r="A9" s="2">
        <v>8</v>
      </c>
      <c r="B9">
        <v>10</v>
      </c>
      <c r="C9">
        <v>10</v>
      </c>
      <c r="D9" s="3">
        <f>IF(Лист1__5[[#This Row],[Column18]]&lt;&gt;"",Лист1__5[[#This Row],[Column18]],"")</f>
        <v>10</v>
      </c>
      <c r="E9" s="2">
        <f t="shared" si="0"/>
        <v>3.57</v>
      </c>
      <c r="F9" s="2">
        <f t="shared" si="1"/>
        <v>96.43</v>
      </c>
      <c r="K9" t="s">
        <v>31</v>
      </c>
    </row>
    <row r="10" spans="1:13" ht="26.25" x14ac:dyDescent="0.25">
      <c r="A10" s="2">
        <v>9</v>
      </c>
      <c r="B10">
        <v>11</v>
      </c>
      <c r="C10">
        <v>38</v>
      </c>
      <c r="D10" s="3">
        <f>IF(Лист1__5[[#This Row],[Column18]]&lt;&gt;"",Лист1__5[[#This Row],[Column18]],"")</f>
        <v>38</v>
      </c>
      <c r="E10" s="2">
        <f t="shared" si="0"/>
        <v>13.57</v>
      </c>
      <c r="F10" s="2">
        <f t="shared" si="1"/>
        <v>86.43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74</v>
      </c>
      <c r="D11" s="3">
        <f>IF(Лист1__5[[#This Row],[Column18]]&lt;&gt;"",Лист1__5[[#This Row],[Column18]],"")</f>
        <v>74</v>
      </c>
      <c r="E11" s="2">
        <f t="shared" si="0"/>
        <v>26.43</v>
      </c>
      <c r="F11" s="2">
        <f t="shared" si="1"/>
        <v>73.569999999999993</v>
      </c>
      <c r="I11" s="19"/>
      <c r="J11" s="4" t="s">
        <v>5</v>
      </c>
      <c r="K11" s="2">
        <f t="shared" si="3"/>
        <v>5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>
        <v>13</v>
      </c>
      <c r="C12">
        <v>80</v>
      </c>
      <c r="D12" s="3">
        <f>IF(Лист1__5[[#This Row],[Column18]]&lt;&gt;"",Лист1__5[[#This Row],[Column18]],"")</f>
        <v>80</v>
      </c>
      <c r="E12" s="2">
        <f t="shared" si="0"/>
        <v>28.57</v>
      </c>
      <c r="F12" s="2">
        <f t="shared" si="1"/>
        <v>71.430000000000007</v>
      </c>
      <c r="I12" s="19"/>
      <c r="J12" s="4" t="s">
        <v>28</v>
      </c>
      <c r="K12" s="2">
        <f t="shared" si="3"/>
        <v>30</v>
      </c>
      <c r="L12" s="2">
        <f t="array" ref="L12">SUM(($F$2:$F$37&gt;=50)*(($F$2:$F$37)&lt;75))</f>
        <v>6</v>
      </c>
    </row>
    <row r="13" spans="1:13" ht="26.25" x14ac:dyDescent="0.25">
      <c r="A13" s="2">
        <v>12</v>
      </c>
      <c r="B13">
        <v>14</v>
      </c>
      <c r="C13" t="s">
        <v>38</v>
      </c>
      <c r="D13" s="3" t="str">
        <f>IF(Лист1__5[[#This Row],[Column18]]&lt;&gt;"",Лист1__5[[#This Row],[Column18]],"")</f>
        <v/>
      </c>
      <c r="E13" s="2" t="str">
        <f t="shared" si="0"/>
        <v/>
      </c>
      <c r="F13" s="2" t="str">
        <f t="shared" si="1"/>
        <v/>
      </c>
      <c r="I13" s="19"/>
      <c r="J13" s="4" t="s">
        <v>29</v>
      </c>
      <c r="K13" s="2">
        <f t="shared" si="3"/>
        <v>30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112</v>
      </c>
      <c r="D14" s="3">
        <f>IF(Лист1__5[[#This Row],[Column18]]&lt;&gt;"",Лист1__5[[#This Row],[Column18]],"")</f>
        <v>112</v>
      </c>
      <c r="E14" s="2">
        <f t="shared" si="0"/>
        <v>40</v>
      </c>
      <c r="F14" s="2">
        <f t="shared" si="1"/>
        <v>60</v>
      </c>
      <c r="I14" s="19"/>
      <c r="J14" s="7" t="s">
        <v>30</v>
      </c>
      <c r="K14" s="2">
        <f>100-SUM($K$9:$K$13)</f>
        <v>35</v>
      </c>
      <c r="L14" s="2">
        <f>$K$2-SUM(L9:L$13)</f>
        <v>7</v>
      </c>
    </row>
    <row r="15" spans="1:13" x14ac:dyDescent="0.25">
      <c r="A15" s="2">
        <v>14</v>
      </c>
      <c r="B15">
        <v>16</v>
      </c>
      <c r="C15" t="s">
        <v>38</v>
      </c>
      <c r="D15" s="3" t="str">
        <f>IF(Лист1__5[[#This Row],[Column18]]&lt;&gt;"",Лист1__5[[#This Row],[Column18]],"")</f>
        <v/>
      </c>
      <c r="E15" s="2" t="str">
        <f t="shared" si="0"/>
        <v/>
      </c>
      <c r="F15" s="2" t="str">
        <f t="shared" si="1"/>
        <v/>
      </c>
    </row>
    <row r="16" spans="1:13" x14ac:dyDescent="0.25">
      <c r="A16" s="2">
        <v>15</v>
      </c>
      <c r="B16">
        <v>17</v>
      </c>
      <c r="C16">
        <v>14</v>
      </c>
      <c r="D16" s="3">
        <f>IF(Лист1__5[[#This Row],[Column18]]&lt;&gt;"",Лист1__5[[#This Row],[Column18]],"")</f>
        <v>14</v>
      </c>
      <c r="E16" s="2">
        <f t="shared" si="0"/>
        <v>5</v>
      </c>
      <c r="F16" s="2">
        <f t="shared" si="1"/>
        <v>95</v>
      </c>
    </row>
    <row r="17" spans="1:6" x14ac:dyDescent="0.25">
      <c r="A17" s="2">
        <v>16</v>
      </c>
      <c r="B17">
        <v>18</v>
      </c>
      <c r="C17">
        <v>92</v>
      </c>
      <c r="D17" s="3">
        <f>IF(Лист1__5[[#This Row],[Column18]]&lt;&gt;"",Лист1__5[[#This Row],[Column18]],"")</f>
        <v>92</v>
      </c>
      <c r="E17" s="2">
        <f t="shared" si="0"/>
        <v>32.86</v>
      </c>
      <c r="F17" s="2">
        <f t="shared" si="1"/>
        <v>67.14</v>
      </c>
    </row>
    <row r="18" spans="1:6" x14ac:dyDescent="0.25">
      <c r="A18" s="2">
        <v>17</v>
      </c>
      <c r="B18">
        <v>19</v>
      </c>
      <c r="C18">
        <v>70</v>
      </c>
      <c r="D18" s="3">
        <f>IF(Лист1__5[[#This Row],[Column18]]&lt;&gt;"",Лист1__5[[#This Row],[Column18]],"")</f>
        <v>70</v>
      </c>
      <c r="E18" s="2">
        <f t="shared" si="0"/>
        <v>25</v>
      </c>
      <c r="F18" s="2">
        <f t="shared" si="1"/>
        <v>75</v>
      </c>
    </row>
    <row r="19" spans="1:6" x14ac:dyDescent="0.25">
      <c r="A19" s="2">
        <v>18</v>
      </c>
      <c r="B19">
        <v>20</v>
      </c>
      <c r="C19">
        <v>22</v>
      </c>
      <c r="D19" s="3">
        <f>IF(Лист1__5[[#This Row],[Column18]]&lt;&gt;"",Лист1__5[[#This Row],[Column18]],"")</f>
        <v>22</v>
      </c>
      <c r="E19" s="2">
        <f t="shared" si="0"/>
        <v>7.86</v>
      </c>
      <c r="F19" s="2">
        <f t="shared" si="1"/>
        <v>92.14</v>
      </c>
    </row>
    <row r="20" spans="1:6" x14ac:dyDescent="0.25">
      <c r="A20" s="2">
        <v>19</v>
      </c>
      <c r="B20">
        <v>21</v>
      </c>
      <c r="C20">
        <v>58</v>
      </c>
      <c r="D20" s="3">
        <f>IF(Лист1__5[[#This Row],[Column18]]&lt;&gt;"",Лист1__5[[#This Row],[Column18]],"")</f>
        <v>58</v>
      </c>
      <c r="E20" s="2">
        <f t="shared" si="0"/>
        <v>20.71</v>
      </c>
      <c r="F20" s="2">
        <f t="shared" si="1"/>
        <v>79.289999999999992</v>
      </c>
    </row>
    <row r="21" spans="1:6" x14ac:dyDescent="0.25">
      <c r="A21" s="2">
        <v>20</v>
      </c>
      <c r="B21">
        <v>22</v>
      </c>
      <c r="C21">
        <v>62</v>
      </c>
      <c r="D21" s="3">
        <f>IF(Лист1__5[[#This Row],[Column18]]&lt;&gt;"",Лист1__5[[#This Row],[Column18]],"")</f>
        <v>62</v>
      </c>
      <c r="E21" s="2">
        <f t="shared" si="0"/>
        <v>22.14</v>
      </c>
      <c r="F21" s="2">
        <f t="shared" si="1"/>
        <v>77.86</v>
      </c>
    </row>
    <row r="22" spans="1:6" x14ac:dyDescent="0.25">
      <c r="A22" s="2">
        <v>21</v>
      </c>
      <c r="B22">
        <v>23</v>
      </c>
      <c r="C22">
        <v>14</v>
      </c>
      <c r="D22" s="3">
        <f>IF(Лист1__5[[#This Row],[Column18]]&lt;&gt;"",Лист1__5[[#This Row],[Column18]],"")</f>
        <v>14</v>
      </c>
      <c r="E22" s="2">
        <f t="shared" si="0"/>
        <v>5</v>
      </c>
      <c r="F22" s="2">
        <f t="shared" si="1"/>
        <v>95</v>
      </c>
    </row>
    <row r="23" spans="1:6" x14ac:dyDescent="0.25">
      <c r="A23" s="2">
        <v>22</v>
      </c>
      <c r="B23">
        <v>24</v>
      </c>
      <c r="C23">
        <v>152</v>
      </c>
      <c r="D23" s="3">
        <f>IF(Лист1__5[[#This Row],[Column18]]&lt;&gt;"",Лист1__5[[#This Row],[Column18]],"")</f>
        <v>152</v>
      </c>
      <c r="E23" s="2">
        <f t="shared" si="0"/>
        <v>54.29</v>
      </c>
      <c r="F23" s="2">
        <f t="shared" si="1"/>
        <v>45.71</v>
      </c>
    </row>
    <row r="24" spans="1:6" x14ac:dyDescent="0.25">
      <c r="A24" s="2">
        <v>23</v>
      </c>
      <c r="B24">
        <v>25</v>
      </c>
      <c r="C24">
        <v>78</v>
      </c>
      <c r="D24" s="3">
        <f>IF(Лист1__5[[#This Row],[Column18]]&lt;&gt;"",Лист1__5[[#This Row],[Column18]],"")</f>
        <v>78</v>
      </c>
      <c r="E24" s="2">
        <f t="shared" si="0"/>
        <v>27.86</v>
      </c>
      <c r="F24" s="2">
        <f t="shared" si="1"/>
        <v>72.14</v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IF(Лист1__5[[#This Row],[Column18]]&lt;&gt;"",Лист1__5[[#This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IF(Лист1__5[[#This Row],[Column18]]&lt;&gt;"",Лист1__5[[#This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IF(Лист1__5[[#This Row],[Column18]]&lt;&gt;"",Лист1__5[[#This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IF(Лист1__5[[#This Row],[Column18]]&lt;&gt;"",Лист1__5[[#This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IF(Лист1__5[[#This Row],[Column18]]&lt;&gt;"",Лист1__5[[#This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IF(Лист1__5[[#This Row],[Column18]]&lt;&gt;"",Лист1__5[[#This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IF(Лист1__5[[#This Row],[Column18]]&lt;&gt;"",Лист1__5[[#This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IF(Лист1__5[[#This Row],[Column18]]&lt;&gt;"",Лист1__5[[#This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IF(Лист1__5[[#This Row],[Column18]]&lt;&gt;"",Лист1__5[[#This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IF(Лист1__5[[#This Row],[Column18]]&lt;&gt;"",Лист1__5[[#This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IF(Лист1__5[[#This Row],[Column18]]&lt;&gt;"",Лист1__5[[#This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IF(Лист1__5[[#This Row],[Column18]]&lt;&gt;"",Лист1__5[[#This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IF(Лист1__5[[#This Row],[Column18]]&lt;&gt;"",Лист1__5[[#This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IF(Лист1__5[[#This Row],[Column18]]&lt;&gt;"",Лист1__5[[#This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IF(Лист1__5[[#This Row],[Column18]]&lt;&gt;"",Лист1__5[[#This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IF(Лист1__5[[#This Row],[Column18]]&lt;&gt;"",Лист1__5[[#This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IF(Лист1__5[[#This Row],[Column18]]&lt;&gt;"",Лист1__5[[#This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1114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861C7-107A-4D45-8E07-8C982139486F}">
  <sheetPr codeName="Лист6"/>
  <dimension ref="A1:M42"/>
  <sheetViews>
    <sheetView workbookViewId="0">
      <selection activeCell="O5" sqref="O5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[16]Лист1!$R$2</f>
        <v>146</v>
      </c>
      <c r="L1" s="2" t="s">
        <v>36</v>
      </c>
      <c r="M1" s="2" t="str">
        <f ca="1">MID(CELL("filename",A2),SEARCH("]",CELL("filename",A2))+1,31)</f>
        <v>ЭЖД-44у</v>
      </c>
    </row>
    <row r="2" spans="1:13" x14ac:dyDescent="0.25">
      <c r="A2" s="2">
        <v>1</v>
      </c>
      <c r="B2">
        <v>3</v>
      </c>
      <c r="C2">
        <v>210</v>
      </c>
      <c r="D2" s="3">
        <f>IF(Лист1__6[[#This Row],[Column18]]&lt;&gt;"",Лист1__6[[#This Row],[Column18]],"")</f>
        <v>210</v>
      </c>
      <c r="E2" s="2">
        <f>IF(D2&lt;&gt;"",ROUND(D2/$K$1/2*100,2),"")</f>
        <v>71.92</v>
      </c>
      <c r="F2" s="2">
        <f t="shared" ref="F2:F24" si="0">IF(E2&lt;&gt;"",IF(AND(100-E2&gt;=20,100-E2&lt;30),30,100-E2),"")</f>
        <v>30</v>
      </c>
      <c r="J2" s="8" t="s">
        <v>11</v>
      </c>
      <c r="K2" s="8">
        <f>COUNT(D2:D41)</f>
        <v>16</v>
      </c>
      <c r="L2" s="2" t="s">
        <v>37</v>
      </c>
      <c r="M2" s="2">
        <f>[16]Лист1!$U$1</f>
        <v>16</v>
      </c>
    </row>
    <row r="3" spans="1:13" x14ac:dyDescent="0.25">
      <c r="A3" s="2">
        <v>2</v>
      </c>
      <c r="B3">
        <v>4</v>
      </c>
      <c r="C3">
        <v>210</v>
      </c>
      <c r="D3" s="3">
        <f>IF(Лист1__6[[#This Row],[Column18]]&lt;&gt;"",Лист1__6[[#This Row],[Column18]],"")</f>
        <v>210</v>
      </c>
      <c r="E3" s="2">
        <f t="shared" ref="E3:E41" si="1">IF(D3&lt;&gt;"",ROUND(D3/$K$1/2*100,2),"")</f>
        <v>71.92</v>
      </c>
      <c r="F3" s="2">
        <f t="shared" si="0"/>
        <v>30</v>
      </c>
      <c r="I3" s="19" t="s">
        <v>33</v>
      </c>
      <c r="J3" s="4" t="s">
        <v>3</v>
      </c>
      <c r="K3" s="2">
        <f>ROUND(L3/$K$2*100,0)</f>
        <v>38</v>
      </c>
      <c r="L3" s="9">
        <f>K2-SUM($L$4:$L$7)</f>
        <v>6</v>
      </c>
    </row>
    <row r="4" spans="1:13" ht="26.25" x14ac:dyDescent="0.25">
      <c r="A4" s="2">
        <v>3</v>
      </c>
      <c r="B4">
        <v>5</v>
      </c>
      <c r="C4">
        <v>0</v>
      </c>
      <c r="D4" s="3">
        <f>IF(Лист1__6[[#This Row],[Column18]]&lt;&gt;"",Лист1__6[[#This Row],[Column18]],"")</f>
        <v>0</v>
      </c>
      <c r="E4" s="2">
        <f t="shared" si="1"/>
        <v>0</v>
      </c>
      <c r="F4" s="2">
        <f t="shared" si="0"/>
        <v>100</v>
      </c>
      <c r="I4" s="19"/>
      <c r="J4" s="4" t="s">
        <v>4</v>
      </c>
      <c r="K4" s="2">
        <f t="shared" ref="K4:K6" si="2">ROUND(L4/$K$2*100,0)</f>
        <v>19</v>
      </c>
      <c r="L4" s="2">
        <f t="array" ref="L4">SUM(($E$2:$E$37&gt;=10)*(($E$2:$E$37)&lt;30))</f>
        <v>3</v>
      </c>
    </row>
    <row r="5" spans="1:13" ht="26.25" x14ac:dyDescent="0.25">
      <c r="A5" s="2">
        <v>4</v>
      </c>
      <c r="B5">
        <v>6</v>
      </c>
      <c r="C5">
        <v>4</v>
      </c>
      <c r="D5" s="3">
        <f>IF(Лист1__6[[#This Row],[Column18]]&lt;&gt;"",Лист1__6[[#This Row],[Column18]],"")</f>
        <v>4</v>
      </c>
      <c r="E5" s="2">
        <f t="shared" si="1"/>
        <v>1.37</v>
      </c>
      <c r="F5" s="2">
        <f t="shared" si="0"/>
        <v>98.63</v>
      </c>
      <c r="I5" s="19"/>
      <c r="J5" s="4" t="s">
        <v>5</v>
      </c>
      <c r="K5" s="2">
        <f t="shared" si="2"/>
        <v>31</v>
      </c>
      <c r="L5" s="2">
        <f t="array" ref="L5">SUM(($E$2:$E$37&gt;=30)*(($E$2:$E$37)&lt;50))</f>
        <v>5</v>
      </c>
    </row>
    <row r="6" spans="1:13" ht="26.25" x14ac:dyDescent="0.25">
      <c r="A6" s="2">
        <v>5</v>
      </c>
      <c r="B6">
        <v>7</v>
      </c>
      <c r="C6">
        <v>44</v>
      </c>
      <c r="D6" s="3">
        <f>IF(Лист1__6[[#This Row],[Column18]]&lt;&gt;"",Лист1__6[[#This Row],[Column18]],"")</f>
        <v>44</v>
      </c>
      <c r="E6" s="2">
        <f t="shared" si="1"/>
        <v>15.07</v>
      </c>
      <c r="F6" s="2">
        <f t="shared" si="0"/>
        <v>84.93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6</v>
      </c>
      <c r="D7" s="3">
        <f>IF(Лист1__6[[#This Row],[Column18]]&lt;&gt;"",Лист1__6[[#This Row],[Column18]],"")</f>
        <v>6</v>
      </c>
      <c r="E7" s="2">
        <f t="shared" si="1"/>
        <v>2.0499999999999998</v>
      </c>
      <c r="F7" s="2">
        <f t="shared" si="0"/>
        <v>97.95</v>
      </c>
      <c r="I7" s="19"/>
      <c r="J7" s="4" t="s">
        <v>7</v>
      </c>
      <c r="K7" s="2">
        <f>100-SUM($K$3:$K$6)</f>
        <v>12</v>
      </c>
      <c r="L7" s="2">
        <f t="array" ref="L7">SUM(($E$2:$E$37&gt;=70)*(($E$2:$E$37)&lt;100))</f>
        <v>2</v>
      </c>
    </row>
    <row r="8" spans="1:13" x14ac:dyDescent="0.25">
      <c r="A8" s="2">
        <v>7</v>
      </c>
      <c r="B8">
        <v>9</v>
      </c>
      <c r="C8">
        <v>126</v>
      </c>
      <c r="D8" s="3">
        <f>IF(Лист1__6[[#This Row],[Column18]]&lt;&gt;"",Лист1__6[[#This Row],[Column18]],"")</f>
        <v>126</v>
      </c>
      <c r="E8" s="2">
        <f t="shared" si="1"/>
        <v>43.15</v>
      </c>
      <c r="F8" s="2">
        <f t="shared" si="0"/>
        <v>56.85</v>
      </c>
    </row>
    <row r="9" spans="1:13" x14ac:dyDescent="0.25">
      <c r="A9" s="2">
        <v>8</v>
      </c>
      <c r="B9">
        <v>10</v>
      </c>
      <c r="C9">
        <v>124</v>
      </c>
      <c r="D9" s="3">
        <f>IF(Лист1__6[[#This Row],[Column18]]&lt;&gt;"",Лист1__6[[#This Row],[Column18]],"")</f>
        <v>124</v>
      </c>
      <c r="E9" s="2">
        <f t="shared" si="1"/>
        <v>42.47</v>
      </c>
      <c r="F9" s="2">
        <f t="shared" si="0"/>
        <v>57.53</v>
      </c>
      <c r="K9" t="s">
        <v>31</v>
      </c>
    </row>
    <row r="10" spans="1:13" ht="26.25" x14ac:dyDescent="0.25">
      <c r="A10" s="2">
        <v>9</v>
      </c>
      <c r="B10">
        <v>11</v>
      </c>
      <c r="C10">
        <v>104</v>
      </c>
      <c r="D10" s="3">
        <f>IF(Лист1__6[[#This Row],[Column18]]&lt;&gt;"",Лист1__6[[#This Row],[Column18]],"")</f>
        <v>104</v>
      </c>
      <c r="E10" s="2">
        <f t="shared" si="1"/>
        <v>35.619999999999997</v>
      </c>
      <c r="F10" s="2">
        <f t="shared" si="0"/>
        <v>64.38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42</v>
      </c>
      <c r="D11" s="3">
        <f>IF(Лист1__6[[#This Row],[Column18]]&lt;&gt;"",Лист1__6[[#This Row],[Column18]],"")</f>
        <v>42</v>
      </c>
      <c r="E11" s="2">
        <f t="shared" si="1"/>
        <v>14.38</v>
      </c>
      <c r="F11" s="2">
        <f t="shared" si="0"/>
        <v>85.62</v>
      </c>
      <c r="I11" s="19"/>
      <c r="J11" s="4" t="s">
        <v>5</v>
      </c>
      <c r="K11" s="2">
        <f t="shared" si="3"/>
        <v>13</v>
      </c>
      <c r="L11" s="2">
        <f t="array" ref="L11">SUM(($F$2:$F$37&gt;=30)*(($F$2:$F$37)&lt;50))</f>
        <v>2</v>
      </c>
    </row>
    <row r="12" spans="1:13" ht="26.25" x14ac:dyDescent="0.25">
      <c r="A12" s="2">
        <v>11</v>
      </c>
      <c r="B12">
        <v>13</v>
      </c>
      <c r="C12">
        <v>14</v>
      </c>
      <c r="D12" s="3">
        <f>IF(Лист1__6[[#This Row],[Column18]]&lt;&gt;"",Лист1__6[[#This Row],[Column18]],"")</f>
        <v>14</v>
      </c>
      <c r="E12" s="2">
        <f t="shared" si="1"/>
        <v>4.79</v>
      </c>
      <c r="F12" s="2">
        <f t="shared" si="0"/>
        <v>95.21</v>
      </c>
      <c r="I12" s="19"/>
      <c r="J12" s="4" t="s">
        <v>28</v>
      </c>
      <c r="K12" s="2">
        <f t="shared" si="3"/>
        <v>31</v>
      </c>
      <c r="L12" s="2">
        <f t="array" ref="L12">SUM(($F$2:$F$37&gt;=50)*(($F$2:$F$37)&lt;75))</f>
        <v>5</v>
      </c>
    </row>
    <row r="13" spans="1:13" ht="26.25" x14ac:dyDescent="0.25">
      <c r="A13" s="2">
        <v>12</v>
      </c>
      <c r="B13">
        <v>14</v>
      </c>
      <c r="C13">
        <v>100</v>
      </c>
      <c r="D13" s="3">
        <f>IF(Лист1__6[[#This Row],[Column18]]&lt;&gt;"",Лист1__6[[#This Row],[Column18]],"")</f>
        <v>100</v>
      </c>
      <c r="E13" s="2">
        <f t="shared" si="1"/>
        <v>34.25</v>
      </c>
      <c r="F13" s="2">
        <f t="shared" si="0"/>
        <v>65.75</v>
      </c>
      <c r="I13" s="19"/>
      <c r="J13" s="4" t="s">
        <v>29</v>
      </c>
      <c r="K13" s="2">
        <f t="shared" si="3"/>
        <v>19</v>
      </c>
      <c r="L13" s="2">
        <f t="array" ref="L13">SUM(($F$2:$F$37&gt;=75)*(($F$2:$F$37)&lt;90))</f>
        <v>3</v>
      </c>
    </row>
    <row r="14" spans="1:13" ht="26.25" x14ac:dyDescent="0.25">
      <c r="A14" s="2">
        <v>13</v>
      </c>
      <c r="B14">
        <v>15</v>
      </c>
      <c r="C14">
        <v>0</v>
      </c>
      <c r="D14" s="3">
        <f>IF(Лист1__6[[#This Row],[Column18]]&lt;&gt;"",Лист1__6[[#This Row],[Column18]],"")</f>
        <v>0</v>
      </c>
      <c r="E14" s="2">
        <f t="shared" si="1"/>
        <v>0</v>
      </c>
      <c r="F14" s="2">
        <f t="shared" si="0"/>
        <v>100</v>
      </c>
      <c r="I14" s="19"/>
      <c r="J14" s="7" t="s">
        <v>30</v>
      </c>
      <c r="K14" s="2">
        <f>100-SUM($K$9:$K$13)</f>
        <v>37</v>
      </c>
      <c r="L14" s="2">
        <f>$K$2-SUM(L9:L$13)</f>
        <v>6</v>
      </c>
    </row>
    <row r="15" spans="1:13" x14ac:dyDescent="0.25">
      <c r="A15" s="2">
        <v>14</v>
      </c>
      <c r="B15">
        <v>16</v>
      </c>
      <c r="C15">
        <v>130</v>
      </c>
      <c r="D15" s="3">
        <f>IF(Лист1__6[[#This Row],[Column18]]&lt;&gt;"",Лист1__6[[#This Row],[Column18]],"")</f>
        <v>130</v>
      </c>
      <c r="E15" s="2">
        <f t="shared" si="1"/>
        <v>44.52</v>
      </c>
      <c r="F15" s="2">
        <f t="shared" si="0"/>
        <v>55.48</v>
      </c>
    </row>
    <row r="16" spans="1:13" x14ac:dyDescent="0.25">
      <c r="A16" s="2">
        <v>15</v>
      </c>
      <c r="B16">
        <v>17</v>
      </c>
      <c r="C16">
        <v>0</v>
      </c>
      <c r="D16" s="3">
        <f>IF(Лист1__6[[#This Row],[Column18]]&lt;&gt;"",Лист1__6[[#This Row],[Column18]],"")</f>
        <v>0</v>
      </c>
      <c r="E16" s="2">
        <f t="shared" si="1"/>
        <v>0</v>
      </c>
      <c r="F16" s="2">
        <f t="shared" si="0"/>
        <v>100</v>
      </c>
    </row>
    <row r="17" spans="1:6" x14ac:dyDescent="0.25">
      <c r="A17" s="2">
        <v>16</v>
      </c>
      <c r="B17">
        <v>18</v>
      </c>
      <c r="C17">
        <v>64</v>
      </c>
      <c r="D17" s="3">
        <f>IF(Лист1__6[[#This Row],[Column18]]&lt;&gt;"",Лист1__6[[#This Row],[Column18]],"")</f>
        <v>64</v>
      </c>
      <c r="E17" s="2">
        <f t="shared" si="1"/>
        <v>21.92</v>
      </c>
      <c r="F17" s="2">
        <f t="shared" si="0"/>
        <v>78.08</v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IF(Лист1__6[[#This Row],[Column18]]&lt;&gt;"",Лист1__6[[#This Row],[Column18]],"")</f>
        <v/>
      </c>
      <c r="E18" s="2" t="str">
        <f t="shared" si="1"/>
        <v/>
      </c>
      <c r="F18" s="2" t="str">
        <f t="shared" si="0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IF(Лист1__6[[#This Row],[Column18]]&lt;&gt;"",Лист1__6[[#This Row],[Column18]],"")</f>
        <v/>
      </c>
      <c r="E19" s="2" t="str">
        <f t="shared" si="1"/>
        <v/>
      </c>
      <c r="F19" s="2" t="str">
        <f t="shared" si="0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IF(Лист1__6[[#This Row],[Column18]]&lt;&gt;"",Лист1__6[[#This Row],[Column18]],"")</f>
        <v/>
      </c>
      <c r="E20" s="2" t="str">
        <f t="shared" si="1"/>
        <v/>
      </c>
      <c r="F20" s="2" t="str">
        <f t="shared" si="0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IF(Лист1__6[[#This Row],[Column18]]&lt;&gt;"",Лист1__6[[#This Row],[Column18]],"")</f>
        <v/>
      </c>
      <c r="E21" s="2" t="str">
        <f t="shared" si="1"/>
        <v/>
      </c>
      <c r="F21" s="2" t="str">
        <f t="shared" si="0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IF(Лист1__6[[#This Row],[Column18]]&lt;&gt;"",Лист1__6[[#This Row],[Column18]],"")</f>
        <v/>
      </c>
      <c r="E22" s="2" t="str">
        <f t="shared" si="1"/>
        <v/>
      </c>
      <c r="F22" s="2" t="str">
        <f t="shared" si="0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IF(Лист1__6[[#This Row],[Column18]]&lt;&gt;"",Лист1__6[[#This Row],[Column18]],"")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IF(Лист1__6[[#This Row],[Column18]]&lt;&gt;"",Лист1__6[[#This Row],[Column18]],"")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IF(Лист1__6[[#This Row],[Column18]]&lt;&gt;"",Лист1__6[[#This Row],[Column18]],"")</f>
        <v/>
      </c>
      <c r="E25" s="2" t="str">
        <f t="shared" si="1"/>
        <v/>
      </c>
      <c r="F25" s="2" t="str">
        <f t="shared" ref="F25:F41" si="4">IF(E25&lt;&gt;"",100-E25,"")</f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IF(Лист1__6[[#This Row],[Column18]]&lt;&gt;"",Лист1__6[[#This Row],[Column18]],"")</f>
        <v/>
      </c>
      <c r="E26" s="2" t="str">
        <f t="shared" si="1"/>
        <v/>
      </c>
      <c r="F26" s="2" t="str">
        <f t="shared" si="4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IF(Лист1__6[[#This Row],[Column18]]&lt;&gt;"",Лист1__6[[#This Row],[Column18]],"")</f>
        <v/>
      </c>
      <c r="E27" s="2" t="str">
        <f t="shared" si="1"/>
        <v/>
      </c>
      <c r="F27" s="2" t="str">
        <f t="shared" si="4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IF(Лист1__6[[#This Row],[Column18]]&lt;&gt;"",Лист1__6[[#This Row],[Column18]],"")</f>
        <v/>
      </c>
      <c r="E28" s="2" t="str">
        <f t="shared" si="1"/>
        <v/>
      </c>
      <c r="F28" s="2" t="str">
        <f t="shared" si="4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IF(Лист1__6[[#This Row],[Column18]]&lt;&gt;"",Лист1__6[[#This Row],[Column18]],"")</f>
        <v/>
      </c>
      <c r="E29" s="2" t="str">
        <f t="shared" si="1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IF(Лист1__6[[#This Row],[Column18]]&lt;&gt;"",Лист1__6[[#This Row],[Column18]],"")</f>
        <v/>
      </c>
      <c r="E30" s="2" t="str">
        <f t="shared" si="1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IF(Лист1__6[[#This Row],[Column18]]&lt;&gt;"",Лист1__6[[#This Row],[Column18]],"")</f>
        <v/>
      </c>
      <c r="E31" s="2" t="str">
        <f t="shared" si="1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IF(Лист1__6[[#This Row],[Column18]]&lt;&gt;"",Лист1__6[[#This Row],[Column18]],"")</f>
        <v/>
      </c>
      <c r="E32" s="2" t="str">
        <f t="shared" si="1"/>
        <v/>
      </c>
      <c r="F32" s="2" t="str">
        <f t="shared" si="4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IF(Лист1__6[[#This Row],[Column18]]&lt;&gt;"",Лист1__6[[#This Row],[Column18]],"")</f>
        <v/>
      </c>
      <c r="E33" s="2" t="str">
        <f t="shared" si="1"/>
        <v/>
      </c>
      <c r="F33" s="2" t="str">
        <f t="shared" si="4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IF(Лист1__6[[#This Row],[Column18]]&lt;&gt;"",Лист1__6[[#This Row],[Column18]],"")</f>
        <v/>
      </c>
      <c r="E34" s="2" t="str">
        <f t="shared" si="1"/>
        <v/>
      </c>
      <c r="F34" s="2" t="str">
        <f t="shared" si="4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IF(Лист1__6[[#This Row],[Column18]]&lt;&gt;"",Лист1__6[[#This Row],[Column18]],"")</f>
        <v/>
      </c>
      <c r="E35" s="2" t="str">
        <f t="shared" si="1"/>
        <v/>
      </c>
      <c r="F35" s="2" t="str">
        <f t="shared" si="4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IF(Лист1__6[[#This Row],[Column18]]&lt;&gt;"",Лист1__6[[#This Row],[Column18]],"")</f>
        <v/>
      </c>
      <c r="E36" s="2" t="str">
        <f t="shared" si="1"/>
        <v/>
      </c>
      <c r="F36" s="2" t="str">
        <f t="shared" si="4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IF(Лист1__6[[#This Row],[Column18]]&lt;&gt;"",Лист1__6[[#This Row],[Column18]],"")</f>
        <v/>
      </c>
      <c r="E37" s="2" t="str">
        <f t="shared" si="1"/>
        <v/>
      </c>
      <c r="F37" s="2" t="str">
        <f t="shared" si="4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IF(Лист1__6[[#This Row],[Column18]]&lt;&gt;"",Лист1__6[[#This Row],[Column18]],"")</f>
        <v/>
      </c>
      <c r="E38" s="2" t="str">
        <f t="shared" si="1"/>
        <v/>
      </c>
      <c r="F38" s="2" t="str">
        <f t="shared" si="4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IF(Лист1__6[[#This Row],[Column18]]&lt;&gt;"",Лист1__6[[#This Row],[Column18]],"")</f>
        <v/>
      </c>
      <c r="E39" s="2" t="str">
        <f t="shared" si="1"/>
        <v/>
      </c>
      <c r="F39" s="2" t="str">
        <f t="shared" si="4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IF(Лист1__6[[#This Row],[Column18]]&lt;&gt;"",Лист1__6[[#This Row],[Column18]],"")</f>
        <v/>
      </c>
      <c r="E40" s="2" t="str">
        <f t="shared" si="1"/>
        <v/>
      </c>
      <c r="F40" s="2" t="str">
        <f t="shared" si="4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IF(Лист1__6[[#This Row],[Column18]]&lt;&gt;"",Лист1__6[[#This Row],[Column18]],"")</f>
        <v/>
      </c>
      <c r="E41" s="2" t="str">
        <f t="shared" si="1"/>
        <v/>
      </c>
      <c r="F41" s="2" t="str">
        <f t="shared" si="4"/>
        <v/>
      </c>
    </row>
    <row r="42" spans="1:7" x14ac:dyDescent="0.25">
      <c r="A42" t="s">
        <v>40</v>
      </c>
      <c r="B42">
        <v>43</v>
      </c>
      <c r="D42" s="17">
        <f>SUM(D2:D41)</f>
        <v>1178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9AD3-2E23-46AD-A03E-CCCA5570994D}">
  <sheetPr codeName="Лист7"/>
  <dimension ref="A1:M42"/>
  <sheetViews>
    <sheetView workbookViewId="0">
      <selection activeCell="N7" sqref="N7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[17]Лист1!$R$2</f>
        <v>177</v>
      </c>
      <c r="L1" s="2" t="s">
        <v>36</v>
      </c>
      <c r="M1" s="2" t="str">
        <f ca="1">MID(CELL("filename",A2),SEARCH("]",CELL("filename",A2))+1,31)</f>
        <v>ЭЖД-43</v>
      </c>
    </row>
    <row r="2" spans="1:13" x14ac:dyDescent="0.25">
      <c r="A2" s="2">
        <v>1</v>
      </c>
      <c r="B2">
        <v>3</v>
      </c>
      <c r="C2">
        <v>2</v>
      </c>
      <c r="D2" s="3">
        <f>IF(Лист1__7[[#This Row],[Column18]]&lt;&gt;"",Лист1__7[[#This Row],[Column18]],"")</f>
        <v>2</v>
      </c>
      <c r="E2" s="2">
        <f>IF(D2&lt;&gt;"",ROUND(D2/$K$1/2*100,2),"")</f>
        <v>0.56000000000000005</v>
      </c>
      <c r="F2" s="2">
        <f>IF(E2&lt;&gt;"",IF(AND(100-E2&gt;=20,100-E2&lt;30),30,100-E2),"")</f>
        <v>99.44</v>
      </c>
      <c r="J2" s="8" t="s">
        <v>11</v>
      </c>
      <c r="K2" s="8">
        <f>COUNT(D2:D41)</f>
        <v>23</v>
      </c>
      <c r="L2" s="2" t="s">
        <v>37</v>
      </c>
      <c r="M2" s="2">
        <f>[17]Лист1!$U$1</f>
        <v>16</v>
      </c>
    </row>
    <row r="3" spans="1:13" x14ac:dyDescent="0.25">
      <c r="A3" s="2">
        <v>2</v>
      </c>
      <c r="B3">
        <v>4</v>
      </c>
      <c r="C3">
        <v>108</v>
      </c>
      <c r="D3" s="3">
        <f>IF(Лист1__7[[#This Row],[Column18]]&lt;&gt;"",Лист1__7[[#This Row],[Column18]],"")</f>
        <v>108</v>
      </c>
      <c r="E3" s="2">
        <f t="shared" ref="E3:E41" si="0">IF(D3&lt;&gt;"",ROUND(D3/$K$1/2*100,2),"")</f>
        <v>30.51</v>
      </c>
      <c r="F3" s="2">
        <f t="shared" ref="F3:F25" si="1">IF(E3&lt;&gt;"",IF(AND(100-E3&gt;=20,100-E3&lt;30),30,100-E3),"")</f>
        <v>69.489999999999995</v>
      </c>
      <c r="I3" s="19" t="s">
        <v>33</v>
      </c>
      <c r="J3" s="4" t="s">
        <v>3</v>
      </c>
      <c r="K3" s="2">
        <f>ROUND(L3/$K$2*100,0)</f>
        <v>30</v>
      </c>
      <c r="L3" s="9">
        <f>K2-SUM($L$4:$L$7)</f>
        <v>7</v>
      </c>
    </row>
    <row r="4" spans="1:13" ht="26.25" x14ac:dyDescent="0.25">
      <c r="A4" s="2">
        <v>3</v>
      </c>
      <c r="B4">
        <v>5</v>
      </c>
      <c r="C4">
        <v>126</v>
      </c>
      <c r="D4" s="3">
        <f>IF(Лист1__7[[#This Row],[Column18]]&lt;&gt;"",Лист1__7[[#This Row],[Column18]],"")</f>
        <v>126</v>
      </c>
      <c r="E4" s="2">
        <f t="shared" si="0"/>
        <v>35.590000000000003</v>
      </c>
      <c r="F4" s="2">
        <f t="shared" si="1"/>
        <v>64.41</v>
      </c>
      <c r="I4" s="19"/>
      <c r="J4" s="4" t="s">
        <v>4</v>
      </c>
      <c r="K4" s="2">
        <f t="shared" ref="K4:K6" si="2">ROUND(L4/$K$2*100,0)</f>
        <v>22</v>
      </c>
      <c r="L4" s="2">
        <f t="array" ref="L4">SUM(($E$2:$E$37&gt;=10)*(($E$2:$E$37)&lt;30))</f>
        <v>5</v>
      </c>
    </row>
    <row r="5" spans="1:13" ht="26.25" x14ac:dyDescent="0.25">
      <c r="A5" s="2">
        <v>4</v>
      </c>
      <c r="B5">
        <v>6</v>
      </c>
      <c r="C5">
        <v>108</v>
      </c>
      <c r="D5" s="3">
        <f>IF(Лист1__7[[#This Row],[Column18]]&lt;&gt;"",Лист1__7[[#This Row],[Column18]],"")</f>
        <v>108</v>
      </c>
      <c r="E5" s="2">
        <f t="shared" si="0"/>
        <v>30.51</v>
      </c>
      <c r="F5" s="2">
        <f t="shared" si="1"/>
        <v>69.489999999999995</v>
      </c>
      <c r="I5" s="19"/>
      <c r="J5" s="4" t="s">
        <v>5</v>
      </c>
      <c r="K5" s="2">
        <f t="shared" si="2"/>
        <v>17</v>
      </c>
      <c r="L5" s="2">
        <f t="array" ref="L5">SUM(($E$2:$E$37&gt;=30)*(($E$2:$E$37)&lt;50))</f>
        <v>4</v>
      </c>
    </row>
    <row r="6" spans="1:13" ht="26.25" x14ac:dyDescent="0.25">
      <c r="A6" s="2">
        <v>5</v>
      </c>
      <c r="B6">
        <v>7</v>
      </c>
      <c r="C6">
        <v>52</v>
      </c>
      <c r="D6" s="3">
        <f>IF(Лист1__7[[#This Row],[Column18]]&lt;&gt;"",Лист1__7[[#This Row],[Column18]],"")</f>
        <v>52</v>
      </c>
      <c r="E6" s="2">
        <f t="shared" si="0"/>
        <v>14.69</v>
      </c>
      <c r="F6" s="2">
        <f t="shared" si="1"/>
        <v>85.31</v>
      </c>
      <c r="I6" s="19"/>
      <c r="J6" s="4" t="s">
        <v>6</v>
      </c>
      <c r="K6" s="2">
        <f t="shared" si="2"/>
        <v>22</v>
      </c>
      <c r="L6" s="2">
        <f t="array" ref="L6">SUM(($E$2:$E$37&gt;=50)*(($E$2:$E$37)&lt;70))</f>
        <v>5</v>
      </c>
    </row>
    <row r="7" spans="1:13" ht="26.25" x14ac:dyDescent="0.25">
      <c r="A7" s="2">
        <v>6</v>
      </c>
      <c r="B7">
        <v>8</v>
      </c>
      <c r="C7" t="s">
        <v>38</v>
      </c>
      <c r="D7" s="3" t="str">
        <f>IF(Лист1__7[[#This Row],[Column18]]&lt;&gt;"",Лист1__7[[#This Row],[Column18]],"")</f>
        <v/>
      </c>
      <c r="E7" s="2" t="str">
        <f t="shared" si="0"/>
        <v/>
      </c>
      <c r="F7" s="2" t="str">
        <f t="shared" si="1"/>
        <v/>
      </c>
      <c r="I7" s="19"/>
      <c r="J7" s="4" t="s">
        <v>7</v>
      </c>
      <c r="K7" s="2">
        <f>100-SUM($K$3:$K$6)</f>
        <v>9</v>
      </c>
      <c r="L7" s="2">
        <f t="array" ref="L7">SUM(($E$2:$E$37&gt;=70)*(($E$2:$E$37)&lt;100))</f>
        <v>2</v>
      </c>
    </row>
    <row r="8" spans="1:13" x14ac:dyDescent="0.25">
      <c r="A8" s="2">
        <v>7</v>
      </c>
      <c r="B8">
        <v>9</v>
      </c>
      <c r="C8">
        <v>212</v>
      </c>
      <c r="D8" s="3">
        <f>IF(Лист1__7[[#This Row],[Column18]]&lt;&gt;"",Лист1__7[[#This Row],[Column18]],"")</f>
        <v>212</v>
      </c>
      <c r="E8" s="2">
        <f t="shared" si="0"/>
        <v>59.89</v>
      </c>
      <c r="F8" s="2">
        <f t="shared" si="1"/>
        <v>40.11</v>
      </c>
    </row>
    <row r="9" spans="1:13" x14ac:dyDescent="0.25">
      <c r="A9" s="2">
        <v>8</v>
      </c>
      <c r="B9">
        <v>10</v>
      </c>
      <c r="C9">
        <v>310</v>
      </c>
      <c r="D9" s="3">
        <f>IF(Лист1__7[[#This Row],[Column18]]&lt;&gt;"",Лист1__7[[#This Row],[Column18]],"")</f>
        <v>310</v>
      </c>
      <c r="E9" s="2">
        <f t="shared" si="0"/>
        <v>87.57</v>
      </c>
      <c r="F9" s="2">
        <f t="shared" si="1"/>
        <v>12.430000000000007</v>
      </c>
      <c r="K9" t="s">
        <v>31</v>
      </c>
    </row>
    <row r="10" spans="1:13" ht="26.25" x14ac:dyDescent="0.25">
      <c r="A10" s="2">
        <v>9</v>
      </c>
      <c r="B10">
        <v>11</v>
      </c>
      <c r="C10">
        <v>0</v>
      </c>
      <c r="D10" s="3">
        <f>IF(Лист1__7[[#This Row],[Column18]]&lt;&gt;"",Лист1__7[[#This Row],[Column18]],"")</f>
        <v>0</v>
      </c>
      <c r="E10" s="2">
        <f t="shared" si="0"/>
        <v>0</v>
      </c>
      <c r="F10" s="2">
        <f t="shared" si="1"/>
        <v>100</v>
      </c>
      <c r="I10" s="19" t="s">
        <v>34</v>
      </c>
      <c r="J10" s="4" t="s">
        <v>42</v>
      </c>
      <c r="K10" s="2">
        <f t="shared" ref="K10:K13" si="3">ROUND(L10/$K$2*100,0)</f>
        <v>4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218</v>
      </c>
      <c r="D11" s="3">
        <f>IF(Лист1__7[[#This Row],[Column18]]&lt;&gt;"",Лист1__7[[#This Row],[Column18]],"")</f>
        <v>218</v>
      </c>
      <c r="E11" s="2">
        <f t="shared" si="0"/>
        <v>61.58</v>
      </c>
      <c r="F11" s="2">
        <f t="shared" si="1"/>
        <v>38.42</v>
      </c>
      <c r="I11" s="19"/>
      <c r="J11" s="4" t="s">
        <v>5</v>
      </c>
      <c r="K11" s="2">
        <f t="shared" si="3"/>
        <v>26</v>
      </c>
      <c r="L11" s="2">
        <f t="array" ref="L11">SUM(($F$2:$F$37&gt;=30)*(($F$2:$F$37)&lt;50))</f>
        <v>6</v>
      </c>
    </row>
    <row r="12" spans="1:13" ht="26.25" x14ac:dyDescent="0.25">
      <c r="A12" s="2">
        <v>11</v>
      </c>
      <c r="B12">
        <v>13</v>
      </c>
      <c r="C12">
        <v>246</v>
      </c>
      <c r="D12" s="3">
        <f>IF(Лист1__7[[#This Row],[Column18]]&lt;&gt;"",Лист1__7[[#This Row],[Column18]],"")</f>
        <v>246</v>
      </c>
      <c r="E12" s="2">
        <f t="shared" si="0"/>
        <v>69.489999999999995</v>
      </c>
      <c r="F12" s="2">
        <f t="shared" si="1"/>
        <v>30.510000000000005</v>
      </c>
      <c r="I12" s="19"/>
      <c r="J12" s="4" t="s">
        <v>28</v>
      </c>
      <c r="K12" s="2">
        <f t="shared" si="3"/>
        <v>26</v>
      </c>
      <c r="L12" s="2">
        <f t="array" ref="L12">SUM(($F$2:$F$37&gt;=50)*(($F$2:$F$37)&lt;75))</f>
        <v>6</v>
      </c>
    </row>
    <row r="13" spans="1:13" ht="26.25" x14ac:dyDescent="0.25">
      <c r="A13" s="2">
        <v>12</v>
      </c>
      <c r="B13">
        <v>14</v>
      </c>
      <c r="C13">
        <v>94</v>
      </c>
      <c r="D13" s="3">
        <f>IF(Лист1__7[[#This Row],[Column18]]&lt;&gt;"",Лист1__7[[#This Row],[Column18]],"")</f>
        <v>94</v>
      </c>
      <c r="E13" s="2">
        <f t="shared" si="0"/>
        <v>26.55</v>
      </c>
      <c r="F13" s="2">
        <f t="shared" si="1"/>
        <v>73.45</v>
      </c>
      <c r="I13" s="19"/>
      <c r="J13" s="4" t="s">
        <v>29</v>
      </c>
      <c r="K13" s="2">
        <f t="shared" si="3"/>
        <v>13</v>
      </c>
      <c r="L13" s="2">
        <f t="array" ref="L13">SUM(($F$2:$F$37&gt;=75)*(($F$2:$F$37)&lt;90))</f>
        <v>3</v>
      </c>
    </row>
    <row r="14" spans="1:13" ht="26.25" x14ac:dyDescent="0.25">
      <c r="A14" s="2">
        <v>13</v>
      </c>
      <c r="B14">
        <v>15</v>
      </c>
      <c r="C14">
        <v>250</v>
      </c>
      <c r="D14" s="3">
        <f>IF(Лист1__7[[#This Row],[Column18]]&lt;&gt;"",Лист1__7[[#This Row],[Column18]],"")</f>
        <v>250</v>
      </c>
      <c r="E14" s="2">
        <f t="shared" si="0"/>
        <v>70.62</v>
      </c>
      <c r="F14" s="2">
        <f t="shared" si="1"/>
        <v>30</v>
      </c>
      <c r="I14" s="19"/>
      <c r="J14" s="7" t="s">
        <v>30</v>
      </c>
      <c r="K14" s="2">
        <f>100-SUM($K$9:$K$13)</f>
        <v>31</v>
      </c>
      <c r="L14" s="2">
        <f>$K$2-SUM(L9:L$13)</f>
        <v>7</v>
      </c>
    </row>
    <row r="15" spans="1:13" x14ac:dyDescent="0.25">
      <c r="A15" s="2">
        <v>14</v>
      </c>
      <c r="B15">
        <v>16</v>
      </c>
      <c r="C15">
        <v>242</v>
      </c>
      <c r="D15" s="3">
        <f>IF(Лист1__7[[#This Row],[Column18]]&lt;&gt;"",Лист1__7[[#This Row],[Column18]],"")</f>
        <v>242</v>
      </c>
      <c r="E15" s="2">
        <f t="shared" si="0"/>
        <v>68.36</v>
      </c>
      <c r="F15" s="2">
        <f t="shared" si="1"/>
        <v>31.64</v>
      </c>
    </row>
    <row r="16" spans="1:13" x14ac:dyDescent="0.25">
      <c r="A16" s="2">
        <v>15</v>
      </c>
      <c r="B16">
        <v>17</v>
      </c>
      <c r="C16">
        <v>174</v>
      </c>
      <c r="D16" s="3">
        <f>IF(Лист1__7[[#This Row],[Column18]]&lt;&gt;"",Лист1__7[[#This Row],[Column18]],"")</f>
        <v>174</v>
      </c>
      <c r="E16" s="2">
        <f t="shared" si="0"/>
        <v>49.15</v>
      </c>
      <c r="F16" s="2">
        <f t="shared" si="1"/>
        <v>50.85</v>
      </c>
    </row>
    <row r="17" spans="1:6" x14ac:dyDescent="0.25">
      <c r="A17" s="2">
        <v>16</v>
      </c>
      <c r="B17">
        <v>18</v>
      </c>
      <c r="C17">
        <v>102</v>
      </c>
      <c r="D17" s="3">
        <f>IF(Лист1__7[[#This Row],[Column18]]&lt;&gt;"",Лист1__7[[#This Row],[Column18]],"")</f>
        <v>102</v>
      </c>
      <c r="E17" s="2">
        <f t="shared" si="0"/>
        <v>28.81</v>
      </c>
      <c r="F17" s="2">
        <f t="shared" si="1"/>
        <v>71.19</v>
      </c>
    </row>
    <row r="18" spans="1:6" x14ac:dyDescent="0.25">
      <c r="A18" s="2">
        <v>17</v>
      </c>
      <c r="B18">
        <v>19</v>
      </c>
      <c r="C18">
        <v>24</v>
      </c>
      <c r="D18" s="3">
        <f>IF(Лист1__7[[#This Row],[Column18]]&lt;&gt;"",Лист1__7[[#This Row],[Column18]],"")</f>
        <v>24</v>
      </c>
      <c r="E18" s="2">
        <f t="shared" si="0"/>
        <v>6.78</v>
      </c>
      <c r="F18" s="2">
        <f t="shared" si="1"/>
        <v>93.22</v>
      </c>
    </row>
    <row r="19" spans="1:6" x14ac:dyDescent="0.25">
      <c r="A19" s="2">
        <v>18</v>
      </c>
      <c r="B19">
        <v>20</v>
      </c>
      <c r="C19">
        <v>0</v>
      </c>
      <c r="D19" s="3">
        <f>IF(Лист1__7[[#This Row],[Column18]]&lt;&gt;"",Лист1__7[[#This Row],[Column18]],"")</f>
        <v>0</v>
      </c>
      <c r="E19" s="2">
        <f t="shared" si="0"/>
        <v>0</v>
      </c>
      <c r="F19" s="2">
        <f t="shared" si="1"/>
        <v>100</v>
      </c>
    </row>
    <row r="20" spans="1:6" x14ac:dyDescent="0.25">
      <c r="A20" s="2">
        <v>19</v>
      </c>
      <c r="B20">
        <v>21</v>
      </c>
      <c r="C20">
        <v>6</v>
      </c>
      <c r="D20" s="3">
        <f>IF(Лист1__7[[#This Row],[Column18]]&lt;&gt;"",Лист1__7[[#This Row],[Column18]],"")</f>
        <v>6</v>
      </c>
      <c r="E20" s="2">
        <f t="shared" si="0"/>
        <v>1.69</v>
      </c>
      <c r="F20" s="2">
        <f t="shared" si="1"/>
        <v>98.31</v>
      </c>
    </row>
    <row r="21" spans="1:6" x14ac:dyDescent="0.25">
      <c r="A21" s="2">
        <v>20</v>
      </c>
      <c r="B21">
        <v>22</v>
      </c>
      <c r="C21">
        <v>20</v>
      </c>
      <c r="D21" s="3">
        <f>IF(Лист1__7[[#This Row],[Column18]]&lt;&gt;"",Лист1__7[[#This Row],[Column18]],"")</f>
        <v>20</v>
      </c>
      <c r="E21" s="2">
        <f t="shared" si="0"/>
        <v>5.65</v>
      </c>
      <c r="F21" s="2">
        <f t="shared" si="1"/>
        <v>94.35</v>
      </c>
    </row>
    <row r="22" spans="1:6" x14ac:dyDescent="0.25">
      <c r="A22" s="2">
        <v>21</v>
      </c>
      <c r="B22">
        <v>23</v>
      </c>
      <c r="C22">
        <v>70</v>
      </c>
      <c r="D22" s="3">
        <f>IF(Лист1__7[[#This Row],[Column18]]&lt;&gt;"",Лист1__7[[#This Row],[Column18]],"")</f>
        <v>70</v>
      </c>
      <c r="E22" s="2">
        <f t="shared" si="0"/>
        <v>19.77</v>
      </c>
      <c r="F22" s="2">
        <f t="shared" si="1"/>
        <v>80.23</v>
      </c>
    </row>
    <row r="23" spans="1:6" x14ac:dyDescent="0.25">
      <c r="A23" s="2">
        <v>22</v>
      </c>
      <c r="B23">
        <v>24</v>
      </c>
      <c r="C23">
        <v>0</v>
      </c>
      <c r="D23" s="3">
        <f>IF(Лист1__7[[#This Row],[Column18]]&lt;&gt;"",Лист1__7[[#This Row],[Column18]],"")</f>
        <v>0</v>
      </c>
      <c r="E23" s="2">
        <f t="shared" si="0"/>
        <v>0</v>
      </c>
      <c r="F23" s="2">
        <f t="shared" si="1"/>
        <v>100</v>
      </c>
    </row>
    <row r="24" spans="1:6" x14ac:dyDescent="0.25">
      <c r="A24" s="2">
        <v>23</v>
      </c>
      <c r="B24">
        <v>25</v>
      </c>
      <c r="C24">
        <v>58</v>
      </c>
      <c r="D24" s="3">
        <f>IF(Лист1__7[[#This Row],[Column18]]&lt;&gt;"",Лист1__7[[#This Row],[Column18]],"")</f>
        <v>58</v>
      </c>
      <c r="E24" s="2">
        <f t="shared" si="0"/>
        <v>16.38</v>
      </c>
      <c r="F24" s="2">
        <f t="shared" si="1"/>
        <v>83.62</v>
      </c>
    </row>
    <row r="25" spans="1:6" x14ac:dyDescent="0.25">
      <c r="A25" s="2">
        <v>24</v>
      </c>
      <c r="B25">
        <v>26</v>
      </c>
      <c r="C25">
        <v>238</v>
      </c>
      <c r="D25" s="3">
        <f>IF(Лист1__7[[#This Row],[Column18]]&lt;&gt;"",Лист1__7[[#This Row],[Column18]],"")</f>
        <v>238</v>
      </c>
      <c r="E25" s="2">
        <f t="shared" si="0"/>
        <v>67.23</v>
      </c>
      <c r="F25" s="2">
        <f t="shared" si="1"/>
        <v>32.769999999999996</v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IF(Лист1__7[[#This Row],[Column18]]&lt;&gt;"",Лист1__7[[#This Row],[Column18]],"")</f>
        <v/>
      </c>
      <c r="E26" s="2" t="str">
        <f t="shared" si="0"/>
        <v/>
      </c>
      <c r="F26" s="2" t="str">
        <f t="shared" ref="F26:F41" si="4">IF(E26&lt;&gt;"",100-E26,"")</f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IF(Лист1__7[[#This Row],[Column18]]&lt;&gt;"",Лист1__7[[#This Row],[Column18]],"")</f>
        <v/>
      </c>
      <c r="E27" s="2" t="str">
        <f t="shared" si="0"/>
        <v/>
      </c>
      <c r="F27" s="2" t="str">
        <f t="shared" si="4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IF(Лист1__7[[#This Row],[Column18]]&lt;&gt;"",Лист1__7[[#This Row],[Column18]],"")</f>
        <v/>
      </c>
      <c r="E28" s="2" t="str">
        <f t="shared" si="0"/>
        <v/>
      </c>
      <c r="F28" s="2" t="str">
        <f t="shared" si="4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IF(Лист1__7[[#This Row],[Column18]]&lt;&gt;"",Лист1__7[[#This Row],[Column18]],"")</f>
        <v/>
      </c>
      <c r="E29" s="2" t="str">
        <f t="shared" si="0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IF(Лист1__7[[#This Row],[Column18]]&lt;&gt;"",Лист1__7[[#This Row],[Column18]],"")</f>
        <v/>
      </c>
      <c r="E30" s="2" t="str">
        <f t="shared" si="0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IF(Лист1__7[[#This Row],[Column18]]&lt;&gt;"",Лист1__7[[#This Row],[Column18]],"")</f>
        <v/>
      </c>
      <c r="E31" s="2" t="str">
        <f t="shared" si="0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IF(Лист1__7[[#This Row],[Column18]]&lt;&gt;"",Лист1__7[[#This Row],[Column18]],"")</f>
        <v/>
      </c>
      <c r="E32" s="2" t="str">
        <f t="shared" si="0"/>
        <v/>
      </c>
      <c r="F32" s="2" t="str">
        <f t="shared" si="4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IF(Лист1__7[[#This Row],[Column18]]&lt;&gt;"",Лист1__7[[#This Row],[Column18]],"")</f>
        <v/>
      </c>
      <c r="E33" s="2" t="str">
        <f t="shared" si="0"/>
        <v/>
      </c>
      <c r="F33" s="2" t="str">
        <f t="shared" si="4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IF(Лист1__7[[#This Row],[Column18]]&lt;&gt;"",Лист1__7[[#This Row],[Column18]],"")</f>
        <v/>
      </c>
      <c r="E34" s="2" t="str">
        <f t="shared" si="0"/>
        <v/>
      </c>
      <c r="F34" s="2" t="str">
        <f t="shared" si="4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IF(Лист1__7[[#This Row],[Column18]]&lt;&gt;"",Лист1__7[[#This Row],[Column18]],"")</f>
        <v/>
      </c>
      <c r="E35" s="2" t="str">
        <f t="shared" si="0"/>
        <v/>
      </c>
      <c r="F35" s="2" t="str">
        <f t="shared" si="4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IF(Лист1__7[[#This Row],[Column18]]&lt;&gt;"",Лист1__7[[#This Row],[Column18]],"")</f>
        <v/>
      </c>
      <c r="E36" s="2" t="str">
        <f t="shared" si="0"/>
        <v/>
      </c>
      <c r="F36" s="2" t="str">
        <f t="shared" si="4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IF(Лист1__7[[#This Row],[Column18]]&lt;&gt;"",Лист1__7[[#This Row],[Column18]],"")</f>
        <v/>
      </c>
      <c r="E37" s="2" t="str">
        <f t="shared" si="0"/>
        <v/>
      </c>
      <c r="F37" s="2" t="str">
        <f t="shared" si="4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IF(Лист1__7[[#This Row],[Column18]]&lt;&gt;"",Лист1__7[[#This Row],[Column18]],"")</f>
        <v/>
      </c>
      <c r="E38" s="2" t="str">
        <f t="shared" si="0"/>
        <v/>
      </c>
      <c r="F38" s="2" t="str">
        <f t="shared" si="4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IF(Лист1__7[[#This Row],[Column18]]&lt;&gt;"",Лист1__7[[#This Row],[Column18]],"")</f>
        <v/>
      </c>
      <c r="E39" s="2" t="str">
        <f t="shared" si="0"/>
        <v/>
      </c>
      <c r="F39" s="2" t="str">
        <f t="shared" si="4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IF(Лист1__7[[#This Row],[Column18]]&lt;&gt;"",Лист1__7[[#This Row],[Column18]],"")</f>
        <v/>
      </c>
      <c r="E40" s="2" t="str">
        <f t="shared" si="0"/>
        <v/>
      </c>
      <c r="F40" s="2" t="str">
        <f t="shared" si="4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IF(Лист1__7[[#This Row],[Column18]]&lt;&gt;"",Лист1__7[[#This Row],[Column18]],"")</f>
        <v/>
      </c>
      <c r="E41" s="2" t="str">
        <f t="shared" si="0"/>
        <v/>
      </c>
      <c r="F41" s="2" t="str">
        <f t="shared" si="4"/>
        <v/>
      </c>
    </row>
    <row r="42" spans="1:7" x14ac:dyDescent="0.25">
      <c r="A42" t="s">
        <v>40</v>
      </c>
      <c r="B42">
        <v>43</v>
      </c>
      <c r="D42" s="17">
        <f>SUM(D2:D41)</f>
        <v>2660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1A8A-E0D6-4B99-9375-30B0DA5B485C}">
  <sheetPr codeName="Лист8"/>
  <dimension ref="A1:M42"/>
  <sheetViews>
    <sheetView workbookViewId="0">
      <selection activeCell="K1" sqref="K1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[18]Лист1!$R$2</f>
        <v>158</v>
      </c>
      <c r="L1" s="2" t="s">
        <v>36</v>
      </c>
      <c r="M1" s="2" t="str">
        <f ca="1">MID(CELL("filename",A2),SEARCH("]",CELL("filename",A2))+1,31)</f>
        <v>ЭЖД-42</v>
      </c>
    </row>
    <row r="2" spans="1:13" x14ac:dyDescent="0.25">
      <c r="A2" s="2">
        <v>1</v>
      </c>
      <c r="B2">
        <v>3</v>
      </c>
      <c r="C2">
        <v>128</v>
      </c>
      <c r="D2" s="3">
        <f>IF(Лист1__8[[#This Row],[Column18]]&lt;&gt;"",Лист1__8[[#This Row],[Column18]],"")</f>
        <v>128</v>
      </c>
      <c r="E2" s="2">
        <f>IF(D2&lt;&gt;"",ROUND(D2/$K$1/2*100,2),"")</f>
        <v>40.51</v>
      </c>
      <c r="F2" s="2">
        <f>IF(E2&lt;&gt;"",100-E2,"")</f>
        <v>59.49</v>
      </c>
      <c r="J2" s="8" t="s">
        <v>11</v>
      </c>
      <c r="K2" s="8">
        <f>COUNT(D2:D41)</f>
        <v>19</v>
      </c>
      <c r="L2" s="2" t="s">
        <v>37</v>
      </c>
      <c r="M2" s="2">
        <f>[18]Лист1!$U$1</f>
        <v>14</v>
      </c>
    </row>
    <row r="3" spans="1:13" x14ac:dyDescent="0.25">
      <c r="A3" s="2">
        <v>2</v>
      </c>
      <c r="B3">
        <v>4</v>
      </c>
      <c r="C3">
        <v>10</v>
      </c>
      <c r="D3" s="3">
        <f>IF(Лист1__8[[#This Row],[Column18]]&lt;&gt;"",Лист1__8[[#This Row],[Column18]],"")</f>
        <v>10</v>
      </c>
      <c r="E3" s="2">
        <f t="shared" ref="E3:E41" si="0">IF(D3&lt;&gt;"",ROUND(D3/$K$1/2*100,2),"")</f>
        <v>3.16</v>
      </c>
      <c r="F3" s="2">
        <f t="shared" ref="F3:F41" si="1">IF(E3&lt;&gt;"",100-E3,"")</f>
        <v>96.84</v>
      </c>
      <c r="I3" s="19" t="s">
        <v>33</v>
      </c>
      <c r="J3" s="4" t="s">
        <v>3</v>
      </c>
      <c r="K3" s="2">
        <f>ROUND(L3/$K$2*100,0)</f>
        <v>53</v>
      </c>
      <c r="L3" s="9">
        <f>K2-SUM($L$4:$L$7)</f>
        <v>10</v>
      </c>
    </row>
    <row r="4" spans="1:13" ht="26.25" x14ac:dyDescent="0.25">
      <c r="A4" s="2">
        <v>3</v>
      </c>
      <c r="B4">
        <v>5</v>
      </c>
      <c r="C4">
        <v>22</v>
      </c>
      <c r="D4" s="3">
        <f>IF(Лист1__8[[#This Row],[Column18]]&lt;&gt;"",Лист1__8[[#This Row],[Column18]],"")</f>
        <v>22</v>
      </c>
      <c r="E4" s="2">
        <f t="shared" si="0"/>
        <v>6.96</v>
      </c>
      <c r="F4" s="2">
        <f t="shared" si="1"/>
        <v>93.04</v>
      </c>
      <c r="I4" s="19"/>
      <c r="J4" s="4" t="s">
        <v>4</v>
      </c>
      <c r="K4" s="2">
        <f t="shared" ref="K4:K6" si="2">ROUND(L4/$K$2*100,0)</f>
        <v>32</v>
      </c>
      <c r="L4" s="2">
        <f t="array" ref="L4">SUM(($E$2:$E$37&gt;=10)*(($E$2:$E$37)&lt;30))</f>
        <v>6</v>
      </c>
    </row>
    <row r="5" spans="1:13" ht="26.25" x14ac:dyDescent="0.25">
      <c r="A5" s="2">
        <v>4</v>
      </c>
      <c r="B5">
        <v>6</v>
      </c>
      <c r="C5">
        <v>16</v>
      </c>
      <c r="D5" s="3">
        <f>IF(Лист1__8[[#This Row],[Column18]]&lt;&gt;"",Лист1__8[[#This Row],[Column18]],"")</f>
        <v>16</v>
      </c>
      <c r="E5" s="2">
        <f t="shared" si="0"/>
        <v>5.0599999999999996</v>
      </c>
      <c r="F5" s="2">
        <f t="shared" si="1"/>
        <v>94.94</v>
      </c>
      <c r="I5" s="19"/>
      <c r="J5" s="4" t="s">
        <v>5</v>
      </c>
      <c r="K5" s="2">
        <f t="shared" si="2"/>
        <v>11</v>
      </c>
      <c r="L5" s="2">
        <f t="array" ref="L5">SUM(($E$2:$E$37&gt;=30)*(($E$2:$E$37)&lt;50))</f>
        <v>2</v>
      </c>
    </row>
    <row r="6" spans="1:13" ht="26.25" x14ac:dyDescent="0.25">
      <c r="A6" s="2">
        <v>5</v>
      </c>
      <c r="B6">
        <v>7</v>
      </c>
      <c r="C6">
        <v>14</v>
      </c>
      <c r="D6" s="3">
        <f>IF(Лист1__8[[#This Row],[Column18]]&lt;&gt;"",Лист1__8[[#This Row],[Column18]],"")</f>
        <v>14</v>
      </c>
      <c r="E6" s="2">
        <f t="shared" si="0"/>
        <v>4.43</v>
      </c>
      <c r="F6" s="2">
        <f t="shared" si="1"/>
        <v>95.57</v>
      </c>
      <c r="I6" s="19"/>
      <c r="J6" s="4" t="s">
        <v>6</v>
      </c>
      <c r="K6" s="2">
        <f t="shared" si="2"/>
        <v>5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>
        <v>8</v>
      </c>
      <c r="C7" t="s">
        <v>38</v>
      </c>
      <c r="D7" s="3" t="str">
        <f>IF(Лист1__8[[#This Row],[Column18]]&lt;&gt;"",Лист1__8[[#This Row],[Column18]],"")</f>
        <v/>
      </c>
      <c r="E7" s="2" t="str">
        <f t="shared" si="0"/>
        <v/>
      </c>
      <c r="F7" s="2" t="str">
        <f t="shared" si="1"/>
        <v/>
      </c>
      <c r="I7" s="19"/>
      <c r="J7" s="4" t="s">
        <v>7</v>
      </c>
      <c r="K7" s="2">
        <f>100-SUM($K$3:$K$6)</f>
        <v>-1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12</v>
      </c>
      <c r="D8" s="3">
        <f>IF(Лист1__8[[#This Row],[Column18]]&lt;&gt;"",Лист1__8[[#This Row],[Column18]],"")</f>
        <v>12</v>
      </c>
      <c r="E8" s="2">
        <f t="shared" si="0"/>
        <v>3.8</v>
      </c>
      <c r="F8" s="2">
        <f t="shared" si="1"/>
        <v>96.2</v>
      </c>
    </row>
    <row r="9" spans="1:13" x14ac:dyDescent="0.25">
      <c r="A9" s="2">
        <v>8</v>
      </c>
      <c r="B9">
        <v>10</v>
      </c>
      <c r="C9">
        <v>52</v>
      </c>
      <c r="D9" s="3">
        <f>IF(Лист1__8[[#This Row],[Column18]]&lt;&gt;"",Лист1__8[[#This Row],[Column18]],"")</f>
        <v>52</v>
      </c>
      <c r="E9" s="2">
        <f t="shared" si="0"/>
        <v>16.46</v>
      </c>
      <c r="F9" s="2">
        <f t="shared" si="1"/>
        <v>83.539999999999992</v>
      </c>
      <c r="K9" t="s">
        <v>31</v>
      </c>
    </row>
    <row r="10" spans="1:13" ht="26.25" x14ac:dyDescent="0.25">
      <c r="A10" s="2">
        <v>9</v>
      </c>
      <c r="B10">
        <v>11</v>
      </c>
      <c r="C10">
        <v>28</v>
      </c>
      <c r="D10" s="3">
        <f>IF(Лист1__8[[#This Row],[Column18]]&lt;&gt;"",Лист1__8[[#This Row],[Column18]],"")</f>
        <v>28</v>
      </c>
      <c r="E10" s="2">
        <f t="shared" si="0"/>
        <v>8.86</v>
      </c>
      <c r="F10" s="2">
        <f t="shared" si="1"/>
        <v>91.14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6</v>
      </c>
      <c r="D11" s="3">
        <f>IF(Лист1__8[[#This Row],[Column18]]&lt;&gt;"",Лист1__8[[#This Row],[Column18]],"")</f>
        <v>6</v>
      </c>
      <c r="E11" s="2">
        <f t="shared" si="0"/>
        <v>1.9</v>
      </c>
      <c r="F11" s="2">
        <f t="shared" si="1"/>
        <v>98.1</v>
      </c>
      <c r="I11" s="19"/>
      <c r="J11" s="4" t="s">
        <v>5</v>
      </c>
      <c r="K11" s="2">
        <f t="shared" si="3"/>
        <v>5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>
        <v>13</v>
      </c>
      <c r="C12">
        <v>0</v>
      </c>
      <c r="D12" s="3">
        <f>IF(Лист1__8[[#This Row],[Column18]]&lt;&gt;"",Лист1__8[[#This Row],[Column18]],"")</f>
        <v>0</v>
      </c>
      <c r="E12" s="2">
        <f t="shared" si="0"/>
        <v>0</v>
      </c>
      <c r="F12" s="2">
        <f t="shared" si="1"/>
        <v>100</v>
      </c>
      <c r="I12" s="19"/>
      <c r="J12" s="4" t="s">
        <v>28</v>
      </c>
      <c r="K12" s="2">
        <f t="shared" si="3"/>
        <v>11</v>
      </c>
      <c r="L12" s="2">
        <f t="array" ref="L12">SUM(($F$2:$F$37&gt;=50)*(($F$2:$F$37)&lt;75))</f>
        <v>2</v>
      </c>
    </row>
    <row r="13" spans="1:13" ht="26.25" x14ac:dyDescent="0.25">
      <c r="A13" s="2">
        <v>12</v>
      </c>
      <c r="B13">
        <v>14</v>
      </c>
      <c r="C13">
        <v>10</v>
      </c>
      <c r="D13" s="3">
        <f>IF(Лист1__8[[#This Row],[Column18]]&lt;&gt;"",Лист1__8[[#This Row],[Column18]],"")</f>
        <v>10</v>
      </c>
      <c r="E13" s="2">
        <f t="shared" si="0"/>
        <v>3.16</v>
      </c>
      <c r="F13" s="2">
        <f t="shared" si="1"/>
        <v>96.84</v>
      </c>
      <c r="I13" s="19"/>
      <c r="J13" s="4" t="s">
        <v>29</v>
      </c>
      <c r="K13" s="2">
        <f t="shared" si="3"/>
        <v>32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36</v>
      </c>
      <c r="D14" s="3">
        <f>IF(Лист1__8[[#This Row],[Column18]]&lt;&gt;"",Лист1__8[[#This Row],[Column18]],"")</f>
        <v>36</v>
      </c>
      <c r="E14" s="2">
        <f t="shared" si="0"/>
        <v>11.39</v>
      </c>
      <c r="F14" s="2">
        <f t="shared" si="1"/>
        <v>88.61</v>
      </c>
      <c r="I14" s="19"/>
      <c r="J14" s="7" t="s">
        <v>30</v>
      </c>
      <c r="K14" s="2">
        <f>100-SUM($K$9:$K$13)</f>
        <v>52</v>
      </c>
      <c r="L14" s="2">
        <f>$K$2-SUM(L9:L$13)</f>
        <v>10</v>
      </c>
    </row>
    <row r="15" spans="1:13" x14ac:dyDescent="0.25">
      <c r="A15" s="2">
        <v>14</v>
      </c>
      <c r="B15">
        <v>16</v>
      </c>
      <c r="C15">
        <v>52</v>
      </c>
      <c r="D15" s="3">
        <f>IF(Лист1__8[[#This Row],[Column18]]&lt;&gt;"",Лист1__8[[#This Row],[Column18]],"")</f>
        <v>52</v>
      </c>
      <c r="E15" s="2">
        <f t="shared" si="0"/>
        <v>16.46</v>
      </c>
      <c r="F15" s="2">
        <f t="shared" si="1"/>
        <v>83.539999999999992</v>
      </c>
    </row>
    <row r="16" spans="1:13" x14ac:dyDescent="0.25">
      <c r="A16" s="2">
        <v>15</v>
      </c>
      <c r="B16">
        <v>17</v>
      </c>
      <c r="C16">
        <v>42</v>
      </c>
      <c r="D16" s="3">
        <f>IF(Лист1__8[[#This Row],[Column18]]&lt;&gt;"",Лист1__8[[#This Row],[Column18]],"")</f>
        <v>42</v>
      </c>
      <c r="E16" s="2">
        <f t="shared" si="0"/>
        <v>13.29</v>
      </c>
      <c r="F16" s="2">
        <f t="shared" si="1"/>
        <v>86.710000000000008</v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IF(Лист1__8[[#This Row],[Column18]]&lt;&gt;"",Лист1__8[[#This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>
        <v>164</v>
      </c>
      <c r="D18" s="3">
        <f>IF(Лист1__8[[#This Row],[Column18]]&lt;&gt;"",Лист1__8[[#This Row],[Column18]],"")</f>
        <v>164</v>
      </c>
      <c r="E18" s="2">
        <f t="shared" si="0"/>
        <v>51.9</v>
      </c>
      <c r="F18" s="2">
        <f t="shared" si="1"/>
        <v>48.1</v>
      </c>
    </row>
    <row r="19" spans="1:6" x14ac:dyDescent="0.25">
      <c r="A19" s="2">
        <v>18</v>
      </c>
      <c r="B19">
        <v>20</v>
      </c>
      <c r="C19">
        <v>98</v>
      </c>
      <c r="D19" s="3">
        <f>IF(Лист1__8[[#This Row],[Column18]]&lt;&gt;"",Лист1__8[[#This Row],[Column18]],"")</f>
        <v>98</v>
      </c>
      <c r="E19" s="2">
        <f t="shared" si="0"/>
        <v>31.01</v>
      </c>
      <c r="F19" s="2">
        <f t="shared" si="1"/>
        <v>68.989999999999995</v>
      </c>
    </row>
    <row r="20" spans="1:6" x14ac:dyDescent="0.25">
      <c r="A20" s="2">
        <v>19</v>
      </c>
      <c r="B20">
        <v>21</v>
      </c>
      <c r="C20">
        <v>54</v>
      </c>
      <c r="D20" s="3">
        <f>IF(Лист1__8[[#This Row],[Column18]]&lt;&gt;"",Лист1__8[[#This Row],[Column18]],"")</f>
        <v>54</v>
      </c>
      <c r="E20" s="2">
        <f t="shared" si="0"/>
        <v>17.09</v>
      </c>
      <c r="F20" s="2">
        <f t="shared" si="1"/>
        <v>82.91</v>
      </c>
    </row>
    <row r="21" spans="1:6" x14ac:dyDescent="0.25">
      <c r="A21" s="2">
        <v>20</v>
      </c>
      <c r="B21">
        <v>22</v>
      </c>
      <c r="C21">
        <v>42</v>
      </c>
      <c r="D21" s="3">
        <f>IF(Лист1__8[[#This Row],[Column18]]&lt;&gt;"",Лист1__8[[#This Row],[Column18]],"")</f>
        <v>42</v>
      </c>
      <c r="E21" s="2">
        <f t="shared" si="0"/>
        <v>13.29</v>
      </c>
      <c r="F21" s="2">
        <f t="shared" si="1"/>
        <v>86.710000000000008</v>
      </c>
    </row>
    <row r="22" spans="1:6" x14ac:dyDescent="0.25">
      <c r="A22" s="2">
        <v>21</v>
      </c>
      <c r="B22">
        <v>23</v>
      </c>
      <c r="C22">
        <v>8</v>
      </c>
      <c r="D22" s="3">
        <f>IF(Лист1__8[[#This Row],[Column18]]&lt;&gt;"",Лист1__8[[#This Row],[Column18]],"")</f>
        <v>8</v>
      </c>
      <c r="E22" s="2">
        <f t="shared" si="0"/>
        <v>2.5299999999999998</v>
      </c>
      <c r="F22" s="2">
        <f t="shared" si="1"/>
        <v>97.47</v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IF(Лист1__8[[#This Row],[Column18]]&lt;&gt;"",Лист1__8[[#This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IF(Лист1__8[[#This Row],[Column18]]&lt;&gt;"",Лист1__8[[#This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IF(Лист1__8[[#This Row],[Column18]]&lt;&gt;"",Лист1__8[[#This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IF(Лист1__8[[#This Row],[Column18]]&lt;&gt;"",Лист1__8[[#This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IF(Лист1__8[[#This Row],[Column18]]&lt;&gt;"",Лист1__8[[#This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IF(Лист1__8[[#This Row],[Column18]]&lt;&gt;"",Лист1__8[[#This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IF(Лист1__8[[#This Row],[Column18]]&lt;&gt;"",Лист1__8[[#This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IF(Лист1__8[[#This Row],[Column18]]&lt;&gt;"",Лист1__8[[#This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IF(Лист1__8[[#This Row],[Column18]]&lt;&gt;"",Лист1__8[[#This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IF(Лист1__8[[#This Row],[Column18]]&lt;&gt;"",Лист1__8[[#This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IF(Лист1__8[[#This Row],[Column18]]&lt;&gt;"",Лист1__8[[#This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IF(Лист1__8[[#This Row],[Column18]]&lt;&gt;"",Лист1__8[[#This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IF(Лист1__8[[#This Row],[Column18]]&lt;&gt;"",Лист1__8[[#This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IF(Лист1__8[[#This Row],[Column18]]&lt;&gt;"",Лист1__8[[#This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IF(Лист1__8[[#This Row],[Column18]]&lt;&gt;"",Лист1__8[[#This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IF(Лист1__8[[#This Row],[Column18]]&lt;&gt;"",Лист1__8[[#This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IF(Лист1__8[[#This Row],[Column18]]&lt;&gt;"",Лист1__8[[#This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IF(Лист1__8[[#This Row],[Column18]]&lt;&gt;"",Лист1__8[[#This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IF(Лист1__8[[#This Row],[Column18]]&lt;&gt;"",Лист1__8[[#This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794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6525-615C-486B-8E1C-933F8C9C217D}">
  <sheetPr codeName="Лист9"/>
  <dimension ref="A1:M42"/>
  <sheetViews>
    <sheetView workbookViewId="0">
      <selection activeCell="N9" sqref="N9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[19]Лист1!$R$2</f>
        <v>183</v>
      </c>
      <c r="L1" s="2" t="s">
        <v>36</v>
      </c>
      <c r="M1" s="2" t="str">
        <f ca="1">MID(CELL("filename",A2),SEARCH("]",CELL("filename",A2))+1,31)</f>
        <v>ЭЖД-41</v>
      </c>
    </row>
    <row r="2" spans="1:13" x14ac:dyDescent="0.25">
      <c r="A2" s="2">
        <v>1</v>
      </c>
      <c r="B2">
        <v>3</v>
      </c>
      <c r="C2">
        <v>70</v>
      </c>
      <c r="D2" s="3">
        <f>IF(Лист1__9[[#This Row],[Column18]]&lt;&gt;"",Лист1__9[[#This Row],[Column18]],"")</f>
        <v>70</v>
      </c>
      <c r="E2" s="2">
        <f>IF(D2&lt;&gt;"",ROUND(D2/$K$1/2*100,2),"")</f>
        <v>19.13</v>
      </c>
      <c r="F2" s="2">
        <f t="shared" ref="F2:F26" si="0">IF(E2&lt;&gt;"",IF(AND(100-E2&gt;=20,100-E2&lt;30),30,100-E2),"")</f>
        <v>80.87</v>
      </c>
      <c r="J2" s="8" t="s">
        <v>11</v>
      </c>
      <c r="K2" s="8">
        <f>COUNT(D2:D41)</f>
        <v>20</v>
      </c>
      <c r="L2" s="2" t="s">
        <v>37</v>
      </c>
      <c r="M2" s="2">
        <f>[19]Лист1!$U$1</f>
        <v>16</v>
      </c>
    </row>
    <row r="3" spans="1:13" x14ac:dyDescent="0.25">
      <c r="A3" s="2">
        <v>2</v>
      </c>
      <c r="B3">
        <v>4</v>
      </c>
      <c r="C3">
        <v>0</v>
      </c>
      <c r="D3" s="3">
        <f>IF(Лист1__9[[#This Row],[Column18]]&lt;&gt;"",Лист1__9[[#This Row],[Column18]],"")</f>
        <v>0</v>
      </c>
      <c r="E3" s="2">
        <f t="shared" ref="E3:E41" si="1">IF(D3&lt;&gt;"",ROUND(D3/$K$1/2*100,2),"")</f>
        <v>0</v>
      </c>
      <c r="F3" s="2">
        <f t="shared" si="0"/>
        <v>100</v>
      </c>
      <c r="I3" s="19" t="s">
        <v>33</v>
      </c>
      <c r="J3" s="4" t="s">
        <v>3</v>
      </c>
      <c r="K3" s="2">
        <f>ROUND(L3/$K$2*100,0)</f>
        <v>35</v>
      </c>
      <c r="L3" s="9">
        <f>K2-SUM($L$4:$L$7)</f>
        <v>7</v>
      </c>
    </row>
    <row r="4" spans="1:13" ht="26.25" x14ac:dyDescent="0.25">
      <c r="A4" s="2">
        <v>3</v>
      </c>
      <c r="B4">
        <v>5</v>
      </c>
      <c r="C4">
        <v>140</v>
      </c>
      <c r="D4" s="3">
        <f>IF(Лист1__9[[#This Row],[Column18]]&lt;&gt;"",Лист1__9[[#This Row],[Column18]],"")</f>
        <v>140</v>
      </c>
      <c r="E4" s="2">
        <f t="shared" si="1"/>
        <v>38.25</v>
      </c>
      <c r="F4" s="2">
        <f t="shared" si="0"/>
        <v>61.75</v>
      </c>
      <c r="I4" s="19"/>
      <c r="J4" s="4" t="s">
        <v>4</v>
      </c>
      <c r="K4" s="2">
        <f t="shared" ref="K4:K6" si="2">ROUND(L4/$K$2*100,0)</f>
        <v>20</v>
      </c>
      <c r="L4" s="2">
        <f t="array" ref="L4">SUM(($E$2:$E$37&gt;=10)*(($E$2:$E$37)&lt;30))</f>
        <v>4</v>
      </c>
    </row>
    <row r="5" spans="1:13" ht="26.25" x14ac:dyDescent="0.25">
      <c r="A5" s="2">
        <v>4</v>
      </c>
      <c r="B5">
        <v>6</v>
      </c>
      <c r="C5">
        <v>172</v>
      </c>
      <c r="D5" s="3">
        <f>IF(Лист1__9[[#This Row],[Column18]]&lt;&gt;"",Лист1__9[[#This Row],[Column18]],"")</f>
        <v>172</v>
      </c>
      <c r="E5" s="2">
        <f t="shared" si="1"/>
        <v>46.99</v>
      </c>
      <c r="F5" s="2">
        <f t="shared" si="0"/>
        <v>53.01</v>
      </c>
      <c r="I5" s="19"/>
      <c r="J5" s="4" t="s">
        <v>5</v>
      </c>
      <c r="K5" s="2">
        <f t="shared" si="2"/>
        <v>30</v>
      </c>
      <c r="L5" s="2">
        <f t="array" ref="L5">SUM(($E$2:$E$37&gt;=30)*(($E$2:$E$37)&lt;50))</f>
        <v>6</v>
      </c>
    </row>
    <row r="6" spans="1:13" ht="26.25" x14ac:dyDescent="0.25">
      <c r="A6" s="2">
        <v>5</v>
      </c>
      <c r="B6">
        <v>7</v>
      </c>
      <c r="C6">
        <v>58</v>
      </c>
      <c r="D6" s="3">
        <f>IF(Лист1__9[[#This Row],[Column18]]&lt;&gt;"",Лист1__9[[#This Row],[Column18]],"")</f>
        <v>58</v>
      </c>
      <c r="E6" s="2">
        <f t="shared" si="1"/>
        <v>15.85</v>
      </c>
      <c r="F6" s="2">
        <f t="shared" si="0"/>
        <v>84.15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134</v>
      </c>
      <c r="D7" s="3">
        <f>IF(Лист1__9[[#This Row],[Column18]]&lt;&gt;"",Лист1__9[[#This Row],[Column18]],"")</f>
        <v>134</v>
      </c>
      <c r="E7" s="2">
        <f t="shared" si="1"/>
        <v>36.61</v>
      </c>
      <c r="F7" s="2">
        <f t="shared" si="0"/>
        <v>63.39</v>
      </c>
      <c r="I7" s="19"/>
      <c r="J7" s="4" t="s">
        <v>7</v>
      </c>
      <c r="K7" s="2">
        <f>100-SUM($K$3:$K$6)</f>
        <v>15</v>
      </c>
      <c r="L7" s="2">
        <f t="array" ref="L7">SUM(($E$2:$E$37&gt;=70)*(($E$2:$E$37)&lt;100))</f>
        <v>3</v>
      </c>
    </row>
    <row r="8" spans="1:13" x14ac:dyDescent="0.25">
      <c r="A8" s="2">
        <v>7</v>
      </c>
      <c r="B8">
        <v>9</v>
      </c>
      <c r="C8">
        <v>0</v>
      </c>
      <c r="D8" s="3">
        <f>IF(Лист1__9[[#This Row],[Column18]]&lt;&gt;"",Лист1__9[[#This Row],[Column18]],"")</f>
        <v>0</v>
      </c>
      <c r="E8" s="2">
        <f t="shared" si="1"/>
        <v>0</v>
      </c>
      <c r="F8" s="2">
        <f t="shared" si="0"/>
        <v>100</v>
      </c>
    </row>
    <row r="9" spans="1:13" x14ac:dyDescent="0.25">
      <c r="A9" s="2">
        <v>8</v>
      </c>
      <c r="B9">
        <v>10</v>
      </c>
      <c r="C9">
        <v>340</v>
      </c>
      <c r="D9" s="3">
        <f>IF(Лист1__9[[#This Row],[Column18]]&lt;&gt;"",Лист1__9[[#This Row],[Column18]],"")</f>
        <v>340</v>
      </c>
      <c r="E9" s="2">
        <f t="shared" si="1"/>
        <v>92.9</v>
      </c>
      <c r="F9" s="2">
        <f t="shared" si="0"/>
        <v>7.0999999999999943</v>
      </c>
      <c r="K9" t="s">
        <v>31</v>
      </c>
    </row>
    <row r="10" spans="1:13" ht="26.25" x14ac:dyDescent="0.25">
      <c r="A10" s="2">
        <v>9</v>
      </c>
      <c r="B10">
        <v>11</v>
      </c>
      <c r="C10">
        <v>362</v>
      </c>
      <c r="D10" s="3">
        <f>IF(Лист1__9[[#This Row],[Column18]]&lt;&gt;"",Лист1__9[[#This Row],[Column18]],"")</f>
        <v>362</v>
      </c>
      <c r="E10" s="2">
        <f t="shared" si="1"/>
        <v>98.91</v>
      </c>
      <c r="F10" s="2">
        <f t="shared" si="0"/>
        <v>1.0900000000000034</v>
      </c>
      <c r="I10" s="19" t="s">
        <v>34</v>
      </c>
      <c r="J10" s="4" t="s">
        <v>42</v>
      </c>
      <c r="K10" s="2">
        <f t="shared" ref="K10:K13" si="3">ROUND(L10/$K$2*100,0)</f>
        <v>15</v>
      </c>
      <c r="L10" s="2">
        <f t="array" ref="L10">SUM(($F$2:$F$37&gt;=0)*(($F$2:$F$37)&lt;30))</f>
        <v>3</v>
      </c>
    </row>
    <row r="11" spans="1:13" ht="26.25" x14ac:dyDescent="0.25">
      <c r="A11" s="2">
        <v>10</v>
      </c>
      <c r="B11">
        <v>12</v>
      </c>
      <c r="C11" t="s">
        <v>38</v>
      </c>
      <c r="D11" s="3" t="str">
        <f>IF(Лист1__9[[#This Row],[Column18]]&lt;&gt;"",Лист1__9[[#This Row],[Column18]],"")</f>
        <v/>
      </c>
      <c r="E11" s="2" t="str">
        <f t="shared" si="1"/>
        <v/>
      </c>
      <c r="F11" s="2" t="str">
        <f t="shared" si="0"/>
        <v/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>
        <v>362</v>
      </c>
      <c r="D12" s="3">
        <f>IF(Лист1__9[[#This Row],[Column18]]&lt;&gt;"",Лист1__9[[#This Row],[Column18]],"")</f>
        <v>362</v>
      </c>
      <c r="E12" s="2">
        <f t="shared" si="1"/>
        <v>98.91</v>
      </c>
      <c r="F12" s="2">
        <f t="shared" si="0"/>
        <v>1.0900000000000034</v>
      </c>
      <c r="I12" s="19"/>
      <c r="J12" s="4" t="s">
        <v>28</v>
      </c>
      <c r="K12" s="2">
        <f t="shared" si="3"/>
        <v>30</v>
      </c>
      <c r="L12" s="2">
        <f t="array" ref="L12">SUM(($F$2:$F$37&gt;=50)*(($F$2:$F$37)&lt;75))</f>
        <v>6</v>
      </c>
    </row>
    <row r="13" spans="1:13" ht="26.25" x14ac:dyDescent="0.25">
      <c r="A13" s="2">
        <v>12</v>
      </c>
      <c r="B13">
        <v>14</v>
      </c>
      <c r="C13">
        <v>152</v>
      </c>
      <c r="D13" s="3">
        <f>IF(Лист1__9[[#This Row],[Column18]]&lt;&gt;"",Лист1__9[[#This Row],[Column18]],"")</f>
        <v>152</v>
      </c>
      <c r="E13" s="2">
        <f t="shared" si="1"/>
        <v>41.53</v>
      </c>
      <c r="F13" s="2">
        <f t="shared" si="0"/>
        <v>58.47</v>
      </c>
      <c r="I13" s="19"/>
      <c r="J13" s="4" t="s">
        <v>29</v>
      </c>
      <c r="K13" s="2">
        <f t="shared" si="3"/>
        <v>20</v>
      </c>
      <c r="L13" s="2">
        <f t="array" ref="L13">SUM(($F$2:$F$37&gt;=75)*(($F$2:$F$37)&lt;90))</f>
        <v>4</v>
      </c>
    </row>
    <row r="14" spans="1:13" ht="26.25" x14ac:dyDescent="0.25">
      <c r="A14" s="2">
        <v>13</v>
      </c>
      <c r="B14">
        <v>15</v>
      </c>
      <c r="C14">
        <v>4</v>
      </c>
      <c r="D14" s="3">
        <f>IF(Лист1__9[[#This Row],[Column18]]&lt;&gt;"",Лист1__9[[#This Row],[Column18]],"")</f>
        <v>4</v>
      </c>
      <c r="E14" s="2">
        <f t="shared" si="1"/>
        <v>1.0900000000000001</v>
      </c>
      <c r="F14" s="2">
        <f t="shared" si="0"/>
        <v>98.91</v>
      </c>
      <c r="I14" s="19"/>
      <c r="J14" s="7" t="s">
        <v>30</v>
      </c>
      <c r="K14" s="2">
        <f>100-SUM($K$9:$K$13)</f>
        <v>35</v>
      </c>
      <c r="L14" s="2">
        <f>$K$2-SUM(L9:L$13)</f>
        <v>7</v>
      </c>
    </row>
    <row r="15" spans="1:13" x14ac:dyDescent="0.25">
      <c r="A15" s="2">
        <v>14</v>
      </c>
      <c r="B15">
        <v>16</v>
      </c>
      <c r="C15">
        <v>18</v>
      </c>
      <c r="D15" s="3">
        <f>IF(Лист1__9[[#This Row],[Column18]]&lt;&gt;"",Лист1__9[[#This Row],[Column18]],"")</f>
        <v>18</v>
      </c>
      <c r="E15" s="2">
        <f t="shared" si="1"/>
        <v>4.92</v>
      </c>
      <c r="F15" s="2">
        <f t="shared" si="0"/>
        <v>95.08</v>
      </c>
    </row>
    <row r="16" spans="1:13" x14ac:dyDescent="0.25">
      <c r="A16" s="2">
        <v>15</v>
      </c>
      <c r="B16">
        <v>17</v>
      </c>
      <c r="C16">
        <v>180</v>
      </c>
      <c r="D16" s="3">
        <f>IF(Лист1__9[[#This Row],[Column18]]&lt;&gt;"",Лист1__9[[#This Row],[Column18]],"")</f>
        <v>180</v>
      </c>
      <c r="E16" s="2">
        <f t="shared" si="1"/>
        <v>49.18</v>
      </c>
      <c r="F16" s="2">
        <f t="shared" si="0"/>
        <v>50.82</v>
      </c>
    </row>
    <row r="17" spans="1:6" x14ac:dyDescent="0.25">
      <c r="A17" s="2">
        <v>16</v>
      </c>
      <c r="B17">
        <v>18</v>
      </c>
      <c r="C17">
        <v>182</v>
      </c>
      <c r="D17" s="3">
        <f>IF(Лист1__9[[#This Row],[Column18]]&lt;&gt;"",Лист1__9[[#This Row],[Column18]],"")</f>
        <v>182</v>
      </c>
      <c r="E17" s="2">
        <f t="shared" si="1"/>
        <v>49.73</v>
      </c>
      <c r="F17" s="2">
        <f t="shared" si="0"/>
        <v>50.27</v>
      </c>
    </row>
    <row r="18" spans="1:6" x14ac:dyDescent="0.25">
      <c r="A18" s="2">
        <v>17</v>
      </c>
      <c r="B18">
        <v>19</v>
      </c>
      <c r="C18">
        <v>30</v>
      </c>
      <c r="D18" s="3">
        <f>IF(Лист1__9[[#This Row],[Column18]]&lt;&gt;"",Лист1__9[[#This Row],[Column18]],"")</f>
        <v>30</v>
      </c>
      <c r="E18" s="2">
        <f t="shared" si="1"/>
        <v>8.1999999999999993</v>
      </c>
      <c r="F18" s="2">
        <f t="shared" si="0"/>
        <v>91.8</v>
      </c>
    </row>
    <row r="19" spans="1:6" x14ac:dyDescent="0.25">
      <c r="A19" s="2">
        <v>18</v>
      </c>
      <c r="B19">
        <v>20</v>
      </c>
      <c r="C19">
        <v>68</v>
      </c>
      <c r="D19" s="3">
        <f>IF(Лист1__9[[#This Row],[Column18]]&lt;&gt;"",Лист1__9[[#This Row],[Column18]],"")</f>
        <v>68</v>
      </c>
      <c r="E19" s="2">
        <f t="shared" si="1"/>
        <v>18.579999999999998</v>
      </c>
      <c r="F19" s="2">
        <f t="shared" si="0"/>
        <v>81.42</v>
      </c>
    </row>
    <row r="20" spans="1:6" x14ac:dyDescent="0.25">
      <c r="A20" s="2">
        <v>19</v>
      </c>
      <c r="B20">
        <v>21</v>
      </c>
      <c r="C20">
        <v>36</v>
      </c>
      <c r="D20" s="3">
        <f>IF(Лист1__9[[#This Row],[Column18]]&lt;&gt;"",Лист1__9[[#This Row],[Column18]],"")</f>
        <v>36</v>
      </c>
      <c r="E20" s="2">
        <f t="shared" si="1"/>
        <v>9.84</v>
      </c>
      <c r="F20" s="2">
        <f t="shared" si="0"/>
        <v>90.16</v>
      </c>
    </row>
    <row r="21" spans="1:6" x14ac:dyDescent="0.25">
      <c r="A21" s="2">
        <v>20</v>
      </c>
      <c r="B21">
        <v>22</v>
      </c>
      <c r="C21">
        <v>18</v>
      </c>
      <c r="D21" s="3">
        <f>IF(Лист1__9[[#This Row],[Column18]]&lt;&gt;"",Лист1__9[[#This Row],[Column18]],"")</f>
        <v>18</v>
      </c>
      <c r="E21" s="2">
        <f t="shared" si="1"/>
        <v>4.92</v>
      </c>
      <c r="F21" s="2">
        <f t="shared" si="0"/>
        <v>95.08</v>
      </c>
    </row>
    <row r="22" spans="1:6" x14ac:dyDescent="0.25">
      <c r="A22" s="2">
        <v>21</v>
      </c>
      <c r="B22">
        <v>23</v>
      </c>
      <c r="C22">
        <v>44</v>
      </c>
      <c r="D22" s="3">
        <f>IF(Лист1__9[[#This Row],[Column18]]&lt;&gt;"",Лист1__9[[#This Row],[Column18]],"")</f>
        <v>44</v>
      </c>
      <c r="E22" s="2">
        <f t="shared" si="1"/>
        <v>12.02</v>
      </c>
      <c r="F22" s="2">
        <f t="shared" si="0"/>
        <v>87.98</v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IF(Лист1__9[[#This Row],[Column18]]&lt;&gt;"",Лист1__9[[#This Row],[Column18]],"")</f>
        <v/>
      </c>
      <c r="E23" s="2" t="str">
        <f t="shared" si="1"/>
        <v/>
      </c>
      <c r="F23" s="2" t="str">
        <f t="shared" si="0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IF(Лист1__9[[#This Row],[Column18]]&lt;&gt;"",Лист1__9[[#This Row],[Column18]],"")</f>
        <v/>
      </c>
      <c r="E24" s="2" t="str">
        <f t="shared" si="1"/>
        <v/>
      </c>
      <c r="F24" s="2" t="str">
        <f t="shared" si="0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IF(Лист1__9[[#This Row],[Column18]]&lt;&gt;"",Лист1__9[[#This Row],[Column18]],"")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IF(Лист1__9[[#This Row],[Column18]]&lt;&gt;"",Лист1__9[[#This Row],[Column18]],"")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IF(Лист1__9[[#This Row],[Column18]]&lt;&gt;"",Лист1__9[[#This Row],[Column18]],"")</f>
        <v/>
      </c>
      <c r="E27" s="2" t="str">
        <f t="shared" si="1"/>
        <v/>
      </c>
      <c r="F27" s="2" t="str">
        <f t="shared" ref="F27:F41" si="4">IF(E27&lt;&gt;"",100-E27,"")</f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IF(Лист1__9[[#This Row],[Column18]]&lt;&gt;"",Лист1__9[[#This Row],[Column18]],"")</f>
        <v/>
      </c>
      <c r="E28" s="2" t="str">
        <f t="shared" si="1"/>
        <v/>
      </c>
      <c r="F28" s="2" t="str">
        <f t="shared" si="4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IF(Лист1__9[[#This Row],[Column18]]&lt;&gt;"",Лист1__9[[#This Row],[Column18]],"")</f>
        <v/>
      </c>
      <c r="E29" s="2" t="str">
        <f t="shared" si="1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IF(Лист1__9[[#This Row],[Column18]]&lt;&gt;"",Лист1__9[[#This Row],[Column18]],"")</f>
        <v/>
      </c>
      <c r="E30" s="2" t="str">
        <f t="shared" si="1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IF(Лист1__9[[#This Row],[Column18]]&lt;&gt;"",Лист1__9[[#This Row],[Column18]],"")</f>
        <v/>
      </c>
      <c r="E31" s="2" t="str">
        <f t="shared" si="1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IF(Лист1__9[[#This Row],[Column18]]&lt;&gt;"",Лист1__9[[#This Row],[Column18]],"")</f>
        <v/>
      </c>
      <c r="E32" s="2" t="str">
        <f t="shared" si="1"/>
        <v/>
      </c>
      <c r="F32" s="2" t="str">
        <f t="shared" si="4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IF(Лист1__9[[#This Row],[Column18]]&lt;&gt;"",Лист1__9[[#This Row],[Column18]],"")</f>
        <v/>
      </c>
      <c r="E33" s="2" t="str">
        <f t="shared" si="1"/>
        <v/>
      </c>
      <c r="F33" s="2" t="str">
        <f t="shared" si="4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IF(Лист1__9[[#This Row],[Column18]]&lt;&gt;"",Лист1__9[[#This Row],[Column18]],"")</f>
        <v/>
      </c>
      <c r="E34" s="2" t="str">
        <f t="shared" si="1"/>
        <v/>
      </c>
      <c r="F34" s="2" t="str">
        <f t="shared" si="4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IF(Лист1__9[[#This Row],[Column18]]&lt;&gt;"",Лист1__9[[#This Row],[Column18]],"")</f>
        <v/>
      </c>
      <c r="E35" s="2" t="str">
        <f t="shared" si="1"/>
        <v/>
      </c>
      <c r="F35" s="2" t="str">
        <f t="shared" si="4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IF(Лист1__9[[#This Row],[Column18]]&lt;&gt;"",Лист1__9[[#This Row],[Column18]],"")</f>
        <v/>
      </c>
      <c r="E36" s="2" t="str">
        <f t="shared" si="1"/>
        <v/>
      </c>
      <c r="F36" s="2" t="str">
        <f t="shared" si="4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IF(Лист1__9[[#This Row],[Column18]]&lt;&gt;"",Лист1__9[[#This Row],[Column18]],"")</f>
        <v/>
      </c>
      <c r="E37" s="2" t="str">
        <f t="shared" si="1"/>
        <v/>
      </c>
      <c r="F37" s="2" t="str">
        <f t="shared" si="4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IF(Лист1__9[[#This Row],[Column18]]&lt;&gt;"",Лист1__9[[#This Row],[Column18]],"")</f>
        <v/>
      </c>
      <c r="E38" s="2" t="str">
        <f t="shared" si="1"/>
        <v/>
      </c>
      <c r="F38" s="2" t="str">
        <f t="shared" si="4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IF(Лист1__9[[#This Row],[Column18]]&lt;&gt;"",Лист1__9[[#This Row],[Column18]],"")</f>
        <v/>
      </c>
      <c r="E39" s="2" t="str">
        <f t="shared" si="1"/>
        <v/>
      </c>
      <c r="F39" s="2" t="str">
        <f t="shared" si="4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IF(Лист1__9[[#This Row],[Column18]]&lt;&gt;"",Лист1__9[[#This Row],[Column18]],"")</f>
        <v/>
      </c>
      <c r="E40" s="2" t="str">
        <f t="shared" si="1"/>
        <v/>
      </c>
      <c r="F40" s="2" t="str">
        <f t="shared" si="4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IF(Лист1__9[[#This Row],[Column18]]&lt;&gt;"",Лист1__9[[#This Row],[Column18]],"")</f>
        <v/>
      </c>
      <c r="E41" s="2" t="str">
        <f t="shared" si="1"/>
        <v/>
      </c>
      <c r="F41" s="2" t="str">
        <f t="shared" si="4"/>
        <v/>
      </c>
    </row>
    <row r="42" spans="1:7" x14ac:dyDescent="0.25">
      <c r="A42" t="s">
        <v>40</v>
      </c>
      <c r="B42">
        <v>43</v>
      </c>
      <c r="D42" s="17">
        <f>SUM(D2:D41)</f>
        <v>2370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016F-9F25-4A4F-9C95-F79C7DE1119F}">
  <sheetPr codeName="Лист10"/>
  <dimension ref="A1:M42"/>
  <sheetViews>
    <sheetView workbookViewId="0">
      <selection activeCell="N9" sqref="N9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[20]Лист1!$R$2</f>
        <v>109</v>
      </c>
      <c r="L1" s="2" t="s">
        <v>36</v>
      </c>
      <c r="M1" s="2" t="str">
        <f ca="1">MID(CELL("filename",A2),SEARCH("]",CELL("filename",A2))+1,31)</f>
        <v>ЭЖД-33</v>
      </c>
    </row>
    <row r="2" spans="1:13" x14ac:dyDescent="0.25">
      <c r="A2" s="2">
        <v>1</v>
      </c>
      <c r="B2">
        <v>3</v>
      </c>
      <c r="C2">
        <v>148</v>
      </c>
      <c r="D2" s="3">
        <f>IF(Лист1__10[[#This Row],[Column18]]&lt;&gt;"",Лист1__10[[#This Row],[Column18]],"")</f>
        <v>148</v>
      </c>
      <c r="E2" s="2">
        <f>IF(D2&lt;&gt;"",ROUND(D2/$K$1/2*100,2),"")</f>
        <v>67.89</v>
      </c>
      <c r="F2" s="2">
        <f>IF(E2&lt;&gt;"",IF(AND(100-E2&gt;=20,100-E2&lt;30),30,100-E2),"")</f>
        <v>32.11</v>
      </c>
      <c r="J2" s="8" t="s">
        <v>11</v>
      </c>
      <c r="K2" s="8">
        <f>COUNT(D2:D41)</f>
        <v>22</v>
      </c>
      <c r="L2" s="2" t="s">
        <v>37</v>
      </c>
      <c r="M2" s="2">
        <f>[20]Лист1!$U$1</f>
        <v>11</v>
      </c>
    </row>
    <row r="3" spans="1:13" x14ac:dyDescent="0.25">
      <c r="A3" s="2">
        <v>2</v>
      </c>
      <c r="B3">
        <v>4</v>
      </c>
      <c r="C3">
        <v>116</v>
      </c>
      <c r="D3" s="3">
        <f>IF(Лист1__10[[#This Row],[Column18]]&lt;&gt;"",Лист1__10[[#This Row],[Column18]],"")</f>
        <v>116</v>
      </c>
      <c r="E3" s="2">
        <f t="shared" ref="E3:E41" si="0">IF(D3&lt;&gt;"",ROUND(D3/$K$1/2*100,2),"")</f>
        <v>53.21</v>
      </c>
      <c r="F3" s="2">
        <f t="shared" ref="F3:F25" si="1">IF(E3&lt;&gt;"",IF(AND(100-E3&gt;=20,100-E3&lt;30),30,100-E3),"")</f>
        <v>46.79</v>
      </c>
      <c r="I3" s="19" t="s">
        <v>33</v>
      </c>
      <c r="J3" s="4" t="s">
        <v>3</v>
      </c>
      <c r="K3" s="2">
        <f>ROUND(L3/$K$2*100,0)</f>
        <v>9</v>
      </c>
      <c r="L3" s="9">
        <f>K2-SUM($L$4:$L$7)</f>
        <v>2</v>
      </c>
    </row>
    <row r="4" spans="1:13" ht="26.25" x14ac:dyDescent="0.25">
      <c r="A4" s="2">
        <v>3</v>
      </c>
      <c r="B4">
        <v>5</v>
      </c>
      <c r="C4">
        <v>132</v>
      </c>
      <c r="D4" s="3">
        <f>IF(Лист1__10[[#This Row],[Column18]]&lt;&gt;"",Лист1__10[[#This Row],[Column18]],"")</f>
        <v>132</v>
      </c>
      <c r="E4" s="2">
        <f t="shared" si="0"/>
        <v>60.55</v>
      </c>
      <c r="F4" s="2">
        <f t="shared" si="1"/>
        <v>39.450000000000003</v>
      </c>
      <c r="I4" s="19"/>
      <c r="J4" s="4" t="s">
        <v>4</v>
      </c>
      <c r="K4" s="2">
        <f t="shared" ref="K4:K6" si="2">ROUND(L4/$K$2*100,0)</f>
        <v>41</v>
      </c>
      <c r="L4" s="2">
        <f t="array" ref="L4">SUM(($E$2:$E$37&gt;=10)*(($E$2:$E$37)&lt;30))</f>
        <v>9</v>
      </c>
    </row>
    <row r="5" spans="1:13" ht="26.25" x14ac:dyDescent="0.25">
      <c r="A5" s="2">
        <v>4</v>
      </c>
      <c r="B5">
        <v>6</v>
      </c>
      <c r="C5">
        <v>128</v>
      </c>
      <c r="D5" s="3">
        <f>IF(Лист1__10[[#This Row],[Column18]]&lt;&gt;"",Лист1__10[[#This Row],[Column18]],"")</f>
        <v>128</v>
      </c>
      <c r="E5" s="2">
        <f t="shared" si="0"/>
        <v>58.72</v>
      </c>
      <c r="F5" s="2">
        <f t="shared" si="1"/>
        <v>41.28</v>
      </c>
      <c r="I5" s="19"/>
      <c r="J5" s="4" t="s">
        <v>5</v>
      </c>
      <c r="K5" s="2">
        <f t="shared" si="2"/>
        <v>9</v>
      </c>
      <c r="L5" s="2">
        <f t="array" ref="L5">SUM(($E$2:$E$37&gt;=30)*(($E$2:$E$37)&lt;50))</f>
        <v>2</v>
      </c>
    </row>
    <row r="6" spans="1:13" ht="26.25" x14ac:dyDescent="0.25">
      <c r="A6" s="2">
        <v>5</v>
      </c>
      <c r="B6">
        <v>7</v>
      </c>
      <c r="C6">
        <v>50</v>
      </c>
      <c r="D6" s="3">
        <f>IF(Лист1__10[[#This Row],[Column18]]&lt;&gt;"",Лист1__10[[#This Row],[Column18]],"")</f>
        <v>50</v>
      </c>
      <c r="E6" s="2">
        <f t="shared" si="0"/>
        <v>22.94</v>
      </c>
      <c r="F6" s="2">
        <f t="shared" si="1"/>
        <v>77.06</v>
      </c>
      <c r="I6" s="19"/>
      <c r="J6" s="4" t="s">
        <v>6</v>
      </c>
      <c r="K6" s="2">
        <f t="shared" si="2"/>
        <v>36</v>
      </c>
      <c r="L6" s="2">
        <f t="array" ref="L6">SUM(($E$2:$E$37&gt;=50)*(($E$2:$E$37)&lt;70))</f>
        <v>8</v>
      </c>
    </row>
    <row r="7" spans="1:13" ht="26.25" x14ac:dyDescent="0.25">
      <c r="A7" s="2">
        <v>6</v>
      </c>
      <c r="B7">
        <v>8</v>
      </c>
      <c r="C7">
        <v>4</v>
      </c>
      <c r="D7" s="3">
        <f>IF(Лист1__10[[#This Row],[Column18]]&lt;&gt;"",Лист1__10[[#This Row],[Column18]],"")</f>
        <v>4</v>
      </c>
      <c r="E7" s="2">
        <f t="shared" si="0"/>
        <v>1.83</v>
      </c>
      <c r="F7" s="2">
        <f t="shared" si="1"/>
        <v>98.17</v>
      </c>
      <c r="I7" s="19"/>
      <c r="J7" s="4" t="s">
        <v>7</v>
      </c>
      <c r="K7" s="2">
        <f>100-SUM($K$3:$K$6)</f>
        <v>5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136</v>
      </c>
      <c r="D8" s="3">
        <f>IF(Лист1__10[[#This Row],[Column18]]&lt;&gt;"",Лист1__10[[#This Row],[Column18]],"")</f>
        <v>136</v>
      </c>
      <c r="E8" s="2">
        <f t="shared" si="0"/>
        <v>62.39</v>
      </c>
      <c r="F8" s="2">
        <f t="shared" si="1"/>
        <v>37.61</v>
      </c>
    </row>
    <row r="9" spans="1:13" x14ac:dyDescent="0.25">
      <c r="A9" s="2">
        <v>8</v>
      </c>
      <c r="B9">
        <v>10</v>
      </c>
      <c r="C9">
        <v>32</v>
      </c>
      <c r="D9" s="3">
        <f>IF(Лист1__10[[#This Row],[Column18]]&lt;&gt;"",Лист1__10[[#This Row],[Column18]],"")</f>
        <v>32</v>
      </c>
      <c r="E9" s="2">
        <f t="shared" si="0"/>
        <v>14.68</v>
      </c>
      <c r="F9" s="2">
        <f t="shared" si="1"/>
        <v>85.32</v>
      </c>
      <c r="K9" t="s">
        <v>31</v>
      </c>
    </row>
    <row r="10" spans="1:13" ht="26.25" x14ac:dyDescent="0.25">
      <c r="A10" s="2">
        <v>9</v>
      </c>
      <c r="B10">
        <v>11</v>
      </c>
      <c r="C10">
        <v>68</v>
      </c>
      <c r="D10" s="3">
        <f>IF(Лист1__10[[#This Row],[Column18]]&lt;&gt;"",Лист1__10[[#This Row],[Column18]],"")</f>
        <v>68</v>
      </c>
      <c r="E10" s="2">
        <f t="shared" si="0"/>
        <v>31.19</v>
      </c>
      <c r="F10" s="2">
        <f t="shared" si="1"/>
        <v>68.81</v>
      </c>
      <c r="I10" s="19" t="s">
        <v>34</v>
      </c>
      <c r="J10" s="4" t="s">
        <v>42</v>
      </c>
      <c r="K10" s="2">
        <f t="shared" ref="K10:K13" si="3">ROUND(L10/$K$2*100,0)</f>
        <v>5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188</v>
      </c>
      <c r="D11" s="3">
        <f>IF(Лист1__10[[#This Row],[Column18]]&lt;&gt;"",Лист1__10[[#This Row],[Column18]],"")</f>
        <v>188</v>
      </c>
      <c r="E11" s="2">
        <f t="shared" si="0"/>
        <v>86.24</v>
      </c>
      <c r="F11" s="2">
        <f t="shared" si="1"/>
        <v>13.760000000000005</v>
      </c>
      <c r="I11" s="19"/>
      <c r="J11" s="4" t="s">
        <v>5</v>
      </c>
      <c r="K11" s="2">
        <f t="shared" si="3"/>
        <v>36</v>
      </c>
      <c r="L11" s="2">
        <f t="array" ref="L11">SUM(($F$2:$F$37&gt;=30)*(($F$2:$F$37)&lt;50))</f>
        <v>8</v>
      </c>
    </row>
    <row r="12" spans="1:13" ht="26.25" x14ac:dyDescent="0.25">
      <c r="A12" s="2">
        <v>11</v>
      </c>
      <c r="B12">
        <v>13</v>
      </c>
      <c r="C12">
        <v>30</v>
      </c>
      <c r="D12" s="3">
        <f>IF(Лист1__10[[#This Row],[Column18]]&lt;&gt;"",Лист1__10[[#This Row],[Column18]],"")</f>
        <v>30</v>
      </c>
      <c r="E12" s="2">
        <f t="shared" si="0"/>
        <v>13.76</v>
      </c>
      <c r="F12" s="2">
        <f t="shared" si="1"/>
        <v>86.24</v>
      </c>
      <c r="I12" s="19"/>
      <c r="J12" s="4" t="s">
        <v>28</v>
      </c>
      <c r="K12" s="2">
        <f t="shared" si="3"/>
        <v>18</v>
      </c>
      <c r="L12" s="2">
        <f t="array" ref="L12">SUM(($F$2:$F$37&gt;=50)*(($F$2:$F$37)&lt;75))</f>
        <v>4</v>
      </c>
    </row>
    <row r="13" spans="1:13" ht="26.25" x14ac:dyDescent="0.25">
      <c r="A13" s="2">
        <v>12</v>
      </c>
      <c r="B13">
        <v>14</v>
      </c>
      <c r="C13">
        <v>38</v>
      </c>
      <c r="D13" s="3">
        <f>IF(Лист1__10[[#This Row],[Column18]]&lt;&gt;"",Лист1__10[[#This Row],[Column18]],"")</f>
        <v>38</v>
      </c>
      <c r="E13" s="2">
        <f t="shared" si="0"/>
        <v>17.43</v>
      </c>
      <c r="F13" s="2">
        <f t="shared" si="1"/>
        <v>82.57</v>
      </c>
      <c r="I13" s="19"/>
      <c r="J13" s="4" t="s">
        <v>29</v>
      </c>
      <c r="K13" s="2">
        <f t="shared" si="3"/>
        <v>32</v>
      </c>
      <c r="L13" s="2">
        <f t="array" ref="L13">SUM(($F$2:$F$37&gt;=75)*(($F$2:$F$37)&lt;90))</f>
        <v>7</v>
      </c>
    </row>
    <row r="14" spans="1:13" ht="26.25" x14ac:dyDescent="0.25">
      <c r="A14" s="2">
        <v>13</v>
      </c>
      <c r="B14">
        <v>15</v>
      </c>
      <c r="C14">
        <v>42</v>
      </c>
      <c r="D14" s="3">
        <f>IF(Лист1__10[[#This Row],[Column18]]&lt;&gt;"",Лист1__10[[#This Row],[Column18]],"")</f>
        <v>42</v>
      </c>
      <c r="E14" s="2">
        <f t="shared" si="0"/>
        <v>19.27</v>
      </c>
      <c r="F14" s="2">
        <f t="shared" si="1"/>
        <v>80.73</v>
      </c>
      <c r="I14" s="19"/>
      <c r="J14" s="7" t="s">
        <v>30</v>
      </c>
      <c r="K14" s="2">
        <f>100-SUM($K$9:$K$13)</f>
        <v>9</v>
      </c>
      <c r="L14" s="2">
        <f>$K$2-SUM(L9:L$13)</f>
        <v>2</v>
      </c>
    </row>
    <row r="15" spans="1:13" x14ac:dyDescent="0.25">
      <c r="A15" s="2">
        <v>14</v>
      </c>
      <c r="B15">
        <v>16</v>
      </c>
      <c r="C15">
        <v>62</v>
      </c>
      <c r="D15" s="3">
        <f>IF(Лист1__10[[#This Row],[Column18]]&lt;&gt;"",Лист1__10[[#This Row],[Column18]],"")</f>
        <v>62</v>
      </c>
      <c r="E15" s="2">
        <f t="shared" si="0"/>
        <v>28.44</v>
      </c>
      <c r="F15" s="2">
        <f t="shared" si="1"/>
        <v>71.56</v>
      </c>
    </row>
    <row r="16" spans="1:13" x14ac:dyDescent="0.25">
      <c r="A16" s="2">
        <v>15</v>
      </c>
      <c r="B16">
        <v>17</v>
      </c>
      <c r="C16">
        <v>124</v>
      </c>
      <c r="D16" s="3">
        <f>IF(Лист1__10[[#This Row],[Column18]]&lt;&gt;"",Лист1__10[[#This Row],[Column18]],"")</f>
        <v>124</v>
      </c>
      <c r="E16" s="2">
        <f t="shared" si="0"/>
        <v>56.88</v>
      </c>
      <c r="F16" s="2">
        <f t="shared" si="1"/>
        <v>43.12</v>
      </c>
    </row>
    <row r="17" spans="1:6" x14ac:dyDescent="0.25">
      <c r="A17" s="2">
        <v>16</v>
      </c>
      <c r="B17">
        <v>18</v>
      </c>
      <c r="C17">
        <v>70</v>
      </c>
      <c r="D17" s="3">
        <f>IF(Лист1__10[[#This Row],[Column18]]&lt;&gt;"",Лист1__10[[#This Row],[Column18]],"")</f>
        <v>70</v>
      </c>
      <c r="E17" s="2">
        <f t="shared" si="0"/>
        <v>32.11</v>
      </c>
      <c r="F17" s="2">
        <f t="shared" si="1"/>
        <v>67.89</v>
      </c>
    </row>
    <row r="18" spans="1:6" x14ac:dyDescent="0.25">
      <c r="A18" s="2">
        <v>17</v>
      </c>
      <c r="B18">
        <v>19</v>
      </c>
      <c r="C18">
        <v>48</v>
      </c>
      <c r="D18" s="3">
        <f>IF(Лист1__10[[#This Row],[Column18]]&lt;&gt;"",Лист1__10[[#This Row],[Column18]],"")</f>
        <v>48</v>
      </c>
      <c r="E18" s="2">
        <f t="shared" si="0"/>
        <v>22.02</v>
      </c>
      <c r="F18" s="2">
        <f t="shared" si="1"/>
        <v>77.98</v>
      </c>
    </row>
    <row r="19" spans="1:6" x14ac:dyDescent="0.25">
      <c r="A19" s="2">
        <v>18</v>
      </c>
      <c r="B19">
        <v>20</v>
      </c>
      <c r="C19">
        <v>60</v>
      </c>
      <c r="D19" s="3">
        <f>IF(Лист1__10[[#This Row],[Column18]]&lt;&gt;"",Лист1__10[[#This Row],[Column18]],"")</f>
        <v>60</v>
      </c>
      <c r="E19" s="2">
        <f t="shared" si="0"/>
        <v>27.52</v>
      </c>
      <c r="F19" s="2">
        <f t="shared" si="1"/>
        <v>72.48</v>
      </c>
    </row>
    <row r="20" spans="1:6" x14ac:dyDescent="0.25">
      <c r="A20" s="2">
        <v>19</v>
      </c>
      <c r="B20">
        <v>21</v>
      </c>
      <c r="C20">
        <v>114</v>
      </c>
      <c r="D20" s="3">
        <f>IF(Лист1__10[[#This Row],[Column18]]&lt;&gt;"",Лист1__10[[#This Row],[Column18]],"")</f>
        <v>114</v>
      </c>
      <c r="E20" s="2">
        <f t="shared" si="0"/>
        <v>52.29</v>
      </c>
      <c r="F20" s="2">
        <f t="shared" si="1"/>
        <v>47.71</v>
      </c>
    </row>
    <row r="21" spans="1:6" x14ac:dyDescent="0.25">
      <c r="A21" s="2">
        <v>20</v>
      </c>
      <c r="B21">
        <v>22</v>
      </c>
      <c r="C21">
        <v>36</v>
      </c>
      <c r="D21" s="3">
        <f>IF(Лист1__10[[#This Row],[Column18]]&lt;&gt;"",Лист1__10[[#This Row],[Column18]],"")</f>
        <v>36</v>
      </c>
      <c r="E21" s="2">
        <f t="shared" si="0"/>
        <v>16.510000000000002</v>
      </c>
      <c r="F21" s="2">
        <f t="shared" si="1"/>
        <v>83.49</v>
      </c>
    </row>
    <row r="22" spans="1:6" x14ac:dyDescent="0.25">
      <c r="A22" s="2">
        <v>21</v>
      </c>
      <c r="B22">
        <v>23</v>
      </c>
      <c r="C22">
        <v>114</v>
      </c>
      <c r="D22" s="3">
        <f>IF(Лист1__10[[#This Row],[Column18]]&lt;&gt;"",Лист1__10[[#This Row],[Column18]],"")</f>
        <v>114</v>
      </c>
      <c r="E22" s="2">
        <f t="shared" si="0"/>
        <v>52.29</v>
      </c>
      <c r="F22" s="2">
        <f t="shared" si="1"/>
        <v>47.71</v>
      </c>
    </row>
    <row r="23" spans="1:6" x14ac:dyDescent="0.25">
      <c r="A23" s="2">
        <v>22</v>
      </c>
      <c r="B23">
        <v>24</v>
      </c>
      <c r="C23">
        <v>14</v>
      </c>
      <c r="D23" s="3">
        <f>IF(Лист1__10[[#This Row],[Column18]]&lt;&gt;"",Лист1__10[[#This Row],[Column18]],"")</f>
        <v>14</v>
      </c>
      <c r="E23" s="2">
        <f t="shared" si="0"/>
        <v>6.42</v>
      </c>
      <c r="F23" s="2">
        <f t="shared" si="1"/>
        <v>93.58</v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IF(Лист1__10[[#This Row],[Column18]]&lt;&gt;"",Лист1__10[[#This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IF(Лист1__10[[#This Row],[Column18]]&lt;&gt;"",Лист1__10[[#This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IF(Лист1__10[[#This Row],[Column18]]&lt;&gt;"",Лист1__10[[#This Row],[Column18]],"")</f>
        <v/>
      </c>
      <c r="E26" s="2" t="str">
        <f t="shared" si="0"/>
        <v/>
      </c>
      <c r="F26" s="2" t="str">
        <f t="shared" ref="F26:F41" si="4">IF(E26&lt;&gt;"",100-E26,"")</f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IF(Лист1__10[[#This Row],[Column18]]&lt;&gt;"",Лист1__10[[#This Row],[Column18]],"")</f>
        <v/>
      </c>
      <c r="E27" s="2" t="str">
        <f t="shared" si="0"/>
        <v/>
      </c>
      <c r="F27" s="2" t="str">
        <f t="shared" si="4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IF(Лист1__10[[#This Row],[Column18]]&lt;&gt;"",Лист1__10[[#This Row],[Column18]],"")</f>
        <v/>
      </c>
      <c r="E28" s="2" t="str">
        <f t="shared" si="0"/>
        <v/>
      </c>
      <c r="F28" s="2" t="str">
        <f t="shared" si="4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IF(Лист1__10[[#This Row],[Column18]]&lt;&gt;"",Лист1__10[[#This Row],[Column18]],"")</f>
        <v/>
      </c>
      <c r="E29" s="2" t="str">
        <f t="shared" si="0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IF(Лист1__10[[#This Row],[Column18]]&lt;&gt;"",Лист1__10[[#This Row],[Column18]],"")</f>
        <v/>
      </c>
      <c r="E30" s="2" t="str">
        <f t="shared" si="0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IF(Лист1__10[[#This Row],[Column18]]&lt;&gt;"",Лист1__10[[#This Row],[Column18]],"")</f>
        <v/>
      </c>
      <c r="E31" s="2" t="str">
        <f t="shared" si="0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IF(Лист1__10[[#This Row],[Column18]]&lt;&gt;"",Лист1__10[[#This Row],[Column18]],"")</f>
        <v/>
      </c>
      <c r="E32" s="2" t="str">
        <f t="shared" si="0"/>
        <v/>
      </c>
      <c r="F32" s="2" t="str">
        <f t="shared" si="4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IF(Лист1__10[[#This Row],[Column18]]&lt;&gt;"",Лист1__10[[#This Row],[Column18]],"")</f>
        <v/>
      </c>
      <c r="E33" s="2" t="str">
        <f t="shared" si="0"/>
        <v/>
      </c>
      <c r="F33" s="2" t="str">
        <f t="shared" si="4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IF(Лист1__10[[#This Row],[Column18]]&lt;&gt;"",Лист1__10[[#This Row],[Column18]],"")</f>
        <v/>
      </c>
      <c r="E34" s="2" t="str">
        <f t="shared" si="0"/>
        <v/>
      </c>
      <c r="F34" s="2" t="str">
        <f t="shared" si="4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IF(Лист1__10[[#This Row],[Column18]]&lt;&gt;"",Лист1__10[[#This Row],[Column18]],"")</f>
        <v/>
      </c>
      <c r="E35" s="2" t="str">
        <f t="shared" si="0"/>
        <v/>
      </c>
      <c r="F35" s="2" t="str">
        <f t="shared" si="4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IF(Лист1__10[[#This Row],[Column18]]&lt;&gt;"",Лист1__10[[#This Row],[Column18]],"")</f>
        <v/>
      </c>
      <c r="E36" s="2" t="str">
        <f t="shared" si="0"/>
        <v/>
      </c>
      <c r="F36" s="2" t="str">
        <f t="shared" si="4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IF(Лист1__10[[#This Row],[Column18]]&lt;&gt;"",Лист1__10[[#This Row],[Column18]],"")</f>
        <v/>
      </c>
      <c r="E37" s="2" t="str">
        <f t="shared" si="0"/>
        <v/>
      </c>
      <c r="F37" s="2" t="str">
        <f t="shared" si="4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IF(Лист1__10[[#This Row],[Column18]]&lt;&gt;"",Лист1__10[[#This Row],[Column18]],"")</f>
        <v/>
      </c>
      <c r="E38" s="2" t="str">
        <f t="shared" si="0"/>
        <v/>
      </c>
      <c r="F38" s="2" t="str">
        <f t="shared" si="4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IF(Лист1__10[[#This Row],[Column18]]&lt;&gt;"",Лист1__10[[#This Row],[Column18]],"")</f>
        <v/>
      </c>
      <c r="E39" s="2" t="str">
        <f t="shared" si="0"/>
        <v/>
      </c>
      <c r="F39" s="2" t="str">
        <f t="shared" si="4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IF(Лист1__10[[#This Row],[Column18]]&lt;&gt;"",Лист1__10[[#This Row],[Column18]],"")</f>
        <v/>
      </c>
      <c r="E40" s="2" t="str">
        <f t="shared" si="0"/>
        <v/>
      </c>
      <c r="F40" s="2" t="str">
        <f t="shared" si="4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IF(Лист1__10[[#This Row],[Column18]]&lt;&gt;"",Лист1__10[[#This Row],[Column18]],"")</f>
        <v/>
      </c>
      <c r="E41" s="2" t="str">
        <f t="shared" si="0"/>
        <v/>
      </c>
      <c r="F41" s="2" t="str">
        <f t="shared" si="4"/>
        <v/>
      </c>
    </row>
    <row r="42" spans="1:7" x14ac:dyDescent="0.25">
      <c r="A42" t="s">
        <v>40</v>
      </c>
      <c r="B42">
        <v>43</v>
      </c>
      <c r="D42" s="17">
        <f>SUM(D2:D41)</f>
        <v>1754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A078F-72CE-45C3-8C6F-F2CF5E330A45}">
  <sheetPr codeName="Лист11"/>
  <dimension ref="A1:M42"/>
  <sheetViews>
    <sheetView workbookViewId="0">
      <selection activeCell="O7" sqref="O7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[21]Лист1!$R$2</f>
        <v>153</v>
      </c>
      <c r="L1" s="2" t="s">
        <v>36</v>
      </c>
      <c r="M1" s="2" t="str">
        <f ca="1">MID(CELL("filename",A2),SEARCH("]",CELL("filename",A2))+1,31)</f>
        <v>ЭЖД-32</v>
      </c>
    </row>
    <row r="2" spans="1:13" x14ac:dyDescent="0.25">
      <c r="A2" s="2">
        <v>1</v>
      </c>
      <c r="B2">
        <v>3</v>
      </c>
      <c r="C2">
        <v>76</v>
      </c>
      <c r="D2" s="3">
        <f>IF(Лист1__11[[#This Row],[Column18]]&lt;&gt;"",Лист1__11[[#This Row],[Column18]],"")</f>
        <v>76</v>
      </c>
      <c r="E2" s="2">
        <f>IF(D2&lt;&gt;"",ROUND(D2/$K$1/2*100,2),"")</f>
        <v>24.84</v>
      </c>
      <c r="F2" s="2">
        <f>IF(E2&lt;&gt;"",100-E2,"")</f>
        <v>75.16</v>
      </c>
      <c r="J2" s="8" t="s">
        <v>11</v>
      </c>
      <c r="K2" s="8">
        <f>COUNT(D2:D41)</f>
        <v>23</v>
      </c>
      <c r="L2" s="2" t="s">
        <v>37</v>
      </c>
      <c r="M2" s="2">
        <f>[21]Лист1!$U$1</f>
        <v>16</v>
      </c>
    </row>
    <row r="3" spans="1:13" x14ac:dyDescent="0.25">
      <c r="A3" s="2">
        <v>2</v>
      </c>
      <c r="B3">
        <v>4</v>
      </c>
      <c r="C3">
        <v>212</v>
      </c>
      <c r="D3" s="3">
        <f>IF(Лист1__11[[#This Row],[Column18]]&lt;&gt;"",Лист1__11[[#This Row],[Column18]],"")</f>
        <v>212</v>
      </c>
      <c r="E3" s="2">
        <f t="shared" ref="E3:E41" si="0">IF(D3&lt;&gt;"",ROUND(D3/$K$1/2*100,2),"")</f>
        <v>69.28</v>
      </c>
      <c r="F3" s="2">
        <f t="shared" ref="F3:F41" si="1">IF(E3&lt;&gt;"",100-E3,"")</f>
        <v>30.72</v>
      </c>
      <c r="I3" s="19" t="s">
        <v>33</v>
      </c>
      <c r="J3" s="4" t="s">
        <v>3</v>
      </c>
      <c r="K3" s="2">
        <f>ROUND(L3/$K$2*100,0)</f>
        <v>17</v>
      </c>
      <c r="L3" s="9">
        <f>K2-SUM($L$4:$L$7)</f>
        <v>4</v>
      </c>
    </row>
    <row r="4" spans="1:13" ht="26.25" x14ac:dyDescent="0.25">
      <c r="A4" s="2">
        <v>3</v>
      </c>
      <c r="B4">
        <v>5</v>
      </c>
      <c r="C4">
        <v>44</v>
      </c>
      <c r="D4" s="3">
        <f>IF(Лист1__11[[#This Row],[Column18]]&lt;&gt;"",Лист1__11[[#This Row],[Column18]],"")</f>
        <v>44</v>
      </c>
      <c r="E4" s="2">
        <f t="shared" si="0"/>
        <v>14.38</v>
      </c>
      <c r="F4" s="2">
        <f t="shared" si="1"/>
        <v>85.62</v>
      </c>
      <c r="I4" s="19"/>
      <c r="J4" s="4" t="s">
        <v>4</v>
      </c>
      <c r="K4" s="2">
        <f t="shared" ref="K4:K6" si="2">ROUND(L4/$K$2*100,0)</f>
        <v>30</v>
      </c>
      <c r="L4" s="2">
        <f t="array" ref="L4">SUM(($E$2:$E$37&gt;=10)*(($E$2:$E$37)&lt;30))</f>
        <v>7</v>
      </c>
    </row>
    <row r="5" spans="1:13" ht="26.25" x14ac:dyDescent="0.25">
      <c r="A5" s="2">
        <v>4</v>
      </c>
      <c r="B5">
        <v>6</v>
      </c>
      <c r="C5">
        <v>118</v>
      </c>
      <c r="D5" s="3">
        <f>IF(Лист1__11[[#This Row],[Column18]]&lt;&gt;"",Лист1__11[[#This Row],[Column18]],"")</f>
        <v>118</v>
      </c>
      <c r="E5" s="2">
        <f t="shared" si="0"/>
        <v>38.56</v>
      </c>
      <c r="F5" s="2">
        <f t="shared" si="1"/>
        <v>61.44</v>
      </c>
      <c r="I5" s="19"/>
      <c r="J5" s="4" t="s">
        <v>5</v>
      </c>
      <c r="K5" s="2">
        <f t="shared" si="2"/>
        <v>26</v>
      </c>
      <c r="L5" s="2">
        <f t="array" ref="L5">SUM(($E$2:$E$37&gt;=30)*(($E$2:$E$37)&lt;50))</f>
        <v>6</v>
      </c>
    </row>
    <row r="6" spans="1:13" ht="26.25" x14ac:dyDescent="0.25">
      <c r="A6" s="2">
        <v>5</v>
      </c>
      <c r="B6">
        <v>7</v>
      </c>
      <c r="C6">
        <v>84</v>
      </c>
      <c r="D6" s="3">
        <f>IF(Лист1__11[[#This Row],[Column18]]&lt;&gt;"",Лист1__11[[#This Row],[Column18]],"")</f>
        <v>84</v>
      </c>
      <c r="E6" s="2">
        <f t="shared" si="0"/>
        <v>27.45</v>
      </c>
      <c r="F6" s="2">
        <f t="shared" si="1"/>
        <v>72.55</v>
      </c>
      <c r="I6" s="19"/>
      <c r="J6" s="4" t="s">
        <v>6</v>
      </c>
      <c r="K6" s="2">
        <f t="shared" si="2"/>
        <v>22</v>
      </c>
      <c r="L6" s="2">
        <f t="array" ref="L6">SUM(($E$2:$E$37&gt;=50)*(($E$2:$E$37)&lt;70))</f>
        <v>5</v>
      </c>
    </row>
    <row r="7" spans="1:13" ht="26.25" x14ac:dyDescent="0.25">
      <c r="A7" s="2">
        <v>6</v>
      </c>
      <c r="B7">
        <v>8</v>
      </c>
      <c r="C7">
        <v>152</v>
      </c>
      <c r="D7" s="3">
        <f>IF(Лист1__11[[#This Row],[Column18]]&lt;&gt;"",Лист1__11[[#This Row],[Column18]],"")</f>
        <v>152</v>
      </c>
      <c r="E7" s="2">
        <f t="shared" si="0"/>
        <v>49.67</v>
      </c>
      <c r="F7" s="2">
        <f t="shared" si="1"/>
        <v>50.33</v>
      </c>
      <c r="I7" s="19"/>
      <c r="J7" s="4" t="s">
        <v>7</v>
      </c>
      <c r="K7" s="2">
        <f>100-SUM($K$3:$K$6)</f>
        <v>5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174</v>
      </c>
      <c r="D8" s="3">
        <f>IF(Лист1__11[[#This Row],[Column18]]&lt;&gt;"",Лист1__11[[#This Row],[Column18]],"")</f>
        <v>174</v>
      </c>
      <c r="E8" s="2">
        <f t="shared" si="0"/>
        <v>56.86</v>
      </c>
      <c r="F8" s="2">
        <f t="shared" si="1"/>
        <v>43.14</v>
      </c>
    </row>
    <row r="9" spans="1:13" x14ac:dyDescent="0.25">
      <c r="A9" s="2">
        <v>8</v>
      </c>
      <c r="B9">
        <v>10</v>
      </c>
      <c r="C9">
        <v>60</v>
      </c>
      <c r="D9" s="3">
        <f>IF(Лист1__11[[#This Row],[Column18]]&lt;&gt;"",Лист1__11[[#This Row],[Column18]],"")</f>
        <v>60</v>
      </c>
      <c r="E9" s="2">
        <f t="shared" si="0"/>
        <v>19.61</v>
      </c>
      <c r="F9" s="2">
        <f t="shared" si="1"/>
        <v>80.39</v>
      </c>
      <c r="K9" t="s">
        <v>31</v>
      </c>
    </row>
    <row r="10" spans="1:13" ht="26.25" x14ac:dyDescent="0.25">
      <c r="A10" s="2">
        <v>9</v>
      </c>
      <c r="B10">
        <v>11</v>
      </c>
      <c r="C10">
        <v>98</v>
      </c>
      <c r="D10" s="3">
        <f>IF(Лист1__11[[#This Row],[Column18]]&lt;&gt;"",Лист1__11[[#This Row],[Column18]],"")</f>
        <v>98</v>
      </c>
      <c r="E10" s="2">
        <f t="shared" si="0"/>
        <v>32.03</v>
      </c>
      <c r="F10" s="2">
        <f t="shared" si="1"/>
        <v>67.97</v>
      </c>
      <c r="I10" s="19" t="s">
        <v>34</v>
      </c>
      <c r="J10" s="4" t="s">
        <v>42</v>
      </c>
      <c r="K10" s="2">
        <f t="shared" ref="K10:K13" si="3">ROUND(L10/$K$2*100,0)</f>
        <v>4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240</v>
      </c>
      <c r="D11" s="3">
        <f>IF(Лист1__11[[#This Row],[Column18]]&lt;&gt;"",Лист1__11[[#This Row],[Column18]],"")</f>
        <v>240</v>
      </c>
      <c r="E11" s="2">
        <f t="shared" si="0"/>
        <v>78.430000000000007</v>
      </c>
      <c r="F11" s="2">
        <f t="shared" si="1"/>
        <v>21.569999999999993</v>
      </c>
      <c r="I11" s="19"/>
      <c r="J11" s="4" t="s">
        <v>5</v>
      </c>
      <c r="K11" s="2">
        <f t="shared" si="3"/>
        <v>22</v>
      </c>
      <c r="L11" s="2">
        <f t="array" ref="L11">SUM(($F$2:$F$37&gt;=30)*(($F$2:$F$37)&lt;50))</f>
        <v>5</v>
      </c>
    </row>
    <row r="12" spans="1:13" ht="26.25" x14ac:dyDescent="0.25">
      <c r="A12" s="2">
        <v>11</v>
      </c>
      <c r="B12">
        <v>13</v>
      </c>
      <c r="C12">
        <v>146</v>
      </c>
      <c r="D12" s="3">
        <f>IF(Лист1__11[[#This Row],[Column18]]&lt;&gt;"",Лист1__11[[#This Row],[Column18]],"")</f>
        <v>146</v>
      </c>
      <c r="E12" s="2">
        <f t="shared" si="0"/>
        <v>47.71</v>
      </c>
      <c r="F12" s="2">
        <f t="shared" si="1"/>
        <v>52.29</v>
      </c>
      <c r="I12" s="19"/>
      <c r="J12" s="4" t="s">
        <v>28</v>
      </c>
      <c r="K12" s="2">
        <f t="shared" si="3"/>
        <v>35</v>
      </c>
      <c r="L12" s="2">
        <f t="array" ref="L12">SUM(($F$2:$F$37&gt;=50)*(($F$2:$F$37)&lt;75))</f>
        <v>8</v>
      </c>
    </row>
    <row r="13" spans="1:13" ht="26.25" x14ac:dyDescent="0.25">
      <c r="A13" s="2">
        <v>12</v>
      </c>
      <c r="B13">
        <v>14</v>
      </c>
      <c r="C13">
        <v>0</v>
      </c>
      <c r="D13" s="3">
        <f>IF(Лист1__11[[#This Row],[Column18]]&lt;&gt;"",Лист1__11[[#This Row],[Column18]],"")</f>
        <v>0</v>
      </c>
      <c r="E13" s="2">
        <f t="shared" si="0"/>
        <v>0</v>
      </c>
      <c r="F13" s="2">
        <f t="shared" si="1"/>
        <v>100</v>
      </c>
      <c r="I13" s="19"/>
      <c r="J13" s="4" t="s">
        <v>29</v>
      </c>
      <c r="K13" s="2">
        <f t="shared" si="3"/>
        <v>22</v>
      </c>
      <c r="L13" s="2">
        <f t="array" ref="L13">SUM(($F$2:$F$37&gt;=75)*(($F$2:$F$37)&lt;90))</f>
        <v>5</v>
      </c>
    </row>
    <row r="14" spans="1:13" ht="26.25" x14ac:dyDescent="0.25">
      <c r="A14" s="2">
        <v>13</v>
      </c>
      <c r="B14">
        <v>15</v>
      </c>
      <c r="C14">
        <v>24</v>
      </c>
      <c r="D14" s="3">
        <f>IF(Лист1__11[[#This Row],[Column18]]&lt;&gt;"",Лист1__11[[#This Row],[Column18]],"")</f>
        <v>24</v>
      </c>
      <c r="E14" s="2">
        <f t="shared" si="0"/>
        <v>7.84</v>
      </c>
      <c r="F14" s="2">
        <f t="shared" si="1"/>
        <v>92.16</v>
      </c>
      <c r="I14" s="19"/>
      <c r="J14" s="7" t="s">
        <v>30</v>
      </c>
      <c r="K14" s="2">
        <f>100-SUM($K$9:$K$13)</f>
        <v>17</v>
      </c>
      <c r="L14" s="2">
        <f>$K$2-SUM(L9:L$13)</f>
        <v>4</v>
      </c>
    </row>
    <row r="15" spans="1:13" x14ac:dyDescent="0.25">
      <c r="A15" s="2">
        <v>14</v>
      </c>
      <c r="B15">
        <v>16</v>
      </c>
      <c r="C15">
        <v>86</v>
      </c>
      <c r="D15" s="3">
        <f>IF(Лист1__11[[#This Row],[Column18]]&lt;&gt;"",Лист1__11[[#This Row],[Column18]],"")</f>
        <v>86</v>
      </c>
      <c r="E15" s="2">
        <f t="shared" si="0"/>
        <v>28.1</v>
      </c>
      <c r="F15" s="2">
        <f t="shared" si="1"/>
        <v>71.900000000000006</v>
      </c>
    </row>
    <row r="16" spans="1:13" x14ac:dyDescent="0.25">
      <c r="A16" s="2">
        <v>15</v>
      </c>
      <c r="B16">
        <v>17</v>
      </c>
      <c r="C16">
        <v>140</v>
      </c>
      <c r="D16" s="3">
        <f>IF(Лист1__11[[#This Row],[Column18]]&lt;&gt;"",Лист1__11[[#This Row],[Column18]],"")</f>
        <v>140</v>
      </c>
      <c r="E16" s="2">
        <f t="shared" si="0"/>
        <v>45.75</v>
      </c>
      <c r="F16" s="2">
        <f t="shared" si="1"/>
        <v>54.25</v>
      </c>
    </row>
    <row r="17" spans="1:6" x14ac:dyDescent="0.25">
      <c r="A17" s="2">
        <v>16</v>
      </c>
      <c r="B17">
        <v>18</v>
      </c>
      <c r="C17">
        <v>174</v>
      </c>
      <c r="D17" s="3">
        <f>IF(Лист1__11[[#This Row],[Column18]]&lt;&gt;"",Лист1__11[[#This Row],[Column18]],"")</f>
        <v>174</v>
      </c>
      <c r="E17" s="2">
        <f t="shared" si="0"/>
        <v>56.86</v>
      </c>
      <c r="F17" s="2">
        <f t="shared" si="1"/>
        <v>43.14</v>
      </c>
    </row>
    <row r="18" spans="1:6" x14ac:dyDescent="0.25">
      <c r="A18" s="2">
        <v>17</v>
      </c>
      <c r="B18">
        <v>19</v>
      </c>
      <c r="C18">
        <v>100</v>
      </c>
      <c r="D18" s="3">
        <f>IF(Лист1__11[[#This Row],[Column18]]&lt;&gt;"",Лист1__11[[#This Row],[Column18]],"")</f>
        <v>100</v>
      </c>
      <c r="E18" s="2">
        <f t="shared" si="0"/>
        <v>32.68</v>
      </c>
      <c r="F18" s="2">
        <f t="shared" si="1"/>
        <v>67.319999999999993</v>
      </c>
    </row>
    <row r="19" spans="1:6" x14ac:dyDescent="0.25">
      <c r="A19" s="2">
        <v>18</v>
      </c>
      <c r="B19">
        <v>20</v>
      </c>
      <c r="C19">
        <v>160</v>
      </c>
      <c r="D19" s="3">
        <f>IF(Лист1__11[[#This Row],[Column18]]&lt;&gt;"",Лист1__11[[#This Row],[Column18]],"")</f>
        <v>160</v>
      </c>
      <c r="E19" s="2">
        <f t="shared" si="0"/>
        <v>52.29</v>
      </c>
      <c r="F19" s="2">
        <f t="shared" si="1"/>
        <v>47.71</v>
      </c>
    </row>
    <row r="20" spans="1:6" x14ac:dyDescent="0.25">
      <c r="A20" s="2">
        <v>19</v>
      </c>
      <c r="B20">
        <v>21</v>
      </c>
      <c r="C20">
        <v>48</v>
      </c>
      <c r="D20" s="3">
        <f>IF(Лист1__11[[#This Row],[Column18]]&lt;&gt;"",Лист1__11[[#This Row],[Column18]],"")</f>
        <v>48</v>
      </c>
      <c r="E20" s="2">
        <f t="shared" si="0"/>
        <v>15.69</v>
      </c>
      <c r="F20" s="2">
        <f t="shared" si="1"/>
        <v>84.31</v>
      </c>
    </row>
    <row r="21" spans="1:6" x14ac:dyDescent="0.25">
      <c r="A21" s="2">
        <v>20</v>
      </c>
      <c r="B21">
        <v>22</v>
      </c>
      <c r="C21">
        <v>28</v>
      </c>
      <c r="D21" s="3">
        <f>IF(Лист1__11[[#This Row],[Column18]]&lt;&gt;"",Лист1__11[[#This Row],[Column18]],"")</f>
        <v>28</v>
      </c>
      <c r="E21" s="2">
        <f t="shared" si="0"/>
        <v>9.15</v>
      </c>
      <c r="F21" s="2">
        <f t="shared" si="1"/>
        <v>90.85</v>
      </c>
    </row>
    <row r="22" spans="1:6" x14ac:dyDescent="0.25">
      <c r="A22" s="2">
        <v>21</v>
      </c>
      <c r="B22">
        <v>23</v>
      </c>
      <c r="C22">
        <v>4</v>
      </c>
      <c r="D22" s="3">
        <f>IF(Лист1__11[[#This Row],[Column18]]&lt;&gt;"",Лист1__11[[#This Row],[Column18]],"")</f>
        <v>4</v>
      </c>
      <c r="E22" s="2">
        <f t="shared" si="0"/>
        <v>1.31</v>
      </c>
      <c r="F22" s="2">
        <f t="shared" si="1"/>
        <v>98.69</v>
      </c>
    </row>
    <row r="23" spans="1:6" x14ac:dyDescent="0.25">
      <c r="A23" s="2">
        <v>22</v>
      </c>
      <c r="B23">
        <v>24</v>
      </c>
      <c r="C23">
        <v>34</v>
      </c>
      <c r="D23" s="3">
        <f>IF(Лист1__11[[#This Row],[Column18]]&lt;&gt;"",Лист1__11[[#This Row],[Column18]],"")</f>
        <v>34</v>
      </c>
      <c r="E23" s="2">
        <f t="shared" si="0"/>
        <v>11.11</v>
      </c>
      <c r="F23" s="2">
        <f t="shared" si="1"/>
        <v>88.89</v>
      </c>
    </row>
    <row r="24" spans="1:6" x14ac:dyDescent="0.25">
      <c r="A24" s="2">
        <v>23</v>
      </c>
      <c r="B24">
        <v>25</v>
      </c>
      <c r="C24">
        <v>158</v>
      </c>
      <c r="D24" s="3">
        <f>IF(Лист1__11[[#This Row],[Column18]]&lt;&gt;"",Лист1__11[[#This Row],[Column18]],"")</f>
        <v>158</v>
      </c>
      <c r="E24" s="2">
        <f t="shared" si="0"/>
        <v>51.63</v>
      </c>
      <c r="F24" s="2">
        <f t="shared" si="1"/>
        <v>48.37</v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IF(Лист1__11[[#This Row],[Column18]]&lt;&gt;"",Лист1__11[[#This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IF(Лист1__11[[#This Row],[Column18]]&lt;&gt;"",Лист1__11[[#This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IF(Лист1__11[[#This Row],[Column18]]&lt;&gt;"",Лист1__11[[#This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IF(Лист1__11[[#This Row],[Column18]]&lt;&gt;"",Лист1__11[[#This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IF(Лист1__11[[#This Row],[Column18]]&lt;&gt;"",Лист1__11[[#This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IF(Лист1__11[[#This Row],[Column18]]&lt;&gt;"",Лист1__11[[#This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IF(Лист1__11[[#This Row],[Column18]]&lt;&gt;"",Лист1__11[[#This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IF(Лист1__11[[#This Row],[Column18]]&lt;&gt;"",Лист1__11[[#This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IF(Лист1__11[[#This Row],[Column18]]&lt;&gt;"",Лист1__11[[#This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IF(Лист1__11[[#This Row],[Column18]]&lt;&gt;"",Лист1__11[[#This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IF(Лист1__11[[#This Row],[Column18]]&lt;&gt;"",Лист1__11[[#This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IF(Лист1__11[[#This Row],[Column18]]&lt;&gt;"",Лист1__11[[#This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IF(Лист1__11[[#This Row],[Column18]]&lt;&gt;"",Лист1__11[[#This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IF(Лист1__11[[#This Row],[Column18]]&lt;&gt;"",Лист1__11[[#This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IF(Лист1__11[[#This Row],[Column18]]&lt;&gt;"",Лист1__11[[#This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IF(Лист1__11[[#This Row],[Column18]]&lt;&gt;"",Лист1__11[[#This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IF(Лист1__11[[#This Row],[Column18]]&lt;&gt;"",Лист1__11[[#This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2360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84FF-0AB4-45E2-B9E5-B351B1972BE1}">
  <sheetPr codeName="Лист12"/>
  <dimension ref="A1:M42"/>
  <sheetViews>
    <sheetView workbookViewId="0">
      <selection activeCell="N5" sqref="N5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[22]Лист1!$R$2</f>
        <v>154</v>
      </c>
      <c r="L1" s="2" t="s">
        <v>36</v>
      </c>
      <c r="M1" s="2" t="str">
        <f ca="1">MID(CELL("filename",A2),SEARCH("]",CELL("filename",A2))+1,31)</f>
        <v>ЭЖД-31</v>
      </c>
    </row>
    <row r="2" spans="1:13" x14ac:dyDescent="0.25">
      <c r="A2" s="2">
        <v>1</v>
      </c>
      <c r="B2">
        <v>3</v>
      </c>
      <c r="C2">
        <v>78</v>
      </c>
      <c r="D2" s="3">
        <f>IF(Лист1__13[[#This Row],[Column18]]&lt;&gt;"",Лист1__13[[#This Row],[Column18]],"")</f>
        <v>78</v>
      </c>
      <c r="E2" s="2">
        <f>IF(D2&lt;&gt;"",ROUND(D2/$K$1/2*100,2),"")</f>
        <v>25.32</v>
      </c>
      <c r="F2" s="2">
        <f>IF(E2&lt;&gt;"",100-E2,"")</f>
        <v>74.680000000000007</v>
      </c>
      <c r="J2" s="8" t="s">
        <v>11</v>
      </c>
      <c r="K2" s="8">
        <f>COUNT(D2:D41)</f>
        <v>13</v>
      </c>
      <c r="L2" s="2" t="s">
        <v>37</v>
      </c>
      <c r="M2" s="2">
        <f>[22]Лист1!$U$1</f>
        <v>16</v>
      </c>
    </row>
    <row r="3" spans="1:13" x14ac:dyDescent="0.25">
      <c r="A3" s="2">
        <v>2</v>
      </c>
      <c r="B3">
        <v>4</v>
      </c>
      <c r="C3">
        <v>2</v>
      </c>
      <c r="D3" s="3">
        <f>IF(Лист1__13[[#This Row],[Column18]]&lt;&gt;"",Лист1__13[[#This Row],[Column18]],"")</f>
        <v>2</v>
      </c>
      <c r="E3" s="2">
        <f t="shared" ref="E3:E41" si="0">IF(D3&lt;&gt;"",ROUND(D3/$K$1/2*100,2),"")</f>
        <v>0.65</v>
      </c>
      <c r="F3" s="2">
        <f t="shared" ref="F3:F41" si="1">IF(E3&lt;&gt;"",100-E3,"")</f>
        <v>99.35</v>
      </c>
      <c r="I3" s="19" t="s">
        <v>33</v>
      </c>
      <c r="J3" s="4" t="s">
        <v>3</v>
      </c>
      <c r="K3" s="2">
        <f>ROUND(L3/$K$2*100,0)</f>
        <v>23</v>
      </c>
      <c r="L3" s="9">
        <f>K2-SUM($L$4:$L$7)</f>
        <v>3</v>
      </c>
    </row>
    <row r="4" spans="1:13" ht="26.25" x14ac:dyDescent="0.25">
      <c r="A4" s="2">
        <v>3</v>
      </c>
      <c r="B4">
        <v>5</v>
      </c>
      <c r="C4">
        <v>30</v>
      </c>
      <c r="D4" s="3">
        <f>IF(Лист1__13[[#This Row],[Column18]]&lt;&gt;"",Лист1__13[[#This Row],[Column18]],"")</f>
        <v>30</v>
      </c>
      <c r="E4" s="2">
        <f t="shared" si="0"/>
        <v>9.74</v>
      </c>
      <c r="F4" s="2">
        <f t="shared" si="1"/>
        <v>90.26</v>
      </c>
      <c r="I4" s="19"/>
      <c r="J4" s="4" t="s">
        <v>4</v>
      </c>
      <c r="K4" s="2">
        <f t="shared" ref="K4:K6" si="2">ROUND(L4/$K$2*100,0)</f>
        <v>46</v>
      </c>
      <c r="L4" s="2">
        <f t="array" ref="L4">SUM(($E$2:$E$37&gt;=10)*(($E$2:$E$37)&lt;30))</f>
        <v>6</v>
      </c>
    </row>
    <row r="5" spans="1:13" ht="26.25" x14ac:dyDescent="0.25">
      <c r="A5" s="2">
        <v>4</v>
      </c>
      <c r="B5">
        <v>6</v>
      </c>
      <c r="C5">
        <v>116</v>
      </c>
      <c r="D5" s="3">
        <f>IF(Лист1__13[[#This Row],[Column18]]&lt;&gt;"",Лист1__13[[#This Row],[Column18]],"")</f>
        <v>116</v>
      </c>
      <c r="E5" s="2">
        <f t="shared" si="0"/>
        <v>37.659999999999997</v>
      </c>
      <c r="F5" s="2">
        <f t="shared" si="1"/>
        <v>62.34</v>
      </c>
      <c r="I5" s="19"/>
      <c r="J5" s="4" t="s">
        <v>5</v>
      </c>
      <c r="K5" s="2">
        <f t="shared" si="2"/>
        <v>23</v>
      </c>
      <c r="L5" s="2">
        <f t="array" ref="L5">SUM(($E$2:$E$37&gt;=30)*(($E$2:$E$37)&lt;50))</f>
        <v>3</v>
      </c>
    </row>
    <row r="6" spans="1:13" ht="26.25" x14ac:dyDescent="0.25">
      <c r="A6" s="2">
        <v>5</v>
      </c>
      <c r="B6">
        <v>7</v>
      </c>
      <c r="C6">
        <v>36</v>
      </c>
      <c r="D6" s="3">
        <f>IF(Лист1__13[[#This Row],[Column18]]&lt;&gt;"",Лист1__13[[#This Row],[Column18]],"")</f>
        <v>36</v>
      </c>
      <c r="E6" s="2">
        <f t="shared" si="0"/>
        <v>11.69</v>
      </c>
      <c r="F6" s="2">
        <f t="shared" si="1"/>
        <v>88.31</v>
      </c>
      <c r="I6" s="19"/>
      <c r="J6" s="4" t="s">
        <v>6</v>
      </c>
      <c r="K6" s="2">
        <f t="shared" si="2"/>
        <v>8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>
        <v>8</v>
      </c>
      <c r="C7">
        <v>118</v>
      </c>
      <c r="D7" s="3">
        <f>IF(Лист1__13[[#This Row],[Column18]]&lt;&gt;"",Лист1__13[[#This Row],[Column18]],"")</f>
        <v>118</v>
      </c>
      <c r="E7" s="2">
        <f t="shared" si="0"/>
        <v>38.31</v>
      </c>
      <c r="F7" s="2">
        <f t="shared" si="1"/>
        <v>61.69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42</v>
      </c>
      <c r="D8" s="3">
        <f>IF(Лист1__13[[#This Row],[Column18]]&lt;&gt;"",Лист1__13[[#This Row],[Column18]],"")</f>
        <v>42</v>
      </c>
      <c r="E8" s="2">
        <f t="shared" si="0"/>
        <v>13.64</v>
      </c>
      <c r="F8" s="2">
        <f t="shared" si="1"/>
        <v>86.36</v>
      </c>
    </row>
    <row r="9" spans="1:13" x14ac:dyDescent="0.25">
      <c r="A9" s="2">
        <v>8</v>
      </c>
      <c r="B9">
        <v>10</v>
      </c>
      <c r="C9">
        <v>80</v>
      </c>
      <c r="D9" s="3">
        <f>IF(Лист1__13[[#This Row],[Column18]]&lt;&gt;"",Лист1__13[[#This Row],[Column18]],"")</f>
        <v>80</v>
      </c>
      <c r="E9" s="2">
        <f t="shared" si="0"/>
        <v>25.97</v>
      </c>
      <c r="F9" s="2">
        <f t="shared" si="1"/>
        <v>74.03</v>
      </c>
      <c r="K9" t="s">
        <v>31</v>
      </c>
    </row>
    <row r="10" spans="1:13" ht="26.25" x14ac:dyDescent="0.25">
      <c r="A10" s="2">
        <v>9</v>
      </c>
      <c r="B10">
        <v>11</v>
      </c>
      <c r="C10">
        <v>46</v>
      </c>
      <c r="D10" s="3">
        <f>IF(Лист1__13[[#This Row],[Column18]]&lt;&gt;"",Лист1__13[[#This Row],[Column18]],"")</f>
        <v>46</v>
      </c>
      <c r="E10" s="2">
        <f t="shared" si="0"/>
        <v>14.94</v>
      </c>
      <c r="F10" s="2">
        <f t="shared" si="1"/>
        <v>85.06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162</v>
      </c>
      <c r="D11" s="3">
        <f>IF(Лист1__13[[#This Row],[Column18]]&lt;&gt;"",Лист1__13[[#This Row],[Column18]],"")</f>
        <v>162</v>
      </c>
      <c r="E11" s="2">
        <f t="shared" si="0"/>
        <v>52.6</v>
      </c>
      <c r="F11" s="2">
        <f t="shared" si="1"/>
        <v>47.4</v>
      </c>
      <c r="I11" s="19"/>
      <c r="J11" s="4" t="s">
        <v>5</v>
      </c>
      <c r="K11" s="2">
        <f t="shared" si="3"/>
        <v>8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>
        <v>13</v>
      </c>
      <c r="C12">
        <v>90</v>
      </c>
      <c r="D12" s="3">
        <f>IF(Лист1__13[[#This Row],[Column18]]&lt;&gt;"",Лист1__13[[#This Row],[Column18]],"")</f>
        <v>90</v>
      </c>
      <c r="E12" s="2">
        <f t="shared" si="0"/>
        <v>29.22</v>
      </c>
      <c r="F12" s="2">
        <f t="shared" si="1"/>
        <v>70.78</v>
      </c>
      <c r="I12" s="19"/>
      <c r="J12" s="4" t="s">
        <v>28</v>
      </c>
      <c r="K12" s="2">
        <f t="shared" si="3"/>
        <v>46</v>
      </c>
      <c r="L12" s="2">
        <f t="array" ref="L12">SUM(($F$2:$F$37&gt;=50)*(($F$2:$F$37)&lt;75))</f>
        <v>6</v>
      </c>
    </row>
    <row r="13" spans="1:13" ht="26.25" x14ac:dyDescent="0.25">
      <c r="A13" s="2">
        <v>12</v>
      </c>
      <c r="B13">
        <v>14</v>
      </c>
      <c r="C13">
        <v>108</v>
      </c>
      <c r="D13" s="3">
        <f>IF(Лист1__13[[#This Row],[Column18]]&lt;&gt;"",Лист1__13[[#This Row],[Column18]],"")</f>
        <v>108</v>
      </c>
      <c r="E13" s="2">
        <f t="shared" si="0"/>
        <v>35.06</v>
      </c>
      <c r="F13" s="2">
        <f t="shared" si="1"/>
        <v>64.94</v>
      </c>
      <c r="I13" s="19"/>
      <c r="J13" s="4" t="s">
        <v>29</v>
      </c>
      <c r="K13" s="2">
        <f t="shared" si="3"/>
        <v>23</v>
      </c>
      <c r="L13" s="2">
        <f t="array" ref="L13">SUM(($F$2:$F$37&gt;=75)*(($F$2:$F$37)&lt;90))</f>
        <v>3</v>
      </c>
    </row>
    <row r="14" spans="1:13" ht="26.25" x14ac:dyDescent="0.25">
      <c r="A14" s="2">
        <v>13</v>
      </c>
      <c r="B14">
        <v>15</v>
      </c>
      <c r="C14">
        <v>0</v>
      </c>
      <c r="D14" s="3">
        <f>IF(Лист1__13[[#This Row],[Column18]]&lt;&gt;"",Лист1__13[[#This Row],[Column18]],"")</f>
        <v>0</v>
      </c>
      <c r="E14" s="2">
        <f t="shared" si="0"/>
        <v>0</v>
      </c>
      <c r="F14" s="2">
        <f t="shared" si="1"/>
        <v>100</v>
      </c>
      <c r="I14" s="19"/>
      <c r="J14" s="7" t="s">
        <v>30</v>
      </c>
      <c r="K14" s="2">
        <f>100-SUM($K$9:$K$13)</f>
        <v>23</v>
      </c>
      <c r="L14" s="2">
        <f>$K$2-SUM(L9:L$13)</f>
        <v>3</v>
      </c>
    </row>
    <row r="15" spans="1:13" x14ac:dyDescent="0.25">
      <c r="A15" s="2">
        <v>14</v>
      </c>
      <c r="B15">
        <v>16</v>
      </c>
      <c r="C15" t="s">
        <v>38</v>
      </c>
      <c r="D15" s="3" t="str">
        <f>IF(Лист1__13[[#This Row],[Column18]]&lt;&gt;"",Лист1__13[[#This Row],[Column18]],"")</f>
        <v/>
      </c>
      <c r="E15" s="2" t="str">
        <f t="shared" si="0"/>
        <v/>
      </c>
      <c r="F15" s="2" t="str">
        <f t="shared" si="1"/>
        <v/>
      </c>
    </row>
    <row r="16" spans="1:13" x14ac:dyDescent="0.25">
      <c r="A16" s="2">
        <v>15</v>
      </c>
      <c r="B16">
        <v>17</v>
      </c>
      <c r="C16" t="s">
        <v>38</v>
      </c>
      <c r="D16" s="3" t="str">
        <f>IF(Лист1__13[[#This Row],[Column18]]&lt;&gt;"",Лист1__13[[#This Row],[Column18]],"")</f>
        <v/>
      </c>
      <c r="E16" s="2" t="str">
        <f t="shared" si="0"/>
        <v/>
      </c>
      <c r="F16" s="2" t="str">
        <f t="shared" si="1"/>
        <v/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IF(Лист1__13[[#This Row],[Column18]]&lt;&gt;"",Лист1__13[[#This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IF(Лист1__13[[#This Row],[Column18]]&lt;&gt;"",Лист1__13[[#This Row],[Column18]],"")</f>
        <v/>
      </c>
      <c r="E18" s="2" t="str">
        <f t="shared" si="0"/>
        <v/>
      </c>
      <c r="F18" s="2" t="str">
        <f t="shared" si="1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IF(Лист1__13[[#This Row],[Column18]]&lt;&gt;"",Лист1__13[[#This Row],[Column18]],"")</f>
        <v/>
      </c>
      <c r="E19" s="2" t="str">
        <f t="shared" si="0"/>
        <v/>
      </c>
      <c r="F19" s="2" t="str">
        <f t="shared" si="1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IF(Лист1__13[[#This Row],[Column18]]&lt;&gt;"",Лист1__13[[#This Row],[Column18]],"")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IF(Лист1__13[[#This Row],[Column18]]&lt;&gt;"",Лист1__13[[#This Row],[Column18]],"")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IF(Лист1__13[[#This Row],[Column18]]&lt;&gt;"",Лист1__13[[#This Row],[Column18]],"")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IF(Лист1__13[[#This Row],[Column18]]&lt;&gt;"",Лист1__13[[#This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IF(Лист1__13[[#This Row],[Column18]]&lt;&gt;"",Лист1__13[[#This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IF(Лист1__13[[#This Row],[Column18]]&lt;&gt;"",Лист1__13[[#This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IF(Лист1__13[[#This Row],[Column18]]&lt;&gt;"",Лист1__13[[#This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IF(Лист1__13[[#This Row],[Column18]]&lt;&gt;"",Лист1__13[[#This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IF(Лист1__13[[#This Row],[Column18]]&lt;&gt;"",Лист1__13[[#This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IF(Лист1__13[[#This Row],[Column18]]&lt;&gt;"",Лист1__13[[#This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IF(Лист1__13[[#This Row],[Column18]]&lt;&gt;"",Лист1__13[[#This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IF(Лист1__13[[#This Row],[Column18]]&lt;&gt;"",Лист1__13[[#This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IF(Лист1__13[[#This Row],[Column18]]&lt;&gt;"",Лист1__13[[#This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IF(Лист1__13[[#This Row],[Column18]]&lt;&gt;"",Лист1__13[[#This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IF(Лист1__13[[#This Row],[Column18]]&lt;&gt;"",Лист1__13[[#This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IF(Лист1__13[[#This Row],[Column18]]&lt;&gt;"",Лист1__13[[#This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IF(Лист1__13[[#This Row],[Column18]]&lt;&gt;"",Лист1__13[[#This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IF(Лист1__13[[#This Row],[Column18]]&lt;&gt;"",Лист1__13[[#This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IF(Лист1__13[[#This Row],[Column18]]&lt;&gt;"",Лист1__13[[#This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IF(Лист1__13[[#This Row],[Column18]]&lt;&gt;"",Лист1__13[[#This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IF(Лист1__13[[#This Row],[Column18]]&lt;&gt;"",Лист1__13[[#This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IF(Лист1__13[[#This Row],[Column18]]&lt;&gt;"",Лист1__13[[#This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908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0EB8C-BF9E-43E5-8FB4-4162C72ADC77}">
  <sheetPr codeName="Лист15"/>
  <dimension ref="A1:M42"/>
  <sheetViews>
    <sheetView workbookViewId="0">
      <selection activeCell="N11" sqref="N11"/>
    </sheetView>
  </sheetViews>
  <sheetFormatPr defaultRowHeight="15" x14ac:dyDescent="0.25"/>
  <cols>
    <col min="2" max="2" width="13.57031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[23]Лист1!$R$2</f>
        <v>203</v>
      </c>
      <c r="L1" s="2" t="s">
        <v>36</v>
      </c>
      <c r="M1" s="2" t="str">
        <f ca="1">MID(CELL("filename",A2),SEARCH("]",CELL("filename",A2))+1,31)</f>
        <v>УПб-31</v>
      </c>
    </row>
    <row r="2" spans="1:13" x14ac:dyDescent="0.25">
      <c r="A2" s="2">
        <v>1</v>
      </c>
      <c r="B2">
        <v>3</v>
      </c>
      <c r="C2">
        <v>36</v>
      </c>
      <c r="D2" s="3">
        <f>IF(Лист1__16[[#This Row],[Column18]]&lt;&gt;"",Лист1__16[[#This Row],[Column18]],"")</f>
        <v>36</v>
      </c>
      <c r="E2" s="2">
        <f>IF(D2&lt;&gt;"",ROUND(D2/$K$1/2*100,2),"")</f>
        <v>8.8699999999999992</v>
      </c>
      <c r="F2" s="2">
        <f>IF(E2&lt;&gt;"",100-E2,"")</f>
        <v>91.13</v>
      </c>
      <c r="J2" s="8" t="s">
        <v>11</v>
      </c>
      <c r="K2" s="8">
        <f>COUNT(D2:D41)</f>
        <v>26</v>
      </c>
      <c r="L2" s="2" t="s">
        <v>37</v>
      </c>
      <c r="M2" s="2">
        <f>[23]Лист1!$U$1</f>
        <v>16</v>
      </c>
    </row>
    <row r="3" spans="1:13" x14ac:dyDescent="0.25">
      <c r="A3" s="2">
        <v>2</v>
      </c>
      <c r="B3">
        <v>4</v>
      </c>
      <c r="C3">
        <v>376</v>
      </c>
      <c r="D3" s="3">
        <f>IF(Лист1__16[[#This Row],[Column18]]&lt;&gt;"",Лист1__16[[#This Row],[Column18]],"")</f>
        <v>376</v>
      </c>
      <c r="E3" s="2">
        <f t="shared" ref="E3:E41" si="0">IF(D3&lt;&gt;"",ROUND(D3/$K$1/2*100,2),"")</f>
        <v>92.61</v>
      </c>
      <c r="F3" s="2">
        <f t="shared" ref="F3:F41" si="1">IF(E3&lt;&gt;"",100-E3,"")</f>
        <v>7.3900000000000006</v>
      </c>
      <c r="I3" s="19" t="s">
        <v>33</v>
      </c>
      <c r="J3" s="4" t="s">
        <v>3</v>
      </c>
      <c r="K3" s="2">
        <f>ROUND(L3/$K$2*100,0)</f>
        <v>23</v>
      </c>
      <c r="L3" s="9">
        <f>K2-SUM($L$4:$L$7)</f>
        <v>6</v>
      </c>
    </row>
    <row r="4" spans="1:13" ht="26.25" x14ac:dyDescent="0.25">
      <c r="A4" s="2">
        <v>3</v>
      </c>
      <c r="B4">
        <v>5</v>
      </c>
      <c r="C4">
        <v>74</v>
      </c>
      <c r="D4" s="3">
        <f>IF(Лист1__16[[#This Row],[Column18]]&lt;&gt;"",Лист1__16[[#This Row],[Column18]],"")</f>
        <v>74</v>
      </c>
      <c r="E4" s="2">
        <f t="shared" si="0"/>
        <v>18.23</v>
      </c>
      <c r="F4" s="2">
        <f t="shared" si="1"/>
        <v>81.77</v>
      </c>
      <c r="I4" s="19"/>
      <c r="J4" s="4" t="s">
        <v>4</v>
      </c>
      <c r="K4" s="2">
        <f t="shared" ref="K4:K6" si="2">ROUND(L4/$K$2*100,0)</f>
        <v>27</v>
      </c>
      <c r="L4" s="2">
        <f t="array" ref="L4">SUM(($E$2:$E$37&gt;=10)*(($E$2:$E$37)&lt;30))</f>
        <v>7</v>
      </c>
    </row>
    <row r="5" spans="1:13" ht="26.25" x14ac:dyDescent="0.25">
      <c r="A5" s="2">
        <v>4</v>
      </c>
      <c r="B5">
        <v>6</v>
      </c>
      <c r="C5">
        <v>112</v>
      </c>
      <c r="D5" s="3">
        <f>IF(Лист1__16[[#This Row],[Column18]]&lt;&gt;"",Лист1__16[[#This Row],[Column18]],"")</f>
        <v>112</v>
      </c>
      <c r="E5" s="2">
        <f t="shared" si="0"/>
        <v>27.59</v>
      </c>
      <c r="F5" s="2">
        <f t="shared" si="1"/>
        <v>72.41</v>
      </c>
      <c r="I5" s="19"/>
      <c r="J5" s="4" t="s">
        <v>5</v>
      </c>
      <c r="K5" s="2">
        <f t="shared" si="2"/>
        <v>23</v>
      </c>
      <c r="L5" s="2">
        <f t="array" ref="L5">SUM(($E$2:$E$37&gt;=30)*(($E$2:$E$37)&lt;50))</f>
        <v>6</v>
      </c>
    </row>
    <row r="6" spans="1:13" ht="26.25" x14ac:dyDescent="0.25">
      <c r="A6" s="2">
        <v>5</v>
      </c>
      <c r="B6">
        <v>7</v>
      </c>
      <c r="C6">
        <v>188</v>
      </c>
      <c r="D6" s="3">
        <f>IF(Лист1__16[[#This Row],[Column18]]&lt;&gt;"",Лист1__16[[#This Row],[Column18]],"")</f>
        <v>188</v>
      </c>
      <c r="E6" s="2">
        <f t="shared" si="0"/>
        <v>46.31</v>
      </c>
      <c r="F6" s="2">
        <f t="shared" si="1"/>
        <v>53.69</v>
      </c>
      <c r="I6" s="19"/>
      <c r="J6" s="4" t="s">
        <v>6</v>
      </c>
      <c r="K6" s="2">
        <f t="shared" si="2"/>
        <v>15</v>
      </c>
      <c r="L6" s="2">
        <f t="array" ref="L6">SUM(($E$2:$E$37&gt;=50)*(($E$2:$E$37)&lt;70))</f>
        <v>4</v>
      </c>
    </row>
    <row r="7" spans="1:13" ht="26.25" x14ac:dyDescent="0.25">
      <c r="A7" s="2">
        <v>6</v>
      </c>
      <c r="B7">
        <v>8</v>
      </c>
      <c r="C7">
        <v>16</v>
      </c>
      <c r="D7" s="3">
        <f>IF(Лист1__16[[#This Row],[Column18]]&lt;&gt;"",Лист1__16[[#This Row],[Column18]],"")</f>
        <v>16</v>
      </c>
      <c r="E7" s="2">
        <f t="shared" si="0"/>
        <v>3.94</v>
      </c>
      <c r="F7" s="2">
        <f t="shared" si="1"/>
        <v>96.06</v>
      </c>
      <c r="I7" s="19"/>
      <c r="J7" s="4" t="s">
        <v>7</v>
      </c>
      <c r="K7" s="2">
        <f>100-SUM($K$3:$K$6)</f>
        <v>12</v>
      </c>
      <c r="L7" s="2">
        <f t="array" ref="L7">SUM(($E$2:$E$37&gt;=70)*(($E$2:$E$37)&lt;100))</f>
        <v>3</v>
      </c>
    </row>
    <row r="8" spans="1:13" x14ac:dyDescent="0.25">
      <c r="A8" s="2">
        <v>7</v>
      </c>
      <c r="B8">
        <v>9</v>
      </c>
      <c r="C8">
        <v>152</v>
      </c>
      <c r="D8" s="3">
        <f>IF(Лист1__16[[#This Row],[Column18]]&lt;&gt;"",Лист1__16[[#This Row],[Column18]],"")</f>
        <v>152</v>
      </c>
      <c r="E8" s="2">
        <f t="shared" si="0"/>
        <v>37.44</v>
      </c>
      <c r="F8" s="2">
        <f t="shared" si="1"/>
        <v>62.56</v>
      </c>
    </row>
    <row r="9" spans="1:13" x14ac:dyDescent="0.25">
      <c r="A9" s="2">
        <v>8</v>
      </c>
      <c r="B9">
        <v>10</v>
      </c>
      <c r="C9">
        <v>22</v>
      </c>
      <c r="D9" s="3">
        <f>IF(Лист1__16[[#This Row],[Column18]]&lt;&gt;"",Лист1__16[[#This Row],[Column18]],"")</f>
        <v>22</v>
      </c>
      <c r="E9" s="2">
        <f t="shared" si="0"/>
        <v>5.42</v>
      </c>
      <c r="F9" s="2">
        <f t="shared" si="1"/>
        <v>94.58</v>
      </c>
      <c r="K9" t="s">
        <v>31</v>
      </c>
    </row>
    <row r="10" spans="1:13" ht="26.25" x14ac:dyDescent="0.25">
      <c r="A10" s="2">
        <v>9</v>
      </c>
      <c r="B10">
        <v>11</v>
      </c>
      <c r="C10">
        <v>230</v>
      </c>
      <c r="D10" s="3">
        <f>IF(Лист1__16[[#This Row],[Column18]]&lt;&gt;"",Лист1__16[[#This Row],[Column18]],"")</f>
        <v>230</v>
      </c>
      <c r="E10" s="2">
        <f t="shared" si="0"/>
        <v>56.65</v>
      </c>
      <c r="F10" s="2">
        <f t="shared" si="1"/>
        <v>43.35</v>
      </c>
      <c r="I10" s="19" t="s">
        <v>34</v>
      </c>
      <c r="J10" s="4" t="s">
        <v>42</v>
      </c>
      <c r="K10" s="2">
        <f t="shared" ref="K10:K13" si="3">ROUND(L10/$K$2*100,0)</f>
        <v>12</v>
      </c>
      <c r="L10" s="2">
        <f t="array" ref="L10">SUM(($F$2:$F$37&gt;=0)*(($F$2:$F$37)&lt;30))</f>
        <v>3</v>
      </c>
    </row>
    <row r="11" spans="1:13" ht="26.25" x14ac:dyDescent="0.25">
      <c r="A11" s="2">
        <v>10</v>
      </c>
      <c r="B11">
        <v>12</v>
      </c>
      <c r="C11">
        <v>150</v>
      </c>
      <c r="D11" s="3">
        <f>IF(Лист1__16[[#This Row],[Column18]]&lt;&gt;"",Лист1__16[[#This Row],[Column18]],"")</f>
        <v>150</v>
      </c>
      <c r="E11" s="2">
        <f t="shared" si="0"/>
        <v>36.950000000000003</v>
      </c>
      <c r="F11" s="2">
        <f t="shared" si="1"/>
        <v>63.05</v>
      </c>
      <c r="I11" s="19"/>
      <c r="J11" s="4" t="s">
        <v>5</v>
      </c>
      <c r="K11" s="2">
        <f t="shared" si="3"/>
        <v>15</v>
      </c>
      <c r="L11" s="2">
        <f t="array" ref="L11">SUM(($F$2:$F$37&gt;=30)*(($F$2:$F$37)&lt;50))</f>
        <v>4</v>
      </c>
    </row>
    <row r="12" spans="1:13" ht="26.25" x14ac:dyDescent="0.25">
      <c r="A12" s="2">
        <v>11</v>
      </c>
      <c r="B12">
        <v>13</v>
      </c>
      <c r="C12">
        <v>178</v>
      </c>
      <c r="D12" s="3">
        <f>IF(Лист1__16[[#This Row],[Column18]]&lt;&gt;"",Лист1__16[[#This Row],[Column18]],"")</f>
        <v>178</v>
      </c>
      <c r="E12" s="2">
        <f t="shared" si="0"/>
        <v>43.84</v>
      </c>
      <c r="F12" s="2">
        <f t="shared" si="1"/>
        <v>56.16</v>
      </c>
      <c r="I12" s="19"/>
      <c r="J12" s="4" t="s">
        <v>28</v>
      </c>
      <c r="K12" s="2">
        <f t="shared" si="3"/>
        <v>27</v>
      </c>
      <c r="L12" s="2">
        <f t="array" ref="L12">SUM(($F$2:$F$37&gt;=50)*(($F$2:$F$37)&lt;75))</f>
        <v>7</v>
      </c>
    </row>
    <row r="13" spans="1:13" ht="26.25" x14ac:dyDescent="0.25">
      <c r="A13" s="2">
        <v>12</v>
      </c>
      <c r="B13">
        <v>14</v>
      </c>
      <c r="C13">
        <v>30</v>
      </c>
      <c r="D13" s="3">
        <f>IF(Лист1__16[[#This Row],[Column18]]&lt;&gt;"",Лист1__16[[#This Row],[Column18]],"")</f>
        <v>30</v>
      </c>
      <c r="E13" s="2">
        <f t="shared" si="0"/>
        <v>7.39</v>
      </c>
      <c r="F13" s="2">
        <f t="shared" si="1"/>
        <v>92.61</v>
      </c>
      <c r="I13" s="19"/>
      <c r="J13" s="4" t="s">
        <v>29</v>
      </c>
      <c r="K13" s="2">
        <f t="shared" si="3"/>
        <v>23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66</v>
      </c>
      <c r="D14" s="3">
        <f>IF(Лист1__16[[#This Row],[Column18]]&lt;&gt;"",Лист1__16[[#This Row],[Column18]],"")</f>
        <v>66</v>
      </c>
      <c r="E14" s="2">
        <f t="shared" si="0"/>
        <v>16.260000000000002</v>
      </c>
      <c r="F14" s="2">
        <f t="shared" si="1"/>
        <v>83.74</v>
      </c>
      <c r="I14" s="19"/>
      <c r="J14" s="7" t="s">
        <v>30</v>
      </c>
      <c r="K14" s="2">
        <f>100-SUM($K$9:$K$13)</f>
        <v>23</v>
      </c>
      <c r="L14" s="2">
        <f>$K$2-SUM(L9:L$13)</f>
        <v>6</v>
      </c>
    </row>
    <row r="15" spans="1:13" x14ac:dyDescent="0.25">
      <c r="A15" s="2">
        <v>14</v>
      </c>
      <c r="B15">
        <v>16</v>
      </c>
      <c r="C15">
        <v>94</v>
      </c>
      <c r="D15" s="3">
        <f>IF(Лист1__16[[#This Row],[Column18]]&lt;&gt;"",Лист1__16[[#This Row],[Column18]],"")</f>
        <v>94</v>
      </c>
      <c r="E15" s="2">
        <f t="shared" si="0"/>
        <v>23.15</v>
      </c>
      <c r="F15" s="2">
        <f t="shared" si="1"/>
        <v>76.849999999999994</v>
      </c>
    </row>
    <row r="16" spans="1:13" x14ac:dyDescent="0.25">
      <c r="A16" s="2">
        <v>15</v>
      </c>
      <c r="B16">
        <v>17</v>
      </c>
      <c r="C16">
        <v>256</v>
      </c>
      <c r="D16" s="3">
        <f>IF(Лист1__16[[#This Row],[Column18]]&lt;&gt;"",Лист1__16[[#This Row],[Column18]],"")</f>
        <v>256</v>
      </c>
      <c r="E16" s="2">
        <f t="shared" si="0"/>
        <v>63.05</v>
      </c>
      <c r="F16" s="2">
        <f t="shared" si="1"/>
        <v>36.950000000000003</v>
      </c>
    </row>
    <row r="17" spans="1:6" x14ac:dyDescent="0.25">
      <c r="A17" s="2">
        <v>16</v>
      </c>
      <c r="B17">
        <v>18</v>
      </c>
      <c r="C17">
        <v>246</v>
      </c>
      <c r="D17" s="3">
        <f>IF(Лист1__16[[#This Row],[Column18]]&lt;&gt;"",Лист1__16[[#This Row],[Column18]],"")</f>
        <v>246</v>
      </c>
      <c r="E17" s="2">
        <f t="shared" si="0"/>
        <v>60.59</v>
      </c>
      <c r="F17" s="2">
        <f t="shared" si="1"/>
        <v>39.409999999999997</v>
      </c>
    </row>
    <row r="18" spans="1:6" x14ac:dyDescent="0.25">
      <c r="A18" s="2">
        <v>17</v>
      </c>
      <c r="B18">
        <v>19</v>
      </c>
      <c r="C18">
        <v>288</v>
      </c>
      <c r="D18" s="3">
        <f>IF(Лист1__16[[#This Row],[Column18]]&lt;&gt;"",Лист1__16[[#This Row],[Column18]],"")</f>
        <v>288</v>
      </c>
      <c r="E18" s="2">
        <f t="shared" si="0"/>
        <v>70.94</v>
      </c>
      <c r="F18" s="2">
        <f t="shared" si="1"/>
        <v>29.060000000000002</v>
      </c>
    </row>
    <row r="19" spans="1:6" x14ac:dyDescent="0.25">
      <c r="A19" s="2">
        <v>18</v>
      </c>
      <c r="B19">
        <v>20</v>
      </c>
      <c r="C19">
        <v>60</v>
      </c>
      <c r="D19" s="3">
        <f>IF(Лист1__16[[#This Row],[Column18]]&lt;&gt;"",Лист1__16[[#This Row],[Column18]],"")</f>
        <v>60</v>
      </c>
      <c r="E19" s="2">
        <f t="shared" si="0"/>
        <v>14.78</v>
      </c>
      <c r="F19" s="2">
        <f t="shared" si="1"/>
        <v>85.22</v>
      </c>
    </row>
    <row r="20" spans="1:6" x14ac:dyDescent="0.25">
      <c r="A20" s="2">
        <v>19</v>
      </c>
      <c r="B20">
        <v>21</v>
      </c>
      <c r="C20">
        <v>144</v>
      </c>
      <c r="D20" s="3">
        <f>IF(Лист1__16[[#This Row],[Column18]]&lt;&gt;"",Лист1__16[[#This Row],[Column18]],"")</f>
        <v>144</v>
      </c>
      <c r="E20" s="2">
        <f t="shared" si="0"/>
        <v>35.47</v>
      </c>
      <c r="F20" s="2">
        <f t="shared" si="1"/>
        <v>64.53</v>
      </c>
    </row>
    <row r="21" spans="1:6" x14ac:dyDescent="0.25">
      <c r="A21" s="2">
        <v>20</v>
      </c>
      <c r="B21">
        <v>22</v>
      </c>
      <c r="C21">
        <v>376</v>
      </c>
      <c r="D21" s="3">
        <f>IF(Лист1__16[[#This Row],[Column18]]&lt;&gt;"",Лист1__16[[#This Row],[Column18]],"")</f>
        <v>376</v>
      </c>
      <c r="E21" s="2">
        <f t="shared" si="0"/>
        <v>92.61</v>
      </c>
      <c r="F21" s="2">
        <f t="shared" si="1"/>
        <v>7.3900000000000006</v>
      </c>
    </row>
    <row r="22" spans="1:6" x14ac:dyDescent="0.25">
      <c r="A22" s="2">
        <v>21</v>
      </c>
      <c r="B22">
        <v>23</v>
      </c>
      <c r="C22">
        <v>174</v>
      </c>
      <c r="D22" s="3">
        <f>IF(Лист1__16[[#This Row],[Column18]]&lt;&gt;"",Лист1__16[[#This Row],[Column18]],"")</f>
        <v>174</v>
      </c>
      <c r="E22" s="2">
        <f t="shared" si="0"/>
        <v>42.86</v>
      </c>
      <c r="F22" s="2">
        <f t="shared" si="1"/>
        <v>57.14</v>
      </c>
    </row>
    <row r="23" spans="1:6" x14ac:dyDescent="0.25">
      <c r="A23" s="2">
        <v>22</v>
      </c>
      <c r="B23">
        <v>24</v>
      </c>
      <c r="C23">
        <v>88</v>
      </c>
      <c r="D23" s="3">
        <f>IF(Лист1__16[[#This Row],[Column18]]&lt;&gt;"",Лист1__16[[#This Row],[Column18]],"")</f>
        <v>88</v>
      </c>
      <c r="E23" s="2">
        <f t="shared" si="0"/>
        <v>21.67</v>
      </c>
      <c r="F23" s="2">
        <f t="shared" si="1"/>
        <v>78.33</v>
      </c>
    </row>
    <row r="24" spans="1:6" x14ac:dyDescent="0.25">
      <c r="A24" s="2">
        <v>23</v>
      </c>
      <c r="B24">
        <v>25</v>
      </c>
      <c r="C24">
        <v>224</v>
      </c>
      <c r="D24" s="3">
        <f>IF(Лист1__16[[#This Row],[Column18]]&lt;&gt;"",Лист1__16[[#This Row],[Column18]],"")</f>
        <v>224</v>
      </c>
      <c r="E24" s="2">
        <f t="shared" si="0"/>
        <v>55.17</v>
      </c>
      <c r="F24" s="2">
        <f t="shared" si="1"/>
        <v>44.83</v>
      </c>
    </row>
    <row r="25" spans="1:6" x14ac:dyDescent="0.25">
      <c r="A25" s="2">
        <v>24</v>
      </c>
      <c r="B25">
        <v>26</v>
      </c>
      <c r="C25">
        <v>78</v>
      </c>
      <c r="D25" s="3">
        <f>IF(Лист1__16[[#This Row],[Column18]]&lt;&gt;"",Лист1__16[[#This Row],[Column18]],"")</f>
        <v>78</v>
      </c>
      <c r="E25" s="2">
        <f t="shared" si="0"/>
        <v>19.21</v>
      </c>
      <c r="F25" s="2">
        <f t="shared" si="1"/>
        <v>80.789999999999992</v>
      </c>
    </row>
    <row r="26" spans="1:6" x14ac:dyDescent="0.25">
      <c r="A26" s="2">
        <v>25</v>
      </c>
      <c r="B26">
        <v>27</v>
      </c>
      <c r="C26">
        <v>26</v>
      </c>
      <c r="D26" s="3">
        <f>IF(Лист1__16[[#This Row],[Column18]]&lt;&gt;"",Лист1__16[[#This Row],[Column18]],"")</f>
        <v>26</v>
      </c>
      <c r="E26" s="2">
        <f t="shared" si="0"/>
        <v>6.4</v>
      </c>
      <c r="F26" s="2">
        <f t="shared" si="1"/>
        <v>93.6</v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IF(Лист1__16[[#This Row],[Column18]]&lt;&gt;"",Лист1__16[[#This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IF(Лист1__16[[#This Row],[Column18]]&lt;&gt;"",Лист1__16[[#This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IF(Лист1__16[[#This Row],[Column18]]&lt;&gt;"",Лист1__16[[#This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IF(Лист1__16[[#This Row],[Column18]]&lt;&gt;"",Лист1__16[[#This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IF(Лист1__16[[#This Row],[Column18]]&lt;&gt;"",Лист1__16[[#This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IF(Лист1__16[[#This Row],[Column18]]&lt;&gt;"",Лист1__16[[#This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IF(Лист1__16[[#This Row],[Column18]]&lt;&gt;"",Лист1__16[[#This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IF(Лист1__16[[#This Row],[Column18]]&lt;&gt;"",Лист1__16[[#This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IF(Лист1__16[[#This Row],[Column18]]&lt;&gt;"",Лист1__16[[#This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IF(Лист1__16[[#This Row],[Column18]]&lt;&gt;"",Лист1__16[[#This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IF(Лист1__16[[#This Row],[Column18]]&lt;&gt;"",Лист1__16[[#This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IF(Лист1__16[[#This Row],[Column18]]&lt;&gt;"",Лист1__16[[#This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IF(Лист1__16[[#This Row],[Column18]]&lt;&gt;"",Лист1__16[[#This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IF(Лист1__16[[#This Row],[Column18]]&lt;&gt;"",Лист1__16[[#This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>
        <v>368</v>
      </c>
      <c r="D41" s="3">
        <f>IF(Лист1__16[[#This Row],[Column18]]&lt;&gt;"",Лист1__16[[#This Row],[Column18]],"")</f>
        <v>368</v>
      </c>
      <c r="E41" s="2">
        <f t="shared" si="0"/>
        <v>90.64</v>
      </c>
      <c r="F41" s="2">
        <f t="shared" si="1"/>
        <v>9.36</v>
      </c>
    </row>
    <row r="42" spans="1:7" x14ac:dyDescent="0.25">
      <c r="A42" t="s">
        <v>40</v>
      </c>
      <c r="B42">
        <v>43</v>
      </c>
      <c r="D42" s="17">
        <f>SUM(D2:D41)</f>
        <v>4052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C4BE6-51BA-42E1-A426-C69102AFF896}">
  <sheetPr codeName="Лист16"/>
  <dimension ref="A1:M42"/>
  <sheetViews>
    <sheetView workbookViewId="0">
      <selection activeCell="N6" sqref="N6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[24]Лист1!$R$2</f>
        <v>168</v>
      </c>
      <c r="L1" s="2" t="s">
        <v>36</v>
      </c>
      <c r="M1" s="2" t="str">
        <f ca="1">MID(CELL("filename",A2),SEARCH("]",CELL("filename",A2))+1,31)</f>
        <v>Мб-31</v>
      </c>
    </row>
    <row r="2" spans="1:13" x14ac:dyDescent="0.25">
      <c r="A2" s="2">
        <v>1</v>
      </c>
      <c r="B2">
        <v>3</v>
      </c>
      <c r="C2">
        <v>268</v>
      </c>
      <c r="D2" s="3">
        <f>IF(Лист1__17[[#This Row],[Column18]]&lt;&gt;"",Лист1__17[[#This Row],[Column18]],"")</f>
        <v>268</v>
      </c>
      <c r="E2" s="2">
        <f>IF(D2&lt;&gt;"",ROUND(D2/$K$1/2*100,2),"")</f>
        <v>79.760000000000005</v>
      </c>
      <c r="F2" s="2">
        <f>IF(E2&lt;&gt;"",100-E2,"")</f>
        <v>20.239999999999995</v>
      </c>
      <c r="J2" s="8" t="s">
        <v>11</v>
      </c>
      <c r="K2" s="8">
        <f>COUNT(D2:D41)</f>
        <v>26</v>
      </c>
      <c r="L2" s="2" t="s">
        <v>37</v>
      </c>
      <c r="M2" s="2">
        <f>[24]Лист1!$U$1</f>
        <v>15</v>
      </c>
    </row>
    <row r="3" spans="1:13" x14ac:dyDescent="0.25">
      <c r="A3" s="2">
        <v>2</v>
      </c>
      <c r="B3">
        <v>4</v>
      </c>
      <c r="C3">
        <v>60</v>
      </c>
      <c r="D3" s="3">
        <f>IF(Лист1__17[[#This Row],[Column18]]&lt;&gt;"",Лист1__17[[#This Row],[Column18]],"")</f>
        <v>60</v>
      </c>
      <c r="E3" s="2">
        <f t="shared" ref="E3:E41" si="0">IF(D3&lt;&gt;"",ROUND(D3/$K$1/2*100,2),"")</f>
        <v>17.86</v>
      </c>
      <c r="F3" s="2">
        <f t="shared" ref="F3:F41" si="1">IF(E3&lt;&gt;"",100-E3,"")</f>
        <v>82.14</v>
      </c>
      <c r="I3" s="19" t="s">
        <v>33</v>
      </c>
      <c r="J3" s="4" t="s">
        <v>3</v>
      </c>
      <c r="K3" s="2">
        <f>ROUND(L3/$K$2*100,0)</f>
        <v>38</v>
      </c>
      <c r="L3" s="9">
        <f>K2-SUM($L$4:$L$7)</f>
        <v>10</v>
      </c>
    </row>
    <row r="4" spans="1:13" ht="26.25" x14ac:dyDescent="0.25">
      <c r="A4" s="2">
        <v>3</v>
      </c>
      <c r="B4">
        <v>5</v>
      </c>
      <c r="C4">
        <v>24</v>
      </c>
      <c r="D4" s="3">
        <f>IF(Лист1__17[[#This Row],[Column18]]&lt;&gt;"",Лист1__17[[#This Row],[Column18]],"")</f>
        <v>24</v>
      </c>
      <c r="E4" s="2">
        <f t="shared" si="0"/>
        <v>7.14</v>
      </c>
      <c r="F4" s="2">
        <f t="shared" si="1"/>
        <v>92.86</v>
      </c>
      <c r="I4" s="19"/>
      <c r="J4" s="4" t="s">
        <v>4</v>
      </c>
      <c r="K4" s="2">
        <f t="shared" ref="K4:K6" si="2">ROUND(L4/$K$2*100,0)</f>
        <v>23</v>
      </c>
      <c r="L4" s="2">
        <f t="array" ref="L4">SUM(($E$2:$E$37&gt;=10)*(($E$2:$E$37)&lt;30))</f>
        <v>6</v>
      </c>
    </row>
    <row r="5" spans="1:13" ht="26.25" x14ac:dyDescent="0.25">
      <c r="A5" s="2">
        <v>4</v>
      </c>
      <c r="B5">
        <v>6</v>
      </c>
      <c r="C5">
        <v>156</v>
      </c>
      <c r="D5" s="3">
        <f>IF(Лист1__17[[#This Row],[Column18]]&lt;&gt;"",Лист1__17[[#This Row],[Column18]],"")</f>
        <v>156</v>
      </c>
      <c r="E5" s="2">
        <f t="shared" si="0"/>
        <v>46.43</v>
      </c>
      <c r="F5" s="2">
        <f t="shared" si="1"/>
        <v>53.57</v>
      </c>
      <c r="I5" s="19"/>
      <c r="J5" s="4" t="s">
        <v>5</v>
      </c>
      <c r="K5" s="2">
        <f t="shared" si="2"/>
        <v>12</v>
      </c>
      <c r="L5" s="2">
        <f t="array" ref="L5">SUM(($E$2:$E$37&gt;=30)*(($E$2:$E$37)&lt;50))</f>
        <v>3</v>
      </c>
    </row>
    <row r="6" spans="1:13" ht="26.25" x14ac:dyDescent="0.25">
      <c r="A6" s="2">
        <v>5</v>
      </c>
      <c r="B6">
        <v>7</v>
      </c>
      <c r="C6">
        <v>164</v>
      </c>
      <c r="D6" s="3">
        <f>IF(Лист1__17[[#This Row],[Column18]]&lt;&gt;"",Лист1__17[[#This Row],[Column18]],"")</f>
        <v>164</v>
      </c>
      <c r="E6" s="2">
        <f t="shared" si="0"/>
        <v>48.81</v>
      </c>
      <c r="F6" s="2">
        <f t="shared" si="1"/>
        <v>51.19</v>
      </c>
      <c r="I6" s="19"/>
      <c r="J6" s="4" t="s">
        <v>6</v>
      </c>
      <c r="K6" s="2">
        <f t="shared" si="2"/>
        <v>12</v>
      </c>
      <c r="L6" s="2">
        <f t="array" ref="L6">SUM(($E$2:$E$37&gt;=50)*(($E$2:$E$37)&lt;70))</f>
        <v>3</v>
      </c>
    </row>
    <row r="7" spans="1:13" ht="26.25" x14ac:dyDescent="0.25">
      <c r="A7" s="2">
        <v>6</v>
      </c>
      <c r="B7">
        <v>8</v>
      </c>
      <c r="C7">
        <v>88</v>
      </c>
      <c r="D7" s="3">
        <f>IF(Лист1__17[[#This Row],[Column18]]&lt;&gt;"",Лист1__17[[#This Row],[Column18]],"")</f>
        <v>88</v>
      </c>
      <c r="E7" s="2">
        <f t="shared" si="0"/>
        <v>26.19</v>
      </c>
      <c r="F7" s="2">
        <f t="shared" si="1"/>
        <v>73.81</v>
      </c>
      <c r="I7" s="19"/>
      <c r="J7" s="4" t="s">
        <v>7</v>
      </c>
      <c r="K7" s="2">
        <f>100-SUM($K$3:$K$6)</f>
        <v>15</v>
      </c>
      <c r="L7" s="2">
        <f t="array" ref="L7">SUM(($E$2:$E$37&gt;=70)*(($E$2:$E$37)&lt;100))</f>
        <v>4</v>
      </c>
    </row>
    <row r="8" spans="1:13" x14ac:dyDescent="0.25">
      <c r="A8" s="2">
        <v>7</v>
      </c>
      <c r="B8">
        <v>9</v>
      </c>
      <c r="C8">
        <v>236</v>
      </c>
      <c r="D8" s="3">
        <f>IF(Лист1__17[[#This Row],[Column18]]&lt;&gt;"",Лист1__17[[#This Row],[Column18]],"")</f>
        <v>236</v>
      </c>
      <c r="E8" s="2">
        <f t="shared" si="0"/>
        <v>70.239999999999995</v>
      </c>
      <c r="F8" s="2">
        <f t="shared" si="1"/>
        <v>29.760000000000005</v>
      </c>
    </row>
    <row r="9" spans="1:13" x14ac:dyDescent="0.25">
      <c r="A9" s="2">
        <v>8</v>
      </c>
      <c r="B9">
        <v>10</v>
      </c>
      <c r="C9">
        <v>0</v>
      </c>
      <c r="D9" s="3">
        <f>IF(Лист1__17[[#This Row],[Column18]]&lt;&gt;"",Лист1__17[[#This Row],[Column18]],"")</f>
        <v>0</v>
      </c>
      <c r="E9" s="2">
        <f t="shared" si="0"/>
        <v>0</v>
      </c>
      <c r="F9" s="2">
        <f t="shared" si="1"/>
        <v>100</v>
      </c>
      <c r="K9" t="s">
        <v>31</v>
      </c>
    </row>
    <row r="10" spans="1:13" ht="26.25" x14ac:dyDescent="0.25">
      <c r="A10" s="2">
        <v>9</v>
      </c>
      <c r="B10">
        <v>11</v>
      </c>
      <c r="C10">
        <v>34</v>
      </c>
      <c r="D10" s="3">
        <f>IF(Лист1__17[[#This Row],[Column18]]&lt;&gt;"",Лист1__17[[#This Row],[Column18]],"")</f>
        <v>34</v>
      </c>
      <c r="E10" s="2">
        <f t="shared" si="0"/>
        <v>10.119999999999999</v>
      </c>
      <c r="F10" s="2">
        <f t="shared" si="1"/>
        <v>89.88</v>
      </c>
      <c r="I10" s="19" t="s">
        <v>34</v>
      </c>
      <c r="J10" s="4" t="s">
        <v>42</v>
      </c>
      <c r="K10" s="2">
        <f t="shared" ref="K10:K13" si="3">ROUND(L10/$K$2*100,0)</f>
        <v>15</v>
      </c>
      <c r="L10" s="2">
        <f t="array" ref="L10">SUM(($F$2:$F$37&gt;=0)*(($F$2:$F$37)&lt;30))</f>
        <v>4</v>
      </c>
    </row>
    <row r="11" spans="1:13" ht="26.25" x14ac:dyDescent="0.25">
      <c r="A11" s="2">
        <v>10</v>
      </c>
      <c r="B11">
        <v>12</v>
      </c>
      <c r="C11">
        <v>46</v>
      </c>
      <c r="D11" s="3">
        <f>IF(Лист1__17[[#This Row],[Column18]]&lt;&gt;"",Лист1__17[[#This Row],[Column18]],"")</f>
        <v>46</v>
      </c>
      <c r="E11" s="2">
        <f t="shared" si="0"/>
        <v>13.69</v>
      </c>
      <c r="F11" s="2">
        <f t="shared" si="1"/>
        <v>86.31</v>
      </c>
      <c r="I11" s="19"/>
      <c r="J11" s="4" t="s">
        <v>5</v>
      </c>
      <c r="K11" s="2">
        <f t="shared" si="3"/>
        <v>12</v>
      </c>
      <c r="L11" s="2">
        <f t="array" ref="L11">SUM(($F$2:$F$37&gt;=30)*(($F$2:$F$37)&lt;50))</f>
        <v>3</v>
      </c>
    </row>
    <row r="12" spans="1:13" ht="26.25" x14ac:dyDescent="0.25">
      <c r="A12" s="2">
        <v>11</v>
      </c>
      <c r="B12">
        <v>13</v>
      </c>
      <c r="C12">
        <v>214</v>
      </c>
      <c r="D12" s="3">
        <f>IF(Лист1__17[[#This Row],[Column18]]&lt;&gt;"",Лист1__17[[#This Row],[Column18]],"")</f>
        <v>214</v>
      </c>
      <c r="E12" s="2">
        <f t="shared" si="0"/>
        <v>63.69</v>
      </c>
      <c r="F12" s="2">
        <f t="shared" si="1"/>
        <v>36.31</v>
      </c>
      <c r="I12" s="19"/>
      <c r="J12" s="4" t="s">
        <v>28</v>
      </c>
      <c r="K12" s="2">
        <f t="shared" si="3"/>
        <v>15</v>
      </c>
      <c r="L12" s="2">
        <f t="array" ref="L12">SUM(($F$2:$F$37&gt;=50)*(($F$2:$F$37)&lt;75))</f>
        <v>4</v>
      </c>
    </row>
    <row r="13" spans="1:13" ht="26.25" x14ac:dyDescent="0.25">
      <c r="A13" s="2">
        <v>12</v>
      </c>
      <c r="B13">
        <v>14</v>
      </c>
      <c r="C13">
        <v>174</v>
      </c>
      <c r="D13" s="3">
        <f>IF(Лист1__17[[#This Row],[Column18]]&lt;&gt;"",Лист1__17[[#This Row],[Column18]],"")</f>
        <v>174</v>
      </c>
      <c r="E13" s="2">
        <f t="shared" si="0"/>
        <v>51.79</v>
      </c>
      <c r="F13" s="2">
        <f t="shared" si="1"/>
        <v>48.21</v>
      </c>
      <c r="I13" s="19"/>
      <c r="J13" s="4" t="s">
        <v>29</v>
      </c>
      <c r="K13" s="2">
        <f t="shared" si="3"/>
        <v>19</v>
      </c>
      <c r="L13" s="2">
        <f t="array" ref="L13">SUM(($F$2:$F$37&gt;=75)*(($F$2:$F$37)&lt;90))</f>
        <v>5</v>
      </c>
    </row>
    <row r="14" spans="1:13" ht="26.25" x14ac:dyDescent="0.25">
      <c r="A14" s="2">
        <v>13</v>
      </c>
      <c r="B14">
        <v>15</v>
      </c>
      <c r="C14">
        <v>6</v>
      </c>
      <c r="D14" s="3">
        <f>IF(Лист1__17[[#This Row],[Column18]]&lt;&gt;"",Лист1__17[[#This Row],[Column18]],"")</f>
        <v>6</v>
      </c>
      <c r="E14" s="2">
        <f t="shared" si="0"/>
        <v>1.79</v>
      </c>
      <c r="F14" s="2">
        <f t="shared" si="1"/>
        <v>98.21</v>
      </c>
      <c r="I14" s="19"/>
      <c r="J14" s="7" t="s">
        <v>30</v>
      </c>
      <c r="K14" s="2">
        <f>100-SUM($K$9:$K$13)</f>
        <v>39</v>
      </c>
      <c r="L14" s="2">
        <f>$K$2-SUM(L9:L$13)</f>
        <v>10</v>
      </c>
    </row>
    <row r="15" spans="1:13" x14ac:dyDescent="0.25">
      <c r="A15" s="2">
        <v>14</v>
      </c>
      <c r="B15">
        <v>16</v>
      </c>
      <c r="C15">
        <v>4</v>
      </c>
      <c r="D15" s="3">
        <f>IF(Лист1__17[[#This Row],[Column18]]&lt;&gt;"",Лист1__17[[#This Row],[Column18]],"")</f>
        <v>4</v>
      </c>
      <c r="E15" s="2">
        <f t="shared" si="0"/>
        <v>1.19</v>
      </c>
      <c r="F15" s="2">
        <f t="shared" si="1"/>
        <v>98.81</v>
      </c>
    </row>
    <row r="16" spans="1:13" x14ac:dyDescent="0.25">
      <c r="A16" s="2">
        <v>15</v>
      </c>
      <c r="B16">
        <v>17</v>
      </c>
      <c r="C16">
        <v>0</v>
      </c>
      <c r="D16" s="3">
        <f>IF(Лист1__17[[#This Row],[Column18]]&lt;&gt;"",Лист1__17[[#This Row],[Column18]],"")</f>
        <v>0</v>
      </c>
      <c r="E16" s="2">
        <f t="shared" si="0"/>
        <v>0</v>
      </c>
      <c r="F16" s="2">
        <f t="shared" si="1"/>
        <v>100</v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IF(Лист1__17[[#This Row],[Column18]]&lt;&gt;"",Лист1__17[[#This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>
        <v>328</v>
      </c>
      <c r="D18" s="3">
        <f>IF(Лист1__17[[#This Row],[Column18]]&lt;&gt;"",Лист1__17[[#This Row],[Column18]],"")</f>
        <v>328</v>
      </c>
      <c r="E18" s="2">
        <f t="shared" si="0"/>
        <v>97.62</v>
      </c>
      <c r="F18" s="2">
        <f t="shared" si="1"/>
        <v>2.3799999999999955</v>
      </c>
    </row>
    <row r="19" spans="1:6" x14ac:dyDescent="0.25">
      <c r="A19" s="2">
        <v>18</v>
      </c>
      <c r="B19">
        <v>20</v>
      </c>
      <c r="C19">
        <v>0</v>
      </c>
      <c r="D19" s="3">
        <f>IF(Лист1__17[[#This Row],[Column18]]&lt;&gt;"",Лист1__17[[#This Row],[Column18]],"")</f>
        <v>0</v>
      </c>
      <c r="E19" s="2">
        <f t="shared" si="0"/>
        <v>0</v>
      </c>
      <c r="F19" s="2">
        <f t="shared" si="1"/>
        <v>100</v>
      </c>
    </row>
    <row r="20" spans="1:6" x14ac:dyDescent="0.25">
      <c r="A20" s="2">
        <v>19</v>
      </c>
      <c r="B20">
        <v>21</v>
      </c>
      <c r="C20">
        <v>0</v>
      </c>
      <c r="D20" s="3">
        <f>IF(Лист1__17[[#This Row],[Column18]]&lt;&gt;"",Лист1__17[[#This Row],[Column18]],"")</f>
        <v>0</v>
      </c>
      <c r="E20" s="2">
        <f t="shared" si="0"/>
        <v>0</v>
      </c>
      <c r="F20" s="2">
        <f t="shared" si="1"/>
        <v>100</v>
      </c>
    </row>
    <row r="21" spans="1:6" x14ac:dyDescent="0.25">
      <c r="A21" s="2">
        <v>20</v>
      </c>
      <c r="B21">
        <v>22</v>
      </c>
      <c r="C21">
        <v>22</v>
      </c>
      <c r="D21" s="3">
        <f>IF(Лист1__17[[#This Row],[Column18]]&lt;&gt;"",Лист1__17[[#This Row],[Column18]],"")</f>
        <v>22</v>
      </c>
      <c r="E21" s="2">
        <f t="shared" si="0"/>
        <v>6.55</v>
      </c>
      <c r="F21" s="2">
        <f t="shared" si="1"/>
        <v>93.45</v>
      </c>
    </row>
    <row r="22" spans="1:6" x14ac:dyDescent="0.25">
      <c r="A22" s="2">
        <v>21</v>
      </c>
      <c r="B22">
        <v>23</v>
      </c>
      <c r="C22">
        <v>156</v>
      </c>
      <c r="D22" s="3">
        <f>IF(Лист1__17[[#This Row],[Column18]]&lt;&gt;"",Лист1__17[[#This Row],[Column18]],"")</f>
        <v>156</v>
      </c>
      <c r="E22" s="2">
        <f t="shared" si="0"/>
        <v>46.43</v>
      </c>
      <c r="F22" s="2">
        <f t="shared" si="1"/>
        <v>53.57</v>
      </c>
    </row>
    <row r="23" spans="1:6" x14ac:dyDescent="0.25">
      <c r="A23" s="2">
        <v>22</v>
      </c>
      <c r="B23">
        <v>24</v>
      </c>
      <c r="C23">
        <v>224</v>
      </c>
      <c r="D23" s="3">
        <f>IF(Лист1__17[[#This Row],[Column18]]&lt;&gt;"",Лист1__17[[#This Row],[Column18]],"")</f>
        <v>224</v>
      </c>
      <c r="E23" s="2">
        <f t="shared" si="0"/>
        <v>66.67</v>
      </c>
      <c r="F23" s="2">
        <f t="shared" si="1"/>
        <v>33.33</v>
      </c>
    </row>
    <row r="24" spans="1:6" x14ac:dyDescent="0.25">
      <c r="A24" s="2">
        <v>23</v>
      </c>
      <c r="B24">
        <v>25</v>
      </c>
      <c r="C24">
        <v>34</v>
      </c>
      <c r="D24" s="3">
        <f>IF(Лист1__17[[#This Row],[Column18]]&lt;&gt;"",Лист1__17[[#This Row],[Column18]],"")</f>
        <v>34</v>
      </c>
      <c r="E24" s="2">
        <f t="shared" si="0"/>
        <v>10.119999999999999</v>
      </c>
      <c r="F24" s="2">
        <f t="shared" si="1"/>
        <v>89.88</v>
      </c>
    </row>
    <row r="25" spans="1:6" x14ac:dyDescent="0.25">
      <c r="A25" s="2">
        <v>24</v>
      </c>
      <c r="B25">
        <v>26</v>
      </c>
      <c r="C25">
        <v>308</v>
      </c>
      <c r="D25" s="3">
        <f>IF(Лист1__17[[#This Row],[Column18]]&lt;&gt;"",Лист1__17[[#This Row],[Column18]],"")</f>
        <v>308</v>
      </c>
      <c r="E25" s="2">
        <f t="shared" si="0"/>
        <v>91.67</v>
      </c>
      <c r="F25" s="2">
        <f t="shared" si="1"/>
        <v>8.3299999999999983</v>
      </c>
    </row>
    <row r="26" spans="1:6" x14ac:dyDescent="0.25">
      <c r="A26" s="2">
        <v>25</v>
      </c>
      <c r="B26">
        <v>27</v>
      </c>
      <c r="C26">
        <v>24</v>
      </c>
      <c r="D26" s="3">
        <f>IF(Лист1__17[[#This Row],[Column18]]&lt;&gt;"",Лист1__17[[#This Row],[Column18]],"")</f>
        <v>24</v>
      </c>
      <c r="E26" s="2">
        <f t="shared" si="0"/>
        <v>7.14</v>
      </c>
      <c r="F26" s="2">
        <f t="shared" si="1"/>
        <v>92.86</v>
      </c>
    </row>
    <row r="27" spans="1:6" x14ac:dyDescent="0.25">
      <c r="A27" s="2">
        <v>26</v>
      </c>
      <c r="B27">
        <v>28</v>
      </c>
      <c r="C27">
        <v>74</v>
      </c>
      <c r="D27" s="3">
        <f>IF(Лист1__17[[#This Row],[Column18]]&lt;&gt;"",Лист1__17[[#This Row],[Column18]],"")</f>
        <v>74</v>
      </c>
      <c r="E27" s="2">
        <f t="shared" si="0"/>
        <v>22.02</v>
      </c>
      <c r="F27" s="2">
        <f t="shared" si="1"/>
        <v>77.98</v>
      </c>
    </row>
    <row r="28" spans="1:6" x14ac:dyDescent="0.25">
      <c r="A28" s="2">
        <v>27</v>
      </c>
      <c r="B28">
        <v>29</v>
      </c>
      <c r="C28">
        <v>4</v>
      </c>
      <c r="D28" s="3">
        <f>IF(Лист1__17[[#This Row],[Column18]]&lt;&gt;"",Лист1__17[[#This Row],[Column18]],"")</f>
        <v>4</v>
      </c>
      <c r="E28" s="2">
        <f t="shared" si="0"/>
        <v>1.19</v>
      </c>
      <c r="F28" s="2">
        <f t="shared" si="1"/>
        <v>98.81</v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IF(Лист1__17[[#This Row],[Column18]]&lt;&gt;"",Лист1__17[[#This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IF(Лист1__17[[#This Row],[Column18]]&lt;&gt;"",Лист1__17[[#This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IF(Лист1__17[[#This Row],[Column18]]&lt;&gt;"",Лист1__17[[#This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IF(Лист1__17[[#This Row],[Column18]]&lt;&gt;"",Лист1__17[[#This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IF(Лист1__17[[#This Row],[Column18]]&lt;&gt;"",Лист1__17[[#This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IF(Лист1__17[[#This Row],[Column18]]&lt;&gt;"",Лист1__17[[#This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IF(Лист1__17[[#This Row],[Column18]]&lt;&gt;"",Лист1__17[[#This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IF(Лист1__17[[#This Row],[Column18]]&lt;&gt;"",Лист1__17[[#This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IF(Лист1__17[[#This Row],[Column18]]&lt;&gt;"",Лист1__17[[#This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IF(Лист1__17[[#This Row],[Column18]]&lt;&gt;"",Лист1__17[[#This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IF(Лист1__17[[#This Row],[Column18]]&lt;&gt;"",Лист1__17[[#This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IF(Лист1__17[[#This Row],[Column18]]&lt;&gt;"",Лист1__17[[#This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IF(Лист1__17[[#This Row],[Column18]]&lt;&gt;"",Лист1__17[[#This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2648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36AD-3B66-4026-B024-A6DCFF903954}">
  <sheetPr codeName="Лист17"/>
  <dimension ref="A1:M42"/>
  <sheetViews>
    <sheetView workbookViewId="0">
      <selection activeCell="O10" sqref="O10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[25]Лист1!$R$2</f>
        <v>209</v>
      </c>
      <c r="L1" s="2" t="s">
        <v>36</v>
      </c>
      <c r="M1" s="2" t="str">
        <f ca="1">MID(CELL("filename",A2),SEARCH("]",CELL("filename",A2))+1,31)</f>
        <v>Эб-31</v>
      </c>
    </row>
    <row r="2" spans="1:13" x14ac:dyDescent="0.25">
      <c r="A2" s="2">
        <v>1</v>
      </c>
      <c r="B2">
        <v>3</v>
      </c>
      <c r="C2">
        <v>208</v>
      </c>
      <c r="D2" s="3">
        <f>IF(Лист1__18[[#This Row],[Column18]]&lt;&gt;"",Лист1__18[[#This Row],[Column18]],"")</f>
        <v>208</v>
      </c>
      <c r="E2" s="2">
        <f>IF(D2&lt;&gt;"",ROUND(D2/$K$1/2*100,2),"")</f>
        <v>49.76</v>
      </c>
      <c r="F2" s="2">
        <f>IF(E2&lt;&gt;"",100-E2,"")</f>
        <v>50.24</v>
      </c>
      <c r="J2" s="8" t="s">
        <v>11</v>
      </c>
      <c r="K2" s="8">
        <f>COUNT(D2:D41)</f>
        <v>9</v>
      </c>
      <c r="L2" s="2" t="s">
        <v>37</v>
      </c>
      <c r="M2" s="2">
        <f>[25]Лист1!$U$1</f>
        <v>16</v>
      </c>
    </row>
    <row r="3" spans="1:13" x14ac:dyDescent="0.25">
      <c r="A3" s="2">
        <v>2</v>
      </c>
      <c r="B3">
        <v>4</v>
      </c>
      <c r="C3">
        <v>4</v>
      </c>
      <c r="D3" s="3">
        <f>IF(Лист1__18[[#This Row],[Column18]]&lt;&gt;"",Лист1__18[[#This Row],[Column18]],"")</f>
        <v>4</v>
      </c>
      <c r="E3" s="2">
        <f t="shared" ref="E3:E41" si="0">IF(D3&lt;&gt;"",ROUND(D3/$K$1/2*100,2),"")</f>
        <v>0.96</v>
      </c>
      <c r="F3" s="2">
        <f t="shared" ref="F3:F41" si="1">IF(E3&lt;&gt;"",100-E3,"")</f>
        <v>99.04</v>
      </c>
      <c r="I3" s="19" t="s">
        <v>33</v>
      </c>
      <c r="J3" s="4" t="s">
        <v>3</v>
      </c>
      <c r="K3" s="2">
        <f>ROUND(L3/$K$2*100,0)</f>
        <v>33</v>
      </c>
      <c r="L3" s="9">
        <f>K2-SUM($L$4:$L$7)</f>
        <v>3</v>
      </c>
    </row>
    <row r="4" spans="1:13" ht="26.25" x14ac:dyDescent="0.25">
      <c r="A4" s="2">
        <v>3</v>
      </c>
      <c r="B4">
        <v>5</v>
      </c>
      <c r="C4">
        <v>58</v>
      </c>
      <c r="D4" s="3">
        <f>IF(Лист1__18[[#This Row],[Column18]]&lt;&gt;"",Лист1__18[[#This Row],[Column18]],"")</f>
        <v>58</v>
      </c>
      <c r="E4" s="2">
        <f t="shared" si="0"/>
        <v>13.88</v>
      </c>
      <c r="F4" s="2">
        <f t="shared" si="1"/>
        <v>86.12</v>
      </c>
      <c r="I4" s="19"/>
      <c r="J4" s="4" t="s">
        <v>4</v>
      </c>
      <c r="K4" s="2">
        <f t="shared" ref="K4:K6" si="2">ROUND(L4/$K$2*100,0)</f>
        <v>44</v>
      </c>
      <c r="L4" s="2">
        <f t="array" ref="L4">SUM(($E$2:$E$37&gt;=10)*(($E$2:$E$37)&lt;30))</f>
        <v>4</v>
      </c>
    </row>
    <row r="5" spans="1:13" ht="26.25" x14ac:dyDescent="0.25">
      <c r="A5" s="2">
        <v>4</v>
      </c>
      <c r="B5">
        <v>6</v>
      </c>
      <c r="C5">
        <v>66</v>
      </c>
      <c r="D5" s="3">
        <f>IF(Лист1__18[[#This Row],[Column18]]&lt;&gt;"",Лист1__18[[#This Row],[Column18]],"")</f>
        <v>66</v>
      </c>
      <c r="E5" s="2">
        <f t="shared" si="0"/>
        <v>15.79</v>
      </c>
      <c r="F5" s="2">
        <f t="shared" si="1"/>
        <v>84.210000000000008</v>
      </c>
      <c r="I5" s="19"/>
      <c r="J5" s="4" t="s">
        <v>5</v>
      </c>
      <c r="K5" s="2">
        <f t="shared" si="2"/>
        <v>22</v>
      </c>
      <c r="L5" s="2">
        <f t="array" ref="L5">SUM(($E$2:$E$37&gt;=30)*(($E$2:$E$37)&lt;50))</f>
        <v>2</v>
      </c>
    </row>
    <row r="6" spans="1:13" ht="26.25" x14ac:dyDescent="0.25">
      <c r="A6" s="2">
        <v>5</v>
      </c>
      <c r="B6">
        <v>7</v>
      </c>
      <c r="C6">
        <v>66</v>
      </c>
      <c r="D6" s="3">
        <f>IF(Лист1__18[[#This Row],[Column18]]&lt;&gt;"",Лист1__18[[#This Row],[Column18]],"")</f>
        <v>66</v>
      </c>
      <c r="E6" s="2">
        <f t="shared" si="0"/>
        <v>15.79</v>
      </c>
      <c r="F6" s="2">
        <f t="shared" si="1"/>
        <v>84.210000000000008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146</v>
      </c>
      <c r="D7" s="3">
        <f>IF(Лист1__18[[#This Row],[Column18]]&lt;&gt;"",Лист1__18[[#This Row],[Column18]],"")</f>
        <v>146</v>
      </c>
      <c r="E7" s="2">
        <f t="shared" si="0"/>
        <v>34.93</v>
      </c>
      <c r="F7" s="2">
        <f t="shared" si="1"/>
        <v>65.069999999999993</v>
      </c>
      <c r="I7" s="19"/>
      <c r="J7" s="4" t="s">
        <v>7</v>
      </c>
      <c r="K7" s="2">
        <f>100-SUM($K$3:$K$6)</f>
        <v>1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72</v>
      </c>
      <c r="D8" s="3">
        <f>IF(Лист1__18[[#This Row],[Column18]]&lt;&gt;"",Лист1__18[[#This Row],[Column18]],"")</f>
        <v>72</v>
      </c>
      <c r="E8" s="2">
        <f t="shared" si="0"/>
        <v>17.22</v>
      </c>
      <c r="F8" s="2">
        <f t="shared" si="1"/>
        <v>82.78</v>
      </c>
    </row>
    <row r="9" spans="1:13" x14ac:dyDescent="0.25">
      <c r="A9" s="2">
        <v>8</v>
      </c>
      <c r="B9">
        <v>10</v>
      </c>
      <c r="C9">
        <v>28</v>
      </c>
      <c r="D9" s="3">
        <f>IF(Лист1__18[[#This Row],[Column18]]&lt;&gt;"",Лист1__18[[#This Row],[Column18]],"")</f>
        <v>28</v>
      </c>
      <c r="E9" s="2">
        <f t="shared" si="0"/>
        <v>6.7</v>
      </c>
      <c r="F9" s="2">
        <f t="shared" si="1"/>
        <v>93.3</v>
      </c>
      <c r="K9" t="s">
        <v>31</v>
      </c>
    </row>
    <row r="10" spans="1:13" ht="26.25" x14ac:dyDescent="0.25">
      <c r="A10" s="2">
        <v>9</v>
      </c>
      <c r="B10">
        <v>11</v>
      </c>
      <c r="C10">
        <v>26</v>
      </c>
      <c r="D10" s="3">
        <f>IF(Лист1__18[[#This Row],[Column18]]&lt;&gt;"",Лист1__18[[#This Row],[Column18]],"")</f>
        <v>26</v>
      </c>
      <c r="E10" s="2">
        <f t="shared" si="0"/>
        <v>6.22</v>
      </c>
      <c r="F10" s="2">
        <f t="shared" si="1"/>
        <v>93.78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 t="s">
        <v>38</v>
      </c>
      <c r="D11" s="3" t="str">
        <f>IF(Лист1__18[[#This Row],[Column18]]&lt;&gt;"",Лист1__18[[#This Row],[Column18]],"")</f>
        <v/>
      </c>
      <c r="E11" s="2" t="str">
        <f t="shared" si="0"/>
        <v/>
      </c>
      <c r="F11" s="2" t="str">
        <f t="shared" si="1"/>
        <v/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 t="s">
        <v>38</v>
      </c>
      <c r="D12" s="3" t="str">
        <f>IF(Лист1__18[[#This Row],[Column18]]&lt;&gt;"",Лист1__18[[#This Row],[Column18]],"")</f>
        <v/>
      </c>
      <c r="E12" s="2" t="str">
        <f t="shared" si="0"/>
        <v/>
      </c>
      <c r="F12" s="2" t="str">
        <f t="shared" si="1"/>
        <v/>
      </c>
      <c r="I12" s="19"/>
      <c r="J12" s="4" t="s">
        <v>28</v>
      </c>
      <c r="K12" s="2">
        <f t="shared" si="3"/>
        <v>22</v>
      </c>
      <c r="L12" s="2">
        <f t="array" ref="L12">SUM(($F$2:$F$37&gt;=50)*(($F$2:$F$37)&lt;75))</f>
        <v>2</v>
      </c>
    </row>
    <row r="13" spans="1:13" ht="26.25" x14ac:dyDescent="0.25">
      <c r="A13" s="2">
        <v>12</v>
      </c>
      <c r="B13">
        <v>14</v>
      </c>
      <c r="C13" t="s">
        <v>38</v>
      </c>
      <c r="D13" s="3" t="str">
        <f>IF(Лист1__18[[#This Row],[Column18]]&lt;&gt;"",Лист1__18[[#This Row],[Column18]],"")</f>
        <v/>
      </c>
      <c r="E13" s="2" t="str">
        <f t="shared" si="0"/>
        <v/>
      </c>
      <c r="F13" s="2" t="str">
        <f t="shared" si="1"/>
        <v/>
      </c>
      <c r="I13" s="19"/>
      <c r="J13" s="4" t="s">
        <v>29</v>
      </c>
      <c r="K13" s="2">
        <f t="shared" si="3"/>
        <v>44</v>
      </c>
      <c r="L13" s="2">
        <f t="array" ref="L13">SUM(($F$2:$F$37&gt;=75)*(($F$2:$F$37)&lt;90))</f>
        <v>4</v>
      </c>
    </row>
    <row r="14" spans="1:13" ht="26.25" x14ac:dyDescent="0.25">
      <c r="A14" s="2">
        <v>13</v>
      </c>
      <c r="B14">
        <v>15</v>
      </c>
      <c r="C14" t="s">
        <v>38</v>
      </c>
      <c r="D14" s="3" t="str">
        <f>IF(Лист1__18[[#This Row],[Column18]]&lt;&gt;"",Лист1__18[[#This Row],[Column18]],"")</f>
        <v/>
      </c>
      <c r="E14" s="2" t="str">
        <f t="shared" si="0"/>
        <v/>
      </c>
      <c r="F14" s="2" t="str">
        <f t="shared" si="1"/>
        <v/>
      </c>
      <c r="I14" s="19"/>
      <c r="J14" s="7" t="s">
        <v>30</v>
      </c>
      <c r="K14" s="2">
        <f>100-SUM($K$9:$K$13)</f>
        <v>34</v>
      </c>
      <c r="L14" s="2">
        <f>$K$2-SUM(L9:L$13)</f>
        <v>3</v>
      </c>
    </row>
    <row r="15" spans="1:13" x14ac:dyDescent="0.25">
      <c r="A15" s="2">
        <v>14</v>
      </c>
      <c r="B15">
        <v>16</v>
      </c>
      <c r="C15" t="s">
        <v>38</v>
      </c>
      <c r="D15" s="3" t="str">
        <f>IF(Лист1__18[[#This Row],[Column18]]&lt;&gt;"",Лист1__18[[#This Row],[Column18]],"")</f>
        <v/>
      </c>
      <c r="E15" s="2" t="str">
        <f t="shared" si="0"/>
        <v/>
      </c>
      <c r="F15" s="2" t="str">
        <f t="shared" si="1"/>
        <v/>
      </c>
    </row>
    <row r="16" spans="1:13" x14ac:dyDescent="0.25">
      <c r="A16" s="2">
        <v>15</v>
      </c>
      <c r="B16">
        <v>17</v>
      </c>
      <c r="C16" t="s">
        <v>38</v>
      </c>
      <c r="D16" s="3" t="str">
        <f>IF(Лист1__18[[#This Row],[Column18]]&lt;&gt;"",Лист1__18[[#This Row],[Column18]],"")</f>
        <v/>
      </c>
      <c r="E16" s="2" t="str">
        <f t="shared" si="0"/>
        <v/>
      </c>
      <c r="F16" s="2" t="str">
        <f t="shared" si="1"/>
        <v/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IF(Лист1__18[[#This Row],[Column18]]&lt;&gt;"",Лист1__18[[#This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IF(Лист1__18[[#This Row],[Column18]]&lt;&gt;"",Лист1__18[[#This Row],[Column18]],"")</f>
        <v/>
      </c>
      <c r="E18" s="2" t="str">
        <f t="shared" si="0"/>
        <v/>
      </c>
      <c r="F18" s="2" t="str">
        <f t="shared" si="1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IF(Лист1__18[[#This Row],[Column18]]&lt;&gt;"",Лист1__18[[#This Row],[Column18]],"")</f>
        <v/>
      </c>
      <c r="E19" s="2" t="str">
        <f t="shared" si="0"/>
        <v/>
      </c>
      <c r="F19" s="2" t="str">
        <f t="shared" si="1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IF(Лист1__18[[#This Row],[Column18]]&lt;&gt;"",Лист1__18[[#This Row],[Column18]],"")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IF(Лист1__18[[#This Row],[Column18]]&lt;&gt;"",Лист1__18[[#This Row],[Column18]],"")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IF(Лист1__18[[#This Row],[Column18]]&lt;&gt;"",Лист1__18[[#This Row],[Column18]],"")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IF(Лист1__18[[#This Row],[Column18]]&lt;&gt;"",Лист1__18[[#This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IF(Лист1__18[[#This Row],[Column18]]&lt;&gt;"",Лист1__18[[#This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IF(Лист1__18[[#This Row],[Column18]]&lt;&gt;"",Лист1__18[[#This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IF(Лист1__18[[#This Row],[Column18]]&lt;&gt;"",Лист1__18[[#This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IF(Лист1__18[[#This Row],[Column18]]&lt;&gt;"",Лист1__18[[#This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IF(Лист1__18[[#This Row],[Column18]]&lt;&gt;"",Лист1__18[[#This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IF(Лист1__18[[#This Row],[Column18]]&lt;&gt;"",Лист1__18[[#This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IF(Лист1__18[[#This Row],[Column18]]&lt;&gt;"",Лист1__18[[#This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IF(Лист1__18[[#This Row],[Column18]]&lt;&gt;"",Лист1__18[[#This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IF(Лист1__18[[#This Row],[Column18]]&lt;&gt;"",Лист1__18[[#This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IF(Лист1__18[[#This Row],[Column18]]&lt;&gt;"",Лист1__18[[#This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IF(Лист1__18[[#This Row],[Column18]]&lt;&gt;"",Лист1__18[[#This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IF(Лист1__18[[#This Row],[Column18]]&lt;&gt;"",Лист1__18[[#This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IF(Лист1__18[[#This Row],[Column18]]&lt;&gt;"",Лист1__18[[#This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IF(Лист1__18[[#This Row],[Column18]]&lt;&gt;"",Лист1__18[[#This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IF(Лист1__18[[#This Row],[Column18]]&lt;&gt;"",Лист1__18[[#This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IF(Лист1__18[[#This Row],[Column18]]&lt;&gt;"",Лист1__18[[#This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IF(Лист1__18[[#This Row],[Column18]]&lt;&gt;"",Лист1__18[[#This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IF(Лист1__18[[#This Row],[Column18]]&lt;&gt;"",Лист1__18[[#This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674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4C03-D565-4250-B70F-7E26FB177A8D}">
  <sheetPr codeName="Лист19"/>
  <dimension ref="A1:M42"/>
  <sheetViews>
    <sheetView workbookViewId="0">
      <selection activeCell="N7" sqref="N7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[26]Лист1!$R$2</f>
        <v>123</v>
      </c>
      <c r="L1" s="2" t="s">
        <v>36</v>
      </c>
      <c r="M1" s="2" t="str">
        <f ca="1">MID(CELL("filename",A2),SEARCH("]",CELL("filename",A2))+1,31)</f>
        <v>ЭЖД-21</v>
      </c>
    </row>
    <row r="2" spans="1:13" x14ac:dyDescent="0.25">
      <c r="A2" s="2">
        <v>1</v>
      </c>
      <c r="B2">
        <v>3</v>
      </c>
      <c r="C2">
        <v>56</v>
      </c>
      <c r="D2" s="3">
        <f>IF(Лист1__19[[#This Row],[Column18]]&lt;&gt;"",Лист1__19[[#This Row],[Column18]],"")</f>
        <v>56</v>
      </c>
      <c r="E2" s="2">
        <f>IF(D2&lt;&gt;"",ROUND(D2/$K$1/2*100,2),"")</f>
        <v>22.76</v>
      </c>
      <c r="F2" s="2">
        <f t="shared" ref="F2:F27" si="0">IF(E2&lt;&gt;"",IF(AND(100-E2&gt;=20,100-E2&lt;30),30,100-E2),"")</f>
        <v>77.239999999999995</v>
      </c>
      <c r="J2" s="8" t="s">
        <v>11</v>
      </c>
      <c r="K2" s="8">
        <f>COUNT(D2:D41)</f>
        <v>23</v>
      </c>
      <c r="L2" s="2" t="s">
        <v>37</v>
      </c>
      <c r="M2" s="2">
        <f>[26]Лист1!$U$1</f>
        <v>16</v>
      </c>
    </row>
    <row r="3" spans="1:13" x14ac:dyDescent="0.25">
      <c r="A3" s="2">
        <v>2</v>
      </c>
      <c r="B3">
        <v>4</v>
      </c>
      <c r="C3">
        <v>80</v>
      </c>
      <c r="D3" s="3">
        <f>IF(Лист1__19[[#This Row],[Column18]]&lt;&gt;"",Лист1__19[[#This Row],[Column18]],"")</f>
        <v>80</v>
      </c>
      <c r="E3" s="2">
        <f t="shared" ref="E3:E41" si="1">IF(D3&lt;&gt;"",ROUND(D3/$K$1/2*100,2),"")</f>
        <v>32.520000000000003</v>
      </c>
      <c r="F3" s="2">
        <f t="shared" si="0"/>
        <v>67.47999999999999</v>
      </c>
      <c r="I3" s="19" t="s">
        <v>33</v>
      </c>
      <c r="J3" s="4" t="s">
        <v>3</v>
      </c>
      <c r="K3" s="2">
        <f>ROUND(L3/$K$2*100,0)</f>
        <v>26</v>
      </c>
      <c r="L3" s="9">
        <f>K2-SUM($L$4:$L$7)</f>
        <v>6</v>
      </c>
    </row>
    <row r="4" spans="1:13" ht="26.25" x14ac:dyDescent="0.25">
      <c r="A4" s="2">
        <v>3</v>
      </c>
      <c r="B4">
        <v>5</v>
      </c>
      <c r="C4">
        <v>6</v>
      </c>
      <c r="D4" s="3">
        <f>IF(Лист1__19[[#This Row],[Column18]]&lt;&gt;"",Лист1__19[[#This Row],[Column18]],"")</f>
        <v>6</v>
      </c>
      <c r="E4" s="2">
        <f t="shared" si="1"/>
        <v>2.44</v>
      </c>
      <c r="F4" s="2">
        <f t="shared" si="0"/>
        <v>97.56</v>
      </c>
      <c r="I4" s="19"/>
      <c r="J4" s="4" t="s">
        <v>4</v>
      </c>
      <c r="K4" s="2">
        <f t="shared" ref="K4:K6" si="2">ROUND(L4/$K$2*100,0)</f>
        <v>52</v>
      </c>
      <c r="L4" s="2">
        <f t="array" ref="L4">SUM(($E$2:$E$37&gt;=10)*(($E$2:$E$37)&lt;30))</f>
        <v>12</v>
      </c>
    </row>
    <row r="5" spans="1:13" ht="26.25" x14ac:dyDescent="0.25">
      <c r="A5" s="2">
        <v>4</v>
      </c>
      <c r="B5">
        <v>6</v>
      </c>
      <c r="C5">
        <v>28</v>
      </c>
      <c r="D5" s="3">
        <f>IF(Лист1__19[[#This Row],[Column18]]&lt;&gt;"",Лист1__19[[#This Row],[Column18]],"")</f>
        <v>28</v>
      </c>
      <c r="E5" s="2">
        <f t="shared" si="1"/>
        <v>11.38</v>
      </c>
      <c r="F5" s="2">
        <f t="shared" si="0"/>
        <v>88.62</v>
      </c>
      <c r="I5" s="19"/>
      <c r="J5" s="4" t="s">
        <v>5</v>
      </c>
      <c r="K5" s="2">
        <f t="shared" si="2"/>
        <v>22</v>
      </c>
      <c r="L5" s="2">
        <f t="array" ref="L5">SUM(($E$2:$E$37&gt;=30)*(($E$2:$E$37)&lt;50))</f>
        <v>5</v>
      </c>
    </row>
    <row r="6" spans="1:13" ht="26.25" x14ac:dyDescent="0.25">
      <c r="A6" s="2">
        <v>5</v>
      </c>
      <c r="B6">
        <v>7</v>
      </c>
      <c r="C6">
        <v>82</v>
      </c>
      <c r="D6" s="3">
        <f>IF(Лист1__19[[#This Row],[Column18]]&lt;&gt;"",Лист1__19[[#This Row],[Column18]],"")</f>
        <v>82</v>
      </c>
      <c r="E6" s="2">
        <f t="shared" si="1"/>
        <v>33.33</v>
      </c>
      <c r="F6" s="2">
        <f t="shared" si="0"/>
        <v>66.67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36</v>
      </c>
      <c r="D7" s="3">
        <f>IF(Лист1__19[[#This Row],[Column18]]&lt;&gt;"",Лист1__19[[#This Row],[Column18]],"")</f>
        <v>36</v>
      </c>
      <c r="E7" s="2">
        <f t="shared" si="1"/>
        <v>14.63</v>
      </c>
      <c r="F7" s="2">
        <f t="shared" si="0"/>
        <v>85.37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70</v>
      </c>
      <c r="D8" s="3">
        <f>IF(Лист1__19[[#This Row],[Column18]]&lt;&gt;"",Лист1__19[[#This Row],[Column18]],"")</f>
        <v>70</v>
      </c>
      <c r="E8" s="2">
        <f t="shared" si="1"/>
        <v>28.46</v>
      </c>
      <c r="F8" s="2">
        <f t="shared" si="0"/>
        <v>71.539999999999992</v>
      </c>
    </row>
    <row r="9" spans="1:13" x14ac:dyDescent="0.25">
      <c r="A9" s="2">
        <v>8</v>
      </c>
      <c r="B9">
        <v>10</v>
      </c>
      <c r="C9">
        <v>94</v>
      </c>
      <c r="D9" s="3">
        <f>IF(Лист1__19[[#This Row],[Column18]]&lt;&gt;"",Лист1__19[[#This Row],[Column18]],"")</f>
        <v>94</v>
      </c>
      <c r="E9" s="2">
        <f t="shared" si="1"/>
        <v>38.21</v>
      </c>
      <c r="F9" s="2">
        <f t="shared" si="0"/>
        <v>61.79</v>
      </c>
      <c r="K9" t="s">
        <v>31</v>
      </c>
    </row>
    <row r="10" spans="1:13" ht="26.25" x14ac:dyDescent="0.25">
      <c r="A10" s="2">
        <v>9</v>
      </c>
      <c r="B10">
        <v>11</v>
      </c>
      <c r="C10">
        <v>54</v>
      </c>
      <c r="D10" s="3">
        <f>IF(Лист1__19[[#This Row],[Column18]]&lt;&gt;"",Лист1__19[[#This Row],[Column18]],"")</f>
        <v>54</v>
      </c>
      <c r="E10" s="2">
        <f t="shared" si="1"/>
        <v>21.95</v>
      </c>
      <c r="F10" s="2">
        <f t="shared" si="0"/>
        <v>78.05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22</v>
      </c>
      <c r="D11" s="3">
        <f>IF(Лист1__19[[#This Row],[Column18]]&lt;&gt;"",Лист1__19[[#This Row],[Column18]],"")</f>
        <v>22</v>
      </c>
      <c r="E11" s="2">
        <f t="shared" si="1"/>
        <v>8.94</v>
      </c>
      <c r="F11" s="2">
        <f t="shared" si="0"/>
        <v>91.06</v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>
        <v>44</v>
      </c>
      <c r="D12" s="3">
        <f>IF(Лист1__19[[#This Row],[Column18]]&lt;&gt;"",Лист1__19[[#This Row],[Column18]],"")</f>
        <v>44</v>
      </c>
      <c r="E12" s="2">
        <f t="shared" si="1"/>
        <v>17.89</v>
      </c>
      <c r="F12" s="2">
        <f t="shared" si="0"/>
        <v>82.11</v>
      </c>
      <c r="I12" s="19"/>
      <c r="J12" s="4" t="s">
        <v>28</v>
      </c>
      <c r="K12" s="2">
        <f t="shared" si="3"/>
        <v>35</v>
      </c>
      <c r="L12" s="2">
        <f t="array" ref="L12">SUM(($F$2:$F$37&gt;=50)*(($F$2:$F$37)&lt;75))</f>
        <v>8</v>
      </c>
    </row>
    <row r="13" spans="1:13" ht="26.25" x14ac:dyDescent="0.25">
      <c r="A13" s="2">
        <v>12</v>
      </c>
      <c r="B13">
        <v>14</v>
      </c>
      <c r="C13">
        <v>32</v>
      </c>
      <c r="D13" s="3">
        <f>IF(Лист1__19[[#This Row],[Column18]]&lt;&gt;"",Лист1__19[[#This Row],[Column18]],"")</f>
        <v>32</v>
      </c>
      <c r="E13" s="2">
        <f t="shared" si="1"/>
        <v>13.01</v>
      </c>
      <c r="F13" s="2">
        <f t="shared" si="0"/>
        <v>86.99</v>
      </c>
      <c r="I13" s="19"/>
      <c r="J13" s="4" t="s">
        <v>29</v>
      </c>
      <c r="K13" s="2">
        <f t="shared" si="3"/>
        <v>39</v>
      </c>
      <c r="L13" s="2">
        <f t="array" ref="L13">SUM(($F$2:$F$37&gt;=75)*(($F$2:$F$37)&lt;90))</f>
        <v>9</v>
      </c>
    </row>
    <row r="14" spans="1:13" ht="26.25" x14ac:dyDescent="0.25">
      <c r="A14" s="2">
        <v>13</v>
      </c>
      <c r="B14">
        <v>15</v>
      </c>
      <c r="C14">
        <v>70</v>
      </c>
      <c r="D14" s="3">
        <f>IF(Лист1__19[[#This Row],[Column18]]&lt;&gt;"",Лист1__19[[#This Row],[Column18]],"")</f>
        <v>70</v>
      </c>
      <c r="E14" s="2">
        <f t="shared" si="1"/>
        <v>28.46</v>
      </c>
      <c r="F14" s="2">
        <f t="shared" si="0"/>
        <v>71.539999999999992</v>
      </c>
      <c r="I14" s="19"/>
      <c r="J14" s="7" t="s">
        <v>30</v>
      </c>
      <c r="K14" s="2">
        <f>100-SUM($K$9:$K$13)</f>
        <v>26</v>
      </c>
      <c r="L14" s="2">
        <f>$K$2-SUM(L9:L$13)</f>
        <v>6</v>
      </c>
    </row>
    <row r="15" spans="1:13" x14ac:dyDescent="0.25">
      <c r="A15" s="2">
        <v>14</v>
      </c>
      <c r="B15">
        <v>16</v>
      </c>
      <c r="C15">
        <v>14</v>
      </c>
      <c r="D15" s="3">
        <f>IF(Лист1__19[[#This Row],[Column18]]&lt;&gt;"",Лист1__19[[#This Row],[Column18]],"")</f>
        <v>14</v>
      </c>
      <c r="E15" s="2">
        <f t="shared" si="1"/>
        <v>5.69</v>
      </c>
      <c r="F15" s="2">
        <f t="shared" si="0"/>
        <v>94.31</v>
      </c>
    </row>
    <row r="16" spans="1:13" x14ac:dyDescent="0.25">
      <c r="A16" s="2">
        <v>15</v>
      </c>
      <c r="B16">
        <v>17</v>
      </c>
      <c r="C16">
        <v>84</v>
      </c>
      <c r="D16" s="3">
        <f>IF(Лист1__19[[#This Row],[Column18]]&lt;&gt;"",Лист1__19[[#This Row],[Column18]],"")</f>
        <v>84</v>
      </c>
      <c r="E16" s="2">
        <f t="shared" si="1"/>
        <v>34.15</v>
      </c>
      <c r="F16" s="2">
        <f t="shared" si="0"/>
        <v>65.849999999999994</v>
      </c>
    </row>
    <row r="17" spans="1:6" x14ac:dyDescent="0.25">
      <c r="A17" s="2">
        <v>16</v>
      </c>
      <c r="B17">
        <v>18</v>
      </c>
      <c r="C17">
        <v>62</v>
      </c>
      <c r="D17" s="3">
        <f>IF(Лист1__19[[#This Row],[Column18]]&lt;&gt;"",Лист1__19[[#This Row],[Column18]],"")</f>
        <v>62</v>
      </c>
      <c r="E17" s="2">
        <f t="shared" si="1"/>
        <v>25.2</v>
      </c>
      <c r="F17" s="2">
        <f t="shared" si="0"/>
        <v>74.8</v>
      </c>
    </row>
    <row r="18" spans="1:6" x14ac:dyDescent="0.25">
      <c r="A18" s="2">
        <v>17</v>
      </c>
      <c r="B18">
        <v>19</v>
      </c>
      <c r="C18">
        <v>16</v>
      </c>
      <c r="D18" s="3">
        <f>IF(Лист1__19[[#This Row],[Column18]]&lt;&gt;"",Лист1__19[[#This Row],[Column18]],"")</f>
        <v>16</v>
      </c>
      <c r="E18" s="2">
        <f t="shared" si="1"/>
        <v>6.5</v>
      </c>
      <c r="F18" s="2">
        <f t="shared" si="0"/>
        <v>93.5</v>
      </c>
    </row>
    <row r="19" spans="1:6" x14ac:dyDescent="0.25">
      <c r="A19" s="2">
        <v>18</v>
      </c>
      <c r="B19">
        <v>20</v>
      </c>
      <c r="C19">
        <v>50</v>
      </c>
      <c r="D19" s="3">
        <f>IF(Лист1__19[[#This Row],[Column18]]&lt;&gt;"",Лист1__19[[#This Row],[Column18]],"")</f>
        <v>50</v>
      </c>
      <c r="E19" s="2">
        <f t="shared" si="1"/>
        <v>20.329999999999998</v>
      </c>
      <c r="F19" s="2">
        <f t="shared" si="0"/>
        <v>79.67</v>
      </c>
    </row>
    <row r="20" spans="1:6" x14ac:dyDescent="0.25">
      <c r="A20" s="2">
        <v>19</v>
      </c>
      <c r="B20">
        <v>21</v>
      </c>
      <c r="C20">
        <v>90</v>
      </c>
      <c r="D20" s="3">
        <f>IF(Лист1__19[[#This Row],[Column18]]&lt;&gt;"",Лист1__19[[#This Row],[Column18]],"")</f>
        <v>90</v>
      </c>
      <c r="E20" s="2">
        <f t="shared" si="1"/>
        <v>36.590000000000003</v>
      </c>
      <c r="F20" s="2">
        <f t="shared" si="0"/>
        <v>63.41</v>
      </c>
    </row>
    <row r="21" spans="1:6" x14ac:dyDescent="0.25">
      <c r="A21" s="2">
        <v>20</v>
      </c>
      <c r="B21">
        <v>22</v>
      </c>
      <c r="C21">
        <v>8</v>
      </c>
      <c r="D21" s="3">
        <f>IF(Лист1__19[[#This Row],[Column18]]&lt;&gt;"",Лист1__19[[#This Row],[Column18]],"")</f>
        <v>8</v>
      </c>
      <c r="E21" s="2">
        <f t="shared" si="1"/>
        <v>3.25</v>
      </c>
      <c r="F21" s="2">
        <f t="shared" si="0"/>
        <v>96.75</v>
      </c>
    </row>
    <row r="22" spans="1:6" x14ac:dyDescent="0.25">
      <c r="A22" s="2">
        <v>21</v>
      </c>
      <c r="B22">
        <v>23</v>
      </c>
      <c r="C22">
        <v>44</v>
      </c>
      <c r="D22" s="3">
        <f>IF(Лист1__19[[#This Row],[Column18]]&lt;&gt;"",Лист1__19[[#This Row],[Column18]],"")</f>
        <v>44</v>
      </c>
      <c r="E22" s="2">
        <f t="shared" si="1"/>
        <v>17.89</v>
      </c>
      <c r="F22" s="2">
        <f t="shared" si="0"/>
        <v>82.11</v>
      </c>
    </row>
    <row r="23" spans="1:6" x14ac:dyDescent="0.25">
      <c r="A23" s="2">
        <v>22</v>
      </c>
      <c r="B23">
        <v>24</v>
      </c>
      <c r="C23">
        <v>28</v>
      </c>
      <c r="D23" s="3">
        <f>IF(Лист1__19[[#This Row],[Column18]]&lt;&gt;"",Лист1__19[[#This Row],[Column18]],"")</f>
        <v>28</v>
      </c>
      <c r="E23" s="2">
        <f t="shared" si="1"/>
        <v>11.38</v>
      </c>
      <c r="F23" s="2">
        <f t="shared" si="0"/>
        <v>88.62</v>
      </c>
    </row>
    <row r="24" spans="1:6" x14ac:dyDescent="0.25">
      <c r="A24" s="2">
        <v>23</v>
      </c>
      <c r="B24">
        <v>25</v>
      </c>
      <c r="C24">
        <v>18</v>
      </c>
      <c r="D24" s="3">
        <f>IF(Лист1__19[[#This Row],[Column18]]&lt;&gt;"",Лист1__19[[#This Row],[Column18]],"")</f>
        <v>18</v>
      </c>
      <c r="E24" s="2">
        <f t="shared" si="1"/>
        <v>7.32</v>
      </c>
      <c r="F24" s="2">
        <f t="shared" si="0"/>
        <v>92.68</v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IF(Лист1__19[[#This Row],[Column18]]&lt;&gt;"",Лист1__19[[#This Row],[Column18]],"")</f>
        <v/>
      </c>
      <c r="E25" s="2" t="str">
        <f t="shared" si="1"/>
        <v/>
      </c>
      <c r="F25" s="2" t="str">
        <f t="shared" si="0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IF(Лист1__19[[#This Row],[Column18]]&lt;&gt;"",Лист1__19[[#This Row],[Column18]],"")</f>
        <v/>
      </c>
      <c r="E26" s="2" t="str">
        <f t="shared" si="1"/>
        <v/>
      </c>
      <c r="F26" s="2" t="str">
        <f t="shared" si="0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IF(Лист1__19[[#This Row],[Column18]]&lt;&gt;"",Лист1__19[[#This Row],[Column18]],"")</f>
        <v/>
      </c>
      <c r="E27" s="2" t="str">
        <f t="shared" si="1"/>
        <v/>
      </c>
      <c r="F27" s="2" t="str">
        <f t="shared" si="0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IF(Лист1__19[[#This Row],[Column18]]&lt;&gt;"",Лист1__19[[#This Row],[Column18]],"")</f>
        <v/>
      </c>
      <c r="E28" s="2" t="str">
        <f t="shared" si="1"/>
        <v/>
      </c>
      <c r="F28" s="2" t="str">
        <f t="shared" ref="F28:F41" si="4">IF(E28&lt;&gt;"",100-E28,"")</f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IF(Лист1__19[[#This Row],[Column18]]&lt;&gt;"",Лист1__19[[#This Row],[Column18]],"")</f>
        <v/>
      </c>
      <c r="E29" s="2" t="str">
        <f t="shared" si="1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IF(Лист1__19[[#This Row],[Column18]]&lt;&gt;"",Лист1__19[[#This Row],[Column18]],"")</f>
        <v/>
      </c>
      <c r="E30" s="2" t="str">
        <f t="shared" si="1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IF(Лист1__19[[#This Row],[Column18]]&lt;&gt;"",Лист1__19[[#This Row],[Column18]],"")</f>
        <v/>
      </c>
      <c r="E31" s="2" t="str">
        <f t="shared" si="1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IF(Лист1__19[[#This Row],[Column18]]&lt;&gt;"",Лист1__19[[#This Row],[Column18]],"")</f>
        <v/>
      </c>
      <c r="E32" s="2" t="str">
        <f t="shared" si="1"/>
        <v/>
      </c>
      <c r="F32" s="2" t="str">
        <f t="shared" si="4"/>
        <v/>
      </c>
    </row>
    <row r="33" spans="1:8" x14ac:dyDescent="0.25">
      <c r="A33" s="2">
        <v>32</v>
      </c>
      <c r="B33">
        <v>34</v>
      </c>
      <c r="C33" t="s">
        <v>38</v>
      </c>
      <c r="D33" s="3" t="str">
        <f>IF(Лист1__19[[#This Row],[Column18]]&lt;&gt;"",Лист1__19[[#This Row],[Column18]],"")</f>
        <v/>
      </c>
      <c r="E33" s="2" t="str">
        <f t="shared" si="1"/>
        <v/>
      </c>
      <c r="F33" s="2" t="str">
        <f t="shared" si="4"/>
        <v/>
      </c>
    </row>
    <row r="34" spans="1:8" x14ac:dyDescent="0.25">
      <c r="A34" s="2">
        <v>33</v>
      </c>
      <c r="B34">
        <v>35</v>
      </c>
      <c r="C34" t="s">
        <v>38</v>
      </c>
      <c r="D34" s="3" t="str">
        <f>IF(Лист1__19[[#This Row],[Column18]]&lt;&gt;"",Лист1__19[[#This Row],[Column18]],"")</f>
        <v/>
      </c>
      <c r="E34" s="2" t="str">
        <f t="shared" si="1"/>
        <v/>
      </c>
      <c r="F34" s="2" t="str">
        <f t="shared" si="4"/>
        <v/>
      </c>
    </row>
    <row r="35" spans="1:8" x14ac:dyDescent="0.25">
      <c r="A35" s="2">
        <v>34</v>
      </c>
      <c r="B35">
        <v>36</v>
      </c>
      <c r="C35" t="s">
        <v>38</v>
      </c>
      <c r="D35" s="3" t="str">
        <f>IF(Лист1__19[[#This Row],[Column18]]&lt;&gt;"",Лист1__19[[#This Row],[Column18]],"")</f>
        <v/>
      </c>
      <c r="E35" s="2" t="str">
        <f t="shared" si="1"/>
        <v/>
      </c>
      <c r="F35" s="2" t="str">
        <f t="shared" si="4"/>
        <v/>
      </c>
    </row>
    <row r="36" spans="1:8" x14ac:dyDescent="0.25">
      <c r="A36" s="2">
        <v>35</v>
      </c>
      <c r="B36">
        <v>37</v>
      </c>
      <c r="C36" t="s">
        <v>38</v>
      </c>
      <c r="D36" s="3" t="str">
        <f>IF(Лист1__19[[#This Row],[Column18]]&lt;&gt;"",Лист1__19[[#This Row],[Column18]],"")</f>
        <v/>
      </c>
      <c r="E36" s="2" t="str">
        <f t="shared" si="1"/>
        <v/>
      </c>
      <c r="F36" s="2" t="str">
        <f t="shared" si="4"/>
        <v/>
      </c>
    </row>
    <row r="37" spans="1:8" x14ac:dyDescent="0.25">
      <c r="A37" s="2">
        <v>36</v>
      </c>
      <c r="B37">
        <v>38</v>
      </c>
      <c r="C37" t="s">
        <v>38</v>
      </c>
      <c r="D37" s="3" t="str">
        <f>IF(Лист1__19[[#This Row],[Column18]]&lt;&gt;"",Лист1__19[[#This Row],[Column18]],"")</f>
        <v/>
      </c>
      <c r="E37" s="2" t="str">
        <f t="shared" si="1"/>
        <v/>
      </c>
      <c r="F37" s="2" t="str">
        <f t="shared" si="4"/>
        <v/>
      </c>
    </row>
    <row r="38" spans="1:8" x14ac:dyDescent="0.25">
      <c r="A38" s="2">
        <v>37</v>
      </c>
      <c r="B38">
        <v>39</v>
      </c>
      <c r="C38" t="s">
        <v>38</v>
      </c>
      <c r="D38" s="3" t="str">
        <f>IF(Лист1__19[[#This Row],[Column18]]&lt;&gt;"",Лист1__19[[#This Row],[Column18]],"")</f>
        <v/>
      </c>
      <c r="E38" s="2" t="str">
        <f t="shared" si="1"/>
        <v/>
      </c>
      <c r="F38" s="2" t="str">
        <f t="shared" si="4"/>
        <v/>
      </c>
    </row>
    <row r="39" spans="1:8" x14ac:dyDescent="0.25">
      <c r="A39" s="2">
        <v>38</v>
      </c>
      <c r="B39">
        <v>40</v>
      </c>
      <c r="C39" t="s">
        <v>38</v>
      </c>
      <c r="D39" s="3" t="str">
        <f>IF(Лист1__19[[#This Row],[Column18]]&lt;&gt;"",Лист1__19[[#This Row],[Column18]],"")</f>
        <v/>
      </c>
      <c r="E39" s="2" t="str">
        <f t="shared" si="1"/>
        <v/>
      </c>
      <c r="F39" s="2" t="str">
        <f t="shared" si="4"/>
        <v/>
      </c>
    </row>
    <row r="40" spans="1:8" x14ac:dyDescent="0.25">
      <c r="A40" s="2">
        <v>39</v>
      </c>
      <c r="B40">
        <v>41</v>
      </c>
      <c r="C40" t="s">
        <v>38</v>
      </c>
      <c r="D40" s="3" t="str">
        <f>IF(Лист1__19[[#This Row],[Column18]]&lt;&gt;"",Лист1__19[[#This Row],[Column18]],"")</f>
        <v/>
      </c>
      <c r="E40" s="2" t="str">
        <f t="shared" si="1"/>
        <v/>
      </c>
      <c r="F40" s="2" t="str">
        <f t="shared" si="4"/>
        <v/>
      </c>
    </row>
    <row r="41" spans="1:8" x14ac:dyDescent="0.25">
      <c r="A41" s="2">
        <v>40</v>
      </c>
      <c r="B41">
        <v>42</v>
      </c>
      <c r="C41" t="s">
        <v>38</v>
      </c>
      <c r="D41" s="3" t="str">
        <f>IF(Лист1__19[[#This Row],[Column18]]&lt;&gt;"",Лист1__19[[#This Row],[Column18]],"")</f>
        <v/>
      </c>
      <c r="E41" s="2" t="str">
        <f t="shared" si="1"/>
        <v/>
      </c>
      <c r="F41" s="2" t="str">
        <f t="shared" si="4"/>
        <v/>
      </c>
    </row>
    <row r="42" spans="1:8" x14ac:dyDescent="0.25">
      <c r="A42" t="s">
        <v>40</v>
      </c>
      <c r="B42">
        <v>43</v>
      </c>
      <c r="E42" s="17">
        <f>SUM(D2:D41)</f>
        <v>1088</v>
      </c>
      <c r="F42" s="12"/>
      <c r="G42" s="6"/>
      <c r="H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AC70F-10F1-4C50-9515-041AEFAFC86C}">
  <sheetPr codeName="Лист20"/>
  <dimension ref="A1:M42"/>
  <sheetViews>
    <sheetView workbookViewId="0">
      <selection activeCell="O10" sqref="O10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[27]Лист1!$R$2</f>
        <v>108</v>
      </c>
      <c r="L1" s="2" t="s">
        <v>36</v>
      </c>
      <c r="M1" s="2" t="str">
        <f ca="1">MID(CELL("filename",A2),SEARCH("]",CELL("filename",A2))+1,31)</f>
        <v>ЭЖД-22</v>
      </c>
    </row>
    <row r="2" spans="1:13" x14ac:dyDescent="0.25">
      <c r="A2" s="2">
        <v>1</v>
      </c>
      <c r="B2">
        <v>3</v>
      </c>
      <c r="C2">
        <v>92</v>
      </c>
      <c r="D2" s="3">
        <f>IF(Лист1__12[[#This Row],[Column18]]&lt;&gt;"",Лист1__12[[#This Row],[Column18]],"")</f>
        <v>92</v>
      </c>
      <c r="E2" s="2">
        <f>IF(D2&lt;&gt;"",ROUND(D2/$K$1/2*100,2),"")</f>
        <v>42.59</v>
      </c>
      <c r="F2" s="2">
        <f>IF(E2&lt;&gt;"",100-E2,"")</f>
        <v>57.41</v>
      </c>
      <c r="J2" s="8" t="s">
        <v>11</v>
      </c>
      <c r="K2" s="8">
        <f>COUNT(D2:D41)</f>
        <v>22</v>
      </c>
      <c r="L2" s="2" t="s">
        <v>37</v>
      </c>
      <c r="M2" s="2">
        <f>[27]Лист1!$U$1</f>
        <v>16</v>
      </c>
    </row>
    <row r="3" spans="1:13" x14ac:dyDescent="0.25">
      <c r="A3" s="2">
        <v>2</v>
      </c>
      <c r="B3">
        <v>4</v>
      </c>
      <c r="C3">
        <v>74</v>
      </c>
      <c r="D3" s="3">
        <f>IF(Лист1__12[[#This Row],[Column18]]&lt;&gt;"",Лист1__12[[#This Row],[Column18]],"")</f>
        <v>74</v>
      </c>
      <c r="E3" s="2">
        <f t="shared" ref="E3:E41" si="0">IF(D3&lt;&gt;"",ROUND(D3/$K$1/2*100,2),"")</f>
        <v>34.26</v>
      </c>
      <c r="F3" s="2">
        <f t="shared" ref="F3:F41" si="1">IF(E3&lt;&gt;"",100-E3,"")</f>
        <v>65.740000000000009</v>
      </c>
      <c r="I3" s="19" t="s">
        <v>33</v>
      </c>
      <c r="J3" s="4" t="s">
        <v>3</v>
      </c>
      <c r="K3" s="2">
        <f>ROUND(L3/$K$2*100,0)</f>
        <v>14</v>
      </c>
      <c r="L3" s="9">
        <f>K2-SUM($L$4:$L$7)</f>
        <v>3</v>
      </c>
    </row>
    <row r="4" spans="1:13" ht="26.25" x14ac:dyDescent="0.25">
      <c r="A4" s="2">
        <v>3</v>
      </c>
      <c r="B4">
        <v>5</v>
      </c>
      <c r="C4">
        <v>44</v>
      </c>
      <c r="D4" s="3">
        <f>IF(Лист1__12[[#This Row],[Column18]]&lt;&gt;"",Лист1__12[[#This Row],[Column18]],"")</f>
        <v>44</v>
      </c>
      <c r="E4" s="2">
        <f t="shared" si="0"/>
        <v>20.37</v>
      </c>
      <c r="F4" s="2">
        <f t="shared" si="1"/>
        <v>79.63</v>
      </c>
      <c r="I4" s="19"/>
      <c r="J4" s="4" t="s">
        <v>4</v>
      </c>
      <c r="K4" s="2">
        <f t="shared" ref="K4:K6" si="2">ROUND(L4/$K$2*100,0)</f>
        <v>27</v>
      </c>
      <c r="L4" s="2">
        <f t="array" ref="L4">SUM(($E$2:$E$37&gt;=10)*(($E$2:$E$37)&lt;30))</f>
        <v>6</v>
      </c>
    </row>
    <row r="5" spans="1:13" ht="26.25" x14ac:dyDescent="0.25">
      <c r="A5" s="2">
        <v>4</v>
      </c>
      <c r="B5">
        <v>6</v>
      </c>
      <c r="C5">
        <v>82</v>
      </c>
      <c r="D5" s="3">
        <f>IF(Лист1__12[[#This Row],[Column18]]&lt;&gt;"",Лист1__12[[#This Row],[Column18]],"")</f>
        <v>82</v>
      </c>
      <c r="E5" s="2">
        <f t="shared" si="0"/>
        <v>37.96</v>
      </c>
      <c r="F5" s="2">
        <f t="shared" si="1"/>
        <v>62.04</v>
      </c>
      <c r="I5" s="19"/>
      <c r="J5" s="4" t="s">
        <v>5</v>
      </c>
      <c r="K5" s="2">
        <f t="shared" si="2"/>
        <v>50</v>
      </c>
      <c r="L5" s="2">
        <f t="array" ref="L5">SUM(($E$2:$E$37&gt;=30)*(($E$2:$E$37)&lt;50))</f>
        <v>11</v>
      </c>
    </row>
    <row r="6" spans="1:13" ht="26.25" x14ac:dyDescent="0.25">
      <c r="A6" s="2">
        <v>5</v>
      </c>
      <c r="B6">
        <v>7</v>
      </c>
      <c r="C6">
        <v>88</v>
      </c>
      <c r="D6" s="3">
        <f>IF(Лист1__12[[#This Row],[Column18]]&lt;&gt;"",Лист1__12[[#This Row],[Column18]],"")</f>
        <v>88</v>
      </c>
      <c r="E6" s="2">
        <f t="shared" si="0"/>
        <v>40.74</v>
      </c>
      <c r="F6" s="2">
        <f t="shared" si="1"/>
        <v>59.26</v>
      </c>
      <c r="I6" s="19"/>
      <c r="J6" s="4" t="s">
        <v>6</v>
      </c>
      <c r="K6" s="2">
        <f t="shared" si="2"/>
        <v>5</v>
      </c>
      <c r="L6" s="2">
        <f t="array" ref="L6">SUM(($E$2:$E$37&gt;=50)*(($E$2:$E$37)&lt;70))</f>
        <v>1</v>
      </c>
    </row>
    <row r="7" spans="1:13" ht="26.25" x14ac:dyDescent="0.25">
      <c r="A7" s="2">
        <v>6</v>
      </c>
      <c r="B7">
        <v>8</v>
      </c>
      <c r="C7">
        <v>102</v>
      </c>
      <c r="D7" s="3">
        <f>IF(Лист1__12[[#This Row],[Column18]]&lt;&gt;"",Лист1__12[[#This Row],[Column18]],"")</f>
        <v>102</v>
      </c>
      <c r="E7" s="2">
        <f t="shared" si="0"/>
        <v>47.22</v>
      </c>
      <c r="F7" s="2">
        <f t="shared" si="1"/>
        <v>52.78</v>
      </c>
      <c r="I7" s="19"/>
      <c r="J7" s="4" t="s">
        <v>7</v>
      </c>
      <c r="K7" s="2">
        <f>100-SUM($K$3:$K$6)</f>
        <v>4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8</v>
      </c>
      <c r="D8" s="3">
        <f>IF(Лист1__12[[#This Row],[Column18]]&lt;&gt;"",Лист1__12[[#This Row],[Column18]],"")</f>
        <v>8</v>
      </c>
      <c r="E8" s="2">
        <f t="shared" si="0"/>
        <v>3.7</v>
      </c>
      <c r="F8" s="2">
        <f t="shared" si="1"/>
        <v>96.3</v>
      </c>
    </row>
    <row r="9" spans="1:13" x14ac:dyDescent="0.25">
      <c r="A9" s="2">
        <v>8</v>
      </c>
      <c r="B9">
        <v>10</v>
      </c>
      <c r="C9">
        <v>0</v>
      </c>
      <c r="D9" s="3">
        <f>IF(Лист1__12[[#This Row],[Column18]]&lt;&gt;"",Лист1__12[[#This Row],[Column18]],"")</f>
        <v>0</v>
      </c>
      <c r="E9" s="2">
        <f t="shared" si="0"/>
        <v>0</v>
      </c>
      <c r="F9" s="2">
        <f t="shared" si="1"/>
        <v>100</v>
      </c>
      <c r="K9" t="s">
        <v>31</v>
      </c>
    </row>
    <row r="10" spans="1:13" ht="26.25" x14ac:dyDescent="0.25">
      <c r="A10" s="2">
        <v>9</v>
      </c>
      <c r="B10">
        <v>11</v>
      </c>
      <c r="C10">
        <v>32</v>
      </c>
      <c r="D10" s="3">
        <f>IF(Лист1__12[[#This Row],[Column18]]&lt;&gt;"",Лист1__12[[#This Row],[Column18]],"")</f>
        <v>32</v>
      </c>
      <c r="E10" s="2">
        <f t="shared" si="0"/>
        <v>14.81</v>
      </c>
      <c r="F10" s="2">
        <f t="shared" si="1"/>
        <v>85.19</v>
      </c>
      <c r="I10" s="19" t="s">
        <v>34</v>
      </c>
      <c r="J10" s="4" t="s">
        <v>42</v>
      </c>
      <c r="K10" s="2">
        <f t="shared" ref="K10:K13" si="3">ROUND(L10/$K$2*100,0)</f>
        <v>5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98</v>
      </c>
      <c r="D11" s="3">
        <f>IF(Лист1__12[[#This Row],[Column18]]&lt;&gt;"",Лист1__12[[#This Row],[Column18]],"")</f>
        <v>98</v>
      </c>
      <c r="E11" s="2">
        <f t="shared" si="0"/>
        <v>45.37</v>
      </c>
      <c r="F11" s="2">
        <f t="shared" si="1"/>
        <v>54.63</v>
      </c>
      <c r="I11" s="19"/>
      <c r="J11" s="4" t="s">
        <v>5</v>
      </c>
      <c r="K11" s="2">
        <f t="shared" si="3"/>
        <v>5</v>
      </c>
      <c r="L11" s="2">
        <f t="array" ref="L11">SUM(($F$2:$F$37&gt;=30)*(($F$2:$F$37)&lt;50))</f>
        <v>1</v>
      </c>
    </row>
    <row r="12" spans="1:13" ht="26.25" x14ac:dyDescent="0.25">
      <c r="A12" s="2">
        <v>11</v>
      </c>
      <c r="B12">
        <v>13</v>
      </c>
      <c r="C12">
        <v>92</v>
      </c>
      <c r="D12" s="3">
        <f>IF(Лист1__12[[#This Row],[Column18]]&lt;&gt;"",Лист1__12[[#This Row],[Column18]],"")</f>
        <v>92</v>
      </c>
      <c r="E12" s="2">
        <f t="shared" si="0"/>
        <v>42.59</v>
      </c>
      <c r="F12" s="2">
        <f t="shared" si="1"/>
        <v>57.41</v>
      </c>
      <c r="I12" s="19"/>
      <c r="J12" s="4" t="s">
        <v>28</v>
      </c>
      <c r="K12" s="2">
        <f t="shared" si="3"/>
        <v>50</v>
      </c>
      <c r="L12" s="2">
        <f t="array" ref="L12">SUM(($F$2:$F$37&gt;=50)*(($F$2:$F$37)&lt;75))</f>
        <v>11</v>
      </c>
    </row>
    <row r="13" spans="1:13" ht="26.25" x14ac:dyDescent="0.25">
      <c r="A13" s="2">
        <v>12</v>
      </c>
      <c r="B13">
        <v>14</v>
      </c>
      <c r="C13">
        <v>36</v>
      </c>
      <c r="D13" s="3">
        <f>IF(Лист1__12[[#This Row],[Column18]]&lt;&gt;"",Лист1__12[[#This Row],[Column18]],"")</f>
        <v>36</v>
      </c>
      <c r="E13" s="2">
        <f t="shared" si="0"/>
        <v>16.670000000000002</v>
      </c>
      <c r="F13" s="2">
        <f t="shared" si="1"/>
        <v>83.33</v>
      </c>
      <c r="I13" s="19"/>
      <c r="J13" s="4" t="s">
        <v>29</v>
      </c>
      <c r="K13" s="2">
        <f t="shared" si="3"/>
        <v>27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32</v>
      </c>
      <c r="D14" s="3">
        <f>IF(Лист1__12[[#This Row],[Column18]]&lt;&gt;"",Лист1__12[[#This Row],[Column18]],"")</f>
        <v>32</v>
      </c>
      <c r="E14" s="2">
        <f t="shared" si="0"/>
        <v>14.81</v>
      </c>
      <c r="F14" s="2">
        <f t="shared" si="1"/>
        <v>85.19</v>
      </c>
      <c r="I14" s="19"/>
      <c r="J14" s="7" t="s">
        <v>30</v>
      </c>
      <c r="K14" s="2">
        <f>100-SUM($K$9:$K$13)</f>
        <v>13</v>
      </c>
      <c r="L14" s="2">
        <f>$K$2-SUM(L9:L$13)</f>
        <v>3</v>
      </c>
    </row>
    <row r="15" spans="1:13" x14ac:dyDescent="0.25">
      <c r="A15" s="2">
        <v>14</v>
      </c>
      <c r="B15">
        <v>16</v>
      </c>
      <c r="C15">
        <v>78</v>
      </c>
      <c r="D15" s="3">
        <f>IF(Лист1__12[[#This Row],[Column18]]&lt;&gt;"",Лист1__12[[#This Row],[Column18]],"")</f>
        <v>78</v>
      </c>
      <c r="E15" s="2">
        <f t="shared" si="0"/>
        <v>36.11</v>
      </c>
      <c r="F15" s="2">
        <f t="shared" si="1"/>
        <v>63.89</v>
      </c>
    </row>
    <row r="16" spans="1:13" x14ac:dyDescent="0.25">
      <c r="A16" s="2">
        <v>15</v>
      </c>
      <c r="B16">
        <v>17</v>
      </c>
      <c r="C16">
        <v>52</v>
      </c>
      <c r="D16" s="3">
        <f>IF(Лист1__12[[#This Row],[Column18]]&lt;&gt;"",Лист1__12[[#This Row],[Column18]],"")</f>
        <v>52</v>
      </c>
      <c r="E16" s="2">
        <f t="shared" si="0"/>
        <v>24.07</v>
      </c>
      <c r="F16" s="2">
        <f t="shared" si="1"/>
        <v>75.930000000000007</v>
      </c>
    </row>
    <row r="17" spans="1:6" x14ac:dyDescent="0.25">
      <c r="A17" s="2">
        <v>16</v>
      </c>
      <c r="B17">
        <v>18</v>
      </c>
      <c r="C17">
        <v>76</v>
      </c>
      <c r="D17" s="3">
        <f>IF(Лист1__12[[#This Row],[Column18]]&lt;&gt;"",Лист1__12[[#This Row],[Column18]],"")</f>
        <v>76</v>
      </c>
      <c r="E17" s="2">
        <f t="shared" si="0"/>
        <v>35.19</v>
      </c>
      <c r="F17" s="2">
        <f t="shared" si="1"/>
        <v>64.81</v>
      </c>
    </row>
    <row r="18" spans="1:6" x14ac:dyDescent="0.25">
      <c r="A18" s="2">
        <v>17</v>
      </c>
      <c r="B18">
        <v>19</v>
      </c>
      <c r="C18">
        <v>16</v>
      </c>
      <c r="D18" s="3">
        <f>IF(Лист1__12[[#This Row],[Column18]]&lt;&gt;"",Лист1__12[[#This Row],[Column18]],"")</f>
        <v>16</v>
      </c>
      <c r="E18" s="2">
        <f t="shared" si="0"/>
        <v>7.41</v>
      </c>
      <c r="F18" s="2">
        <f t="shared" si="1"/>
        <v>92.59</v>
      </c>
    </row>
    <row r="19" spans="1:6" x14ac:dyDescent="0.25">
      <c r="A19" s="2">
        <v>18</v>
      </c>
      <c r="B19">
        <v>20</v>
      </c>
      <c r="C19">
        <v>22</v>
      </c>
      <c r="D19" s="3">
        <f>IF(Лист1__12[[#This Row],[Column18]]&lt;&gt;"",Лист1__12[[#This Row],[Column18]],"")</f>
        <v>22</v>
      </c>
      <c r="E19" s="2">
        <f t="shared" si="0"/>
        <v>10.19</v>
      </c>
      <c r="F19" s="2">
        <f t="shared" si="1"/>
        <v>89.81</v>
      </c>
    </row>
    <row r="20" spans="1:6" x14ac:dyDescent="0.25">
      <c r="A20" s="2">
        <v>19</v>
      </c>
      <c r="B20">
        <v>21</v>
      </c>
      <c r="C20">
        <v>102</v>
      </c>
      <c r="D20" s="3">
        <f>IF(Лист1__12[[#This Row],[Column18]]&lt;&gt;"",Лист1__12[[#This Row],[Column18]],"")</f>
        <v>102</v>
      </c>
      <c r="E20" s="2">
        <f t="shared" si="0"/>
        <v>47.22</v>
      </c>
      <c r="F20" s="2">
        <f t="shared" si="1"/>
        <v>52.78</v>
      </c>
    </row>
    <row r="21" spans="1:6" x14ac:dyDescent="0.25">
      <c r="A21" s="2">
        <v>20</v>
      </c>
      <c r="B21">
        <v>22</v>
      </c>
      <c r="C21">
        <v>152</v>
      </c>
      <c r="D21" s="3">
        <f>IF(Лист1__12[[#This Row],[Column18]]&lt;&gt;"",Лист1__12[[#This Row],[Column18]],"")</f>
        <v>152</v>
      </c>
      <c r="E21" s="2">
        <f t="shared" si="0"/>
        <v>70.37</v>
      </c>
      <c r="F21" s="2">
        <f t="shared" si="1"/>
        <v>29.629999999999995</v>
      </c>
    </row>
    <row r="22" spans="1:6" x14ac:dyDescent="0.25">
      <c r="A22" s="2">
        <v>21</v>
      </c>
      <c r="B22">
        <v>23</v>
      </c>
      <c r="C22">
        <v>90</v>
      </c>
      <c r="D22" s="3">
        <f>IF(Лист1__12[[#This Row],[Column18]]&lt;&gt;"",Лист1__12[[#This Row],[Column18]],"")</f>
        <v>90</v>
      </c>
      <c r="E22" s="2">
        <f t="shared" si="0"/>
        <v>41.67</v>
      </c>
      <c r="F22" s="2">
        <f t="shared" si="1"/>
        <v>58.33</v>
      </c>
    </row>
    <row r="23" spans="1:6" x14ac:dyDescent="0.25">
      <c r="A23" s="2">
        <v>22</v>
      </c>
      <c r="B23">
        <v>24</v>
      </c>
      <c r="C23">
        <v>134</v>
      </c>
      <c r="D23" s="3">
        <f>IF(Лист1__12[[#This Row],[Column18]]&lt;&gt;"",Лист1__12[[#This Row],[Column18]],"")</f>
        <v>134</v>
      </c>
      <c r="E23" s="2">
        <f t="shared" si="0"/>
        <v>62.04</v>
      </c>
      <c r="F23" s="2">
        <f t="shared" si="1"/>
        <v>37.96</v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IF(Лист1__12[[#This Row],[Column18]]&lt;&gt;"",Лист1__12[[#This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IF(Лист1__12[[#This Row],[Column18]]&lt;&gt;"",Лист1__12[[#This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IF(Лист1__12[[#This Row],[Column18]]&lt;&gt;"",Лист1__12[[#This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IF(Лист1__12[[#This Row],[Column18]]&lt;&gt;"",Лист1__12[[#This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IF(Лист1__12[[#This Row],[Column18]]&lt;&gt;"",Лист1__12[[#This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IF(Лист1__12[[#This Row],[Column18]]&lt;&gt;"",Лист1__12[[#This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IF(Лист1__12[[#This Row],[Column18]]&lt;&gt;"",Лист1__12[[#This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IF(Лист1__12[[#This Row],[Column18]]&lt;&gt;"",Лист1__12[[#This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IF(Лист1__12[[#This Row],[Column18]]&lt;&gt;"",Лист1__12[[#This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IF(Лист1__12[[#This Row],[Column18]]&lt;&gt;"",Лист1__12[[#This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IF(Лист1__12[[#This Row],[Column18]]&lt;&gt;"",Лист1__12[[#This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IF(Лист1__12[[#This Row],[Column18]]&lt;&gt;"",Лист1__12[[#This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IF(Лист1__12[[#This Row],[Column18]]&lt;&gt;"",Лист1__12[[#This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IF(Лист1__12[[#This Row],[Column18]]&lt;&gt;"",Лист1__12[[#This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IF(Лист1__12[[#This Row],[Column18]]&lt;&gt;"",Лист1__12[[#This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IF(Лист1__12[[#This Row],[Column18]]&lt;&gt;"",Лист1__12[[#This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IF(Лист1__12[[#This Row],[Column18]]&lt;&gt;"",Лист1__12[[#This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IF(Лист1__12[[#This Row],[Column18]]&lt;&gt;"",Лист1__12[[#This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1502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C0805-37D1-4414-9601-711CD357C4AB}">
  <sheetPr codeName="Лист21"/>
  <dimension ref="A1:M42"/>
  <sheetViews>
    <sheetView workbookViewId="0">
      <selection activeCell="O10" sqref="O10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[28]Лист1!$R$2</f>
        <v>144</v>
      </c>
      <c r="L1" s="2" t="s">
        <v>36</v>
      </c>
      <c r="M1" s="2" t="str">
        <f ca="1">MID(CELL("filename",A2),SEARCH("]",CELL("filename",A2))+1,31)</f>
        <v>ЭЖД-23</v>
      </c>
    </row>
    <row r="2" spans="1:13" x14ac:dyDescent="0.25">
      <c r="A2" s="2">
        <v>1</v>
      </c>
      <c r="B2">
        <v>3</v>
      </c>
      <c r="C2">
        <v>76</v>
      </c>
      <c r="D2" s="3">
        <f>IF(Лист1__20[[#This Row],[Column18]]&lt;&gt;"",Лист1__20[[#This Row],[Column18]],"")</f>
        <v>76</v>
      </c>
      <c r="E2" s="2">
        <f>IF(D2&lt;&gt;"",ROUND(D2/$K$1/2*100,2),"")</f>
        <v>26.39</v>
      </c>
      <c r="F2" s="2">
        <f>IF(E2&lt;&gt;"",100-E2,"")</f>
        <v>73.61</v>
      </c>
      <c r="J2" s="8" t="s">
        <v>11</v>
      </c>
      <c r="K2" s="8">
        <f>COUNT(D2:D41)</f>
        <v>18</v>
      </c>
      <c r="L2" s="2" t="s">
        <v>37</v>
      </c>
      <c r="M2" s="2">
        <f>[28]Лист1!$U$1</f>
        <v>16</v>
      </c>
    </row>
    <row r="3" spans="1:13" x14ac:dyDescent="0.25">
      <c r="A3" s="2">
        <v>2</v>
      </c>
      <c r="B3">
        <v>4</v>
      </c>
      <c r="C3">
        <v>104</v>
      </c>
      <c r="D3" s="3">
        <f>IF(Лист1__20[[#This Row],[Column18]]&lt;&gt;"",Лист1__20[[#This Row],[Column18]],"")</f>
        <v>104</v>
      </c>
      <c r="E3" s="2">
        <f t="shared" ref="E3:E41" si="0">IF(D3&lt;&gt;"",ROUND(D3/$K$1/2*100,2),"")</f>
        <v>36.11</v>
      </c>
      <c r="F3" s="2">
        <f t="shared" ref="F3:F41" si="1">IF(E3&lt;&gt;"",100-E3,"")</f>
        <v>63.89</v>
      </c>
      <c r="I3" s="19" t="s">
        <v>33</v>
      </c>
      <c r="J3" s="4" t="s">
        <v>3</v>
      </c>
      <c r="K3" s="2">
        <f>ROUND(L3/$K$2*100,0)</f>
        <v>17</v>
      </c>
      <c r="L3" s="9">
        <f>K2-SUM($L$4:$L$7)</f>
        <v>3</v>
      </c>
    </row>
    <row r="4" spans="1:13" ht="26.25" x14ac:dyDescent="0.25">
      <c r="A4" s="2">
        <v>3</v>
      </c>
      <c r="B4">
        <v>5</v>
      </c>
      <c r="C4">
        <v>58</v>
      </c>
      <c r="D4" s="3">
        <f>IF(Лист1__20[[#This Row],[Column18]]&lt;&gt;"",Лист1__20[[#This Row],[Column18]],"")</f>
        <v>58</v>
      </c>
      <c r="E4" s="2">
        <f t="shared" si="0"/>
        <v>20.14</v>
      </c>
      <c r="F4" s="2">
        <f t="shared" si="1"/>
        <v>79.86</v>
      </c>
      <c r="I4" s="19"/>
      <c r="J4" s="4" t="s">
        <v>4</v>
      </c>
      <c r="K4" s="2">
        <f t="shared" ref="K4:K6" si="2">ROUND(L4/$K$2*100,0)</f>
        <v>44</v>
      </c>
      <c r="L4" s="2">
        <f t="array" ref="L4">SUM(($E$2:$E$37&gt;=10)*(($E$2:$E$37)&lt;30))</f>
        <v>8</v>
      </c>
    </row>
    <row r="5" spans="1:13" ht="26.25" x14ac:dyDescent="0.25">
      <c r="A5" s="2">
        <v>4</v>
      </c>
      <c r="B5">
        <v>6</v>
      </c>
      <c r="C5">
        <v>24</v>
      </c>
      <c r="D5" s="3">
        <f>IF(Лист1__20[[#This Row],[Column18]]&lt;&gt;"",Лист1__20[[#This Row],[Column18]],"")</f>
        <v>24</v>
      </c>
      <c r="E5" s="2">
        <f t="shared" si="0"/>
        <v>8.33</v>
      </c>
      <c r="F5" s="2">
        <f t="shared" si="1"/>
        <v>91.67</v>
      </c>
      <c r="I5" s="19"/>
      <c r="J5" s="4" t="s">
        <v>5</v>
      </c>
      <c r="K5" s="2">
        <f t="shared" si="2"/>
        <v>22</v>
      </c>
      <c r="L5" s="2">
        <f t="array" ref="L5">SUM(($E$2:$E$37&gt;=30)*(($E$2:$E$37)&lt;50))</f>
        <v>4</v>
      </c>
    </row>
    <row r="6" spans="1:13" ht="26.25" x14ac:dyDescent="0.25">
      <c r="A6" s="2">
        <v>5</v>
      </c>
      <c r="B6">
        <v>7</v>
      </c>
      <c r="C6">
        <v>46</v>
      </c>
      <c r="D6" s="3">
        <f>IF(Лист1__20[[#This Row],[Column18]]&lt;&gt;"",Лист1__20[[#This Row],[Column18]],"")</f>
        <v>46</v>
      </c>
      <c r="E6" s="2">
        <f t="shared" si="0"/>
        <v>15.97</v>
      </c>
      <c r="F6" s="2">
        <f t="shared" si="1"/>
        <v>84.03</v>
      </c>
      <c r="I6" s="19"/>
      <c r="J6" s="4" t="s">
        <v>6</v>
      </c>
      <c r="K6" s="2">
        <f t="shared" si="2"/>
        <v>17</v>
      </c>
      <c r="L6" s="2">
        <f t="array" ref="L6">SUM(($E$2:$E$37&gt;=50)*(($E$2:$E$37)&lt;70))</f>
        <v>3</v>
      </c>
    </row>
    <row r="7" spans="1:13" ht="26.25" x14ac:dyDescent="0.25">
      <c r="A7" s="2">
        <v>6</v>
      </c>
      <c r="B7">
        <v>8</v>
      </c>
      <c r="C7">
        <v>30</v>
      </c>
      <c r="D7" s="3">
        <f>IF(Лист1__20[[#This Row],[Column18]]&lt;&gt;"",Лист1__20[[#This Row],[Column18]],"")</f>
        <v>30</v>
      </c>
      <c r="E7" s="2">
        <f t="shared" si="0"/>
        <v>10.42</v>
      </c>
      <c r="F7" s="2">
        <f t="shared" si="1"/>
        <v>89.58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36</v>
      </c>
      <c r="D8" s="3">
        <f>IF(Лист1__20[[#This Row],[Column18]]&lt;&gt;"",Лист1__20[[#This Row],[Column18]],"")</f>
        <v>36</v>
      </c>
      <c r="E8" s="2">
        <f t="shared" si="0"/>
        <v>12.5</v>
      </c>
      <c r="F8" s="2">
        <f t="shared" si="1"/>
        <v>87.5</v>
      </c>
    </row>
    <row r="9" spans="1:13" x14ac:dyDescent="0.25">
      <c r="A9" s="2">
        <v>8</v>
      </c>
      <c r="B9">
        <v>10</v>
      </c>
      <c r="C9">
        <v>4</v>
      </c>
      <c r="D9" s="3">
        <f>IF(Лист1__20[[#This Row],[Column18]]&lt;&gt;"",Лист1__20[[#This Row],[Column18]],"")</f>
        <v>4</v>
      </c>
      <c r="E9" s="2">
        <f t="shared" si="0"/>
        <v>1.39</v>
      </c>
      <c r="F9" s="2">
        <f t="shared" si="1"/>
        <v>98.61</v>
      </c>
      <c r="K9" t="s">
        <v>31</v>
      </c>
    </row>
    <row r="10" spans="1:13" ht="26.25" x14ac:dyDescent="0.25">
      <c r="A10" s="2">
        <v>9</v>
      </c>
      <c r="B10">
        <v>11</v>
      </c>
      <c r="C10">
        <v>168</v>
      </c>
      <c r="D10" s="3">
        <f>IF(Лист1__20[[#This Row],[Column18]]&lt;&gt;"",Лист1__20[[#This Row],[Column18]],"")</f>
        <v>168</v>
      </c>
      <c r="E10" s="2">
        <f t="shared" si="0"/>
        <v>58.33</v>
      </c>
      <c r="F10" s="2">
        <f t="shared" si="1"/>
        <v>41.67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156</v>
      </c>
      <c r="D11" s="3">
        <f>IF(Лист1__20[[#This Row],[Column18]]&lt;&gt;"",Лист1__20[[#This Row],[Column18]],"")</f>
        <v>156</v>
      </c>
      <c r="E11" s="2">
        <f t="shared" si="0"/>
        <v>54.17</v>
      </c>
      <c r="F11" s="2">
        <f t="shared" si="1"/>
        <v>45.83</v>
      </c>
      <c r="I11" s="19"/>
      <c r="J11" s="4" t="s">
        <v>5</v>
      </c>
      <c r="K11" s="2">
        <f t="shared" si="3"/>
        <v>17</v>
      </c>
      <c r="L11" s="2">
        <f t="array" ref="L11">SUM(($F$2:$F$37&gt;=30)*(($F$2:$F$37)&lt;50))</f>
        <v>3</v>
      </c>
    </row>
    <row r="12" spans="1:13" ht="26.25" x14ac:dyDescent="0.25">
      <c r="A12" s="2">
        <v>11</v>
      </c>
      <c r="B12">
        <v>13</v>
      </c>
      <c r="C12">
        <v>138</v>
      </c>
      <c r="D12" s="3">
        <f>IF(Лист1__20[[#This Row],[Column18]]&lt;&gt;"",Лист1__20[[#This Row],[Column18]],"")</f>
        <v>138</v>
      </c>
      <c r="E12" s="2">
        <f t="shared" si="0"/>
        <v>47.92</v>
      </c>
      <c r="F12" s="2">
        <f t="shared" si="1"/>
        <v>52.08</v>
      </c>
      <c r="I12" s="19"/>
      <c r="J12" s="4" t="s">
        <v>28</v>
      </c>
      <c r="K12" s="2">
        <f t="shared" si="3"/>
        <v>33</v>
      </c>
      <c r="L12" s="2">
        <f t="array" ref="L12">SUM(($F$2:$F$37&gt;=50)*(($F$2:$F$37)&lt;75))</f>
        <v>6</v>
      </c>
    </row>
    <row r="13" spans="1:13" ht="26.25" x14ac:dyDescent="0.25">
      <c r="A13" s="2">
        <v>12</v>
      </c>
      <c r="B13">
        <v>14</v>
      </c>
      <c r="C13">
        <v>86</v>
      </c>
      <c r="D13" s="3">
        <f>IF(Лист1__20[[#This Row],[Column18]]&lt;&gt;"",Лист1__20[[#This Row],[Column18]],"")</f>
        <v>86</v>
      </c>
      <c r="E13" s="2">
        <f t="shared" si="0"/>
        <v>29.86</v>
      </c>
      <c r="F13" s="2">
        <f t="shared" si="1"/>
        <v>70.14</v>
      </c>
      <c r="I13" s="19"/>
      <c r="J13" s="4" t="s">
        <v>29</v>
      </c>
      <c r="K13" s="2">
        <f t="shared" si="3"/>
        <v>33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54</v>
      </c>
      <c r="D14" s="3">
        <f>IF(Лист1__20[[#This Row],[Column18]]&lt;&gt;"",Лист1__20[[#This Row],[Column18]],"")</f>
        <v>54</v>
      </c>
      <c r="E14" s="2">
        <f t="shared" si="0"/>
        <v>18.75</v>
      </c>
      <c r="F14" s="2">
        <f t="shared" si="1"/>
        <v>81.25</v>
      </c>
      <c r="I14" s="19"/>
      <c r="J14" s="7" t="s">
        <v>30</v>
      </c>
      <c r="K14" s="2">
        <f>100-SUM($K$9:$K$13)</f>
        <v>17</v>
      </c>
      <c r="L14" s="2">
        <f>$K$2-SUM(L9:L$13)</f>
        <v>3</v>
      </c>
    </row>
    <row r="15" spans="1:13" x14ac:dyDescent="0.25">
      <c r="A15" s="2">
        <v>14</v>
      </c>
      <c r="B15">
        <v>16</v>
      </c>
      <c r="C15">
        <v>8</v>
      </c>
      <c r="D15" s="3">
        <f>IF(Лист1__20[[#This Row],[Column18]]&lt;&gt;"",Лист1__20[[#This Row],[Column18]],"")</f>
        <v>8</v>
      </c>
      <c r="E15" s="2">
        <f t="shared" si="0"/>
        <v>2.78</v>
      </c>
      <c r="F15" s="2">
        <f t="shared" si="1"/>
        <v>97.22</v>
      </c>
    </row>
    <row r="16" spans="1:13" x14ac:dyDescent="0.25">
      <c r="A16" s="2">
        <v>15</v>
      </c>
      <c r="B16">
        <v>17</v>
      </c>
      <c r="C16">
        <v>162</v>
      </c>
      <c r="D16" s="3">
        <f>IF(Лист1__20[[#This Row],[Column18]]&lt;&gt;"",Лист1__20[[#This Row],[Column18]],"")</f>
        <v>162</v>
      </c>
      <c r="E16" s="2">
        <f t="shared" si="0"/>
        <v>56.25</v>
      </c>
      <c r="F16" s="2">
        <f t="shared" si="1"/>
        <v>43.75</v>
      </c>
    </row>
    <row r="17" spans="1:6" x14ac:dyDescent="0.25">
      <c r="A17" s="2">
        <v>16</v>
      </c>
      <c r="B17">
        <v>18</v>
      </c>
      <c r="C17">
        <v>72</v>
      </c>
      <c r="D17" s="3">
        <f>IF(Лист1__20[[#This Row],[Column18]]&lt;&gt;"",Лист1__20[[#This Row],[Column18]],"")</f>
        <v>72</v>
      </c>
      <c r="E17" s="2">
        <f t="shared" si="0"/>
        <v>25</v>
      </c>
      <c r="F17" s="2">
        <f t="shared" si="1"/>
        <v>75</v>
      </c>
    </row>
    <row r="18" spans="1:6" x14ac:dyDescent="0.25">
      <c r="A18" s="2">
        <v>17</v>
      </c>
      <c r="B18">
        <v>19</v>
      </c>
      <c r="C18">
        <v>112</v>
      </c>
      <c r="D18" s="3">
        <f>IF(Лист1__20[[#This Row],[Column18]]&lt;&gt;"",Лист1__20[[#This Row],[Column18]],"")</f>
        <v>112</v>
      </c>
      <c r="E18" s="2">
        <f t="shared" si="0"/>
        <v>38.89</v>
      </c>
      <c r="F18" s="2">
        <f t="shared" si="1"/>
        <v>61.11</v>
      </c>
    </row>
    <row r="19" spans="1:6" x14ac:dyDescent="0.25">
      <c r="A19" s="2">
        <v>18</v>
      </c>
      <c r="B19">
        <v>20</v>
      </c>
      <c r="C19">
        <v>118</v>
      </c>
      <c r="D19" s="3">
        <f>IF(Лист1__20[[#This Row],[Column18]]&lt;&gt;"",Лист1__20[[#This Row],[Column18]],"")</f>
        <v>118</v>
      </c>
      <c r="E19" s="2">
        <f t="shared" si="0"/>
        <v>40.97</v>
      </c>
      <c r="F19" s="2">
        <f t="shared" si="1"/>
        <v>59.03</v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IF(Лист1__20[[#This Row],[Column18]]&lt;&gt;"",Лист1__20[[#This Row],[Column18]],"")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IF(Лист1__20[[#This Row],[Column18]]&lt;&gt;"",Лист1__20[[#This Row],[Column18]],"")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IF(Лист1__20[[#This Row],[Column18]]&lt;&gt;"",Лист1__20[[#This Row],[Column18]],"")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IF(Лист1__20[[#This Row],[Column18]]&lt;&gt;"",Лист1__20[[#This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IF(Лист1__20[[#This Row],[Column18]]&lt;&gt;"",Лист1__20[[#This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IF(Лист1__20[[#This Row],[Column18]]&lt;&gt;"",Лист1__20[[#This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IF(Лист1__20[[#This Row],[Column18]]&lt;&gt;"",Лист1__20[[#This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IF(Лист1__20[[#This Row],[Column18]]&lt;&gt;"",Лист1__20[[#This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IF(Лист1__20[[#This Row],[Column18]]&lt;&gt;"",Лист1__20[[#This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IF(Лист1__20[[#This Row],[Column18]]&lt;&gt;"",Лист1__20[[#This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IF(Лист1__20[[#This Row],[Column18]]&lt;&gt;"",Лист1__20[[#This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IF(Лист1__20[[#This Row],[Column18]]&lt;&gt;"",Лист1__20[[#This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IF(Лист1__20[[#This Row],[Column18]]&lt;&gt;"",Лист1__20[[#This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IF(Лист1__20[[#This Row],[Column18]]&lt;&gt;"",Лист1__20[[#This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IF(Лист1__20[[#This Row],[Column18]]&lt;&gt;"",Лист1__20[[#This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IF(Лист1__20[[#This Row],[Column18]]&lt;&gt;"",Лист1__20[[#This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IF(Лист1__20[[#This Row],[Column18]]&lt;&gt;"",Лист1__20[[#This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IF(Лист1__20[[#This Row],[Column18]]&lt;&gt;"",Лист1__20[[#This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IF(Лист1__20[[#This Row],[Column18]]&lt;&gt;"",Лист1__20[[#This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IF(Лист1__20[[#This Row],[Column18]]&lt;&gt;"",Лист1__20[[#This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IF(Лист1__20[[#This Row],[Column18]]&lt;&gt;"",Лист1__20[[#This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IF(Лист1__20[[#This Row],[Column18]]&lt;&gt;"",Лист1__20[[#This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1452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EB065-7127-4542-A322-B26B163C32EE}">
  <sheetPr codeName="Лист24"/>
  <dimension ref="A1:M42"/>
  <sheetViews>
    <sheetView workbookViewId="0">
      <selection activeCell="N10" sqref="N10"/>
    </sheetView>
  </sheetViews>
  <sheetFormatPr defaultRowHeight="15" x14ac:dyDescent="0.25"/>
  <cols>
    <col min="2" max="2" width="10.140625" hidden="1" customWidth="1"/>
    <col min="3" max="3" width="12.140625" hidden="1" customWidth="1"/>
    <col min="4" max="4" width="12.140625" customWidth="1"/>
    <col min="5" max="5" width="12.140625" bestFit="1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[29]Лист1!$R$2</f>
        <v>92</v>
      </c>
      <c r="L1" s="2" t="s">
        <v>36</v>
      </c>
      <c r="M1" s="2" t="str">
        <f ca="1">MID(CELL("filename",A2),SEARCH("]",CELL("filename",A2))+1,31)</f>
        <v>ТТПб-21</v>
      </c>
    </row>
    <row r="2" spans="1:13" x14ac:dyDescent="0.25">
      <c r="A2" s="2">
        <v>1</v>
      </c>
      <c r="B2">
        <v>3</v>
      </c>
      <c r="C2">
        <v>46</v>
      </c>
      <c r="D2" s="3">
        <f>IF(Лист1__23[[#This Row],[Column18]]&lt;&gt;"",Лист1__23[[#This Row],[Column18]],"")</f>
        <v>46</v>
      </c>
      <c r="E2" s="2">
        <f>IF(D2&lt;&gt;"",ROUND(D2/$K$1/2*100,2),"")</f>
        <v>25</v>
      </c>
      <c r="F2" s="2">
        <f>IF(E2&lt;&gt;"",IF(AND(100-E2&gt;=20,100-E2&lt;30),30,100-E2),"")</f>
        <v>75</v>
      </c>
      <c r="J2" s="8" t="s">
        <v>11</v>
      </c>
      <c r="K2" s="8">
        <f>COUNT(D2:D41)</f>
        <v>22</v>
      </c>
      <c r="L2" s="2" t="s">
        <v>37</v>
      </c>
      <c r="M2" s="2">
        <f>[29]Лист1!$U$1</f>
        <v>8</v>
      </c>
    </row>
    <row r="3" spans="1:13" x14ac:dyDescent="0.25">
      <c r="A3" s="2">
        <v>2</v>
      </c>
      <c r="B3">
        <v>4</v>
      </c>
      <c r="C3">
        <v>0</v>
      </c>
      <c r="D3" s="3">
        <f>IF(Лист1__23[[#This Row],[Column18]]&lt;&gt;"",Лист1__23[[#This Row],[Column18]],"")</f>
        <v>0</v>
      </c>
      <c r="E3" s="2">
        <f t="shared" ref="E3:E41" si="0">IF(D3&lt;&gt;"",ROUND(D3/$K$1/2*100,2),"")</f>
        <v>0</v>
      </c>
      <c r="F3" s="2">
        <f t="shared" ref="F3:F25" si="1">IF(E3&lt;&gt;"",IF(AND(100-E3&gt;=20,100-E3&lt;30),30,100-E3),"")</f>
        <v>100</v>
      </c>
      <c r="I3" s="19" t="s">
        <v>33</v>
      </c>
      <c r="J3" s="4" t="s">
        <v>3</v>
      </c>
      <c r="K3" s="2">
        <f>ROUND(L3/$K$2*100,0)</f>
        <v>59</v>
      </c>
      <c r="L3" s="9">
        <f>K2-SUM($L$4:$L$7)</f>
        <v>13</v>
      </c>
    </row>
    <row r="4" spans="1:13" ht="26.25" x14ac:dyDescent="0.25">
      <c r="A4" s="2">
        <v>3</v>
      </c>
      <c r="B4">
        <v>5</v>
      </c>
      <c r="C4">
        <v>46</v>
      </c>
      <c r="D4" s="3">
        <f>IF(Лист1__23[[#This Row],[Column18]]&lt;&gt;"",Лист1__23[[#This Row],[Column18]],"")</f>
        <v>46</v>
      </c>
      <c r="E4" s="2">
        <f t="shared" si="0"/>
        <v>25</v>
      </c>
      <c r="F4" s="2">
        <f t="shared" si="1"/>
        <v>75</v>
      </c>
      <c r="I4" s="19"/>
      <c r="J4" s="4" t="s">
        <v>4</v>
      </c>
      <c r="K4" s="2">
        <f t="shared" ref="K4:K6" si="2">ROUND(L4/$K$2*100,0)</f>
        <v>32</v>
      </c>
      <c r="L4" s="2">
        <f t="array" ref="L4">SUM(($E$2:$E$37&gt;=10)*(($E$2:$E$37)&lt;30))</f>
        <v>7</v>
      </c>
    </row>
    <row r="5" spans="1:13" ht="26.25" x14ac:dyDescent="0.25">
      <c r="A5" s="2">
        <v>4</v>
      </c>
      <c r="B5">
        <v>6</v>
      </c>
      <c r="C5">
        <v>52</v>
      </c>
      <c r="D5" s="3">
        <f>IF(Лист1__23[[#This Row],[Column18]]&lt;&gt;"",Лист1__23[[#This Row],[Column18]],"")</f>
        <v>52</v>
      </c>
      <c r="E5" s="2">
        <f t="shared" si="0"/>
        <v>28.26</v>
      </c>
      <c r="F5" s="2">
        <f t="shared" si="1"/>
        <v>71.739999999999995</v>
      </c>
      <c r="I5" s="19"/>
      <c r="J5" s="4" t="s">
        <v>5</v>
      </c>
      <c r="K5" s="2">
        <f t="shared" si="2"/>
        <v>9</v>
      </c>
      <c r="L5" s="2">
        <f t="array" ref="L5">SUM(($E$2:$E$37&gt;=30)*(($E$2:$E$37)&lt;50))</f>
        <v>2</v>
      </c>
    </row>
    <row r="6" spans="1:13" ht="26.25" x14ac:dyDescent="0.25">
      <c r="A6" s="2">
        <v>5</v>
      </c>
      <c r="B6">
        <v>7</v>
      </c>
      <c r="C6">
        <v>0</v>
      </c>
      <c r="D6" s="3">
        <f>IF(Лист1__23[[#This Row],[Column18]]&lt;&gt;"",Лист1__23[[#This Row],[Column18]],"")</f>
        <v>0</v>
      </c>
      <c r="E6" s="2">
        <f t="shared" si="0"/>
        <v>0</v>
      </c>
      <c r="F6" s="2">
        <f t="shared" si="1"/>
        <v>100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6</v>
      </c>
      <c r="D7" s="3">
        <f>IF(Лист1__23[[#This Row],[Column18]]&lt;&gt;"",Лист1__23[[#This Row],[Column18]],"")</f>
        <v>6</v>
      </c>
      <c r="E7" s="2">
        <f t="shared" si="0"/>
        <v>3.26</v>
      </c>
      <c r="F7" s="2">
        <f t="shared" si="1"/>
        <v>96.74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>
        <v>10</v>
      </c>
      <c r="D8" s="3">
        <f>IF(Лист1__23[[#This Row],[Column18]]&lt;&gt;"",Лист1__23[[#This Row],[Column18]],"")</f>
        <v>10</v>
      </c>
      <c r="E8" s="2">
        <f t="shared" si="0"/>
        <v>5.43</v>
      </c>
      <c r="F8" s="2">
        <f t="shared" si="1"/>
        <v>94.57</v>
      </c>
    </row>
    <row r="9" spans="1:13" x14ac:dyDescent="0.25">
      <c r="A9" s="2">
        <v>8</v>
      </c>
      <c r="B9">
        <v>10</v>
      </c>
      <c r="C9">
        <v>0</v>
      </c>
      <c r="D9" s="3">
        <f>IF(Лист1__23[[#This Row],[Column18]]&lt;&gt;"",Лист1__23[[#This Row],[Column18]],"")</f>
        <v>0</v>
      </c>
      <c r="E9" s="2">
        <f t="shared" si="0"/>
        <v>0</v>
      </c>
      <c r="F9" s="2">
        <f t="shared" si="1"/>
        <v>100</v>
      </c>
      <c r="K9" t="s">
        <v>31</v>
      </c>
    </row>
    <row r="10" spans="1:13" ht="26.25" x14ac:dyDescent="0.25">
      <c r="A10" s="2">
        <v>9</v>
      </c>
      <c r="B10">
        <v>11</v>
      </c>
      <c r="C10">
        <v>0</v>
      </c>
      <c r="D10" s="3">
        <f>IF(Лист1__23[[#This Row],[Column18]]&lt;&gt;"",Лист1__23[[#This Row],[Column18]],"")</f>
        <v>0</v>
      </c>
      <c r="E10" s="2">
        <f t="shared" si="0"/>
        <v>0</v>
      </c>
      <c r="F10" s="2">
        <f t="shared" si="1"/>
        <v>100</v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>
        <v>20</v>
      </c>
      <c r="D11" s="3">
        <f>IF(Лист1__23[[#This Row],[Column18]]&lt;&gt;"",Лист1__23[[#This Row],[Column18]],"")</f>
        <v>20</v>
      </c>
      <c r="E11" s="2">
        <f t="shared" si="0"/>
        <v>10.87</v>
      </c>
      <c r="F11" s="2">
        <f t="shared" si="1"/>
        <v>89.13</v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>
        <v>0</v>
      </c>
      <c r="D12" s="3">
        <f>IF(Лист1__23[[#This Row],[Column18]]&lt;&gt;"",Лист1__23[[#This Row],[Column18]],"")</f>
        <v>0</v>
      </c>
      <c r="E12" s="2">
        <f t="shared" si="0"/>
        <v>0</v>
      </c>
      <c r="F12" s="2">
        <f t="shared" si="1"/>
        <v>100</v>
      </c>
      <c r="I12" s="19"/>
      <c r="J12" s="4" t="s">
        <v>28</v>
      </c>
      <c r="K12" s="2">
        <f t="shared" si="3"/>
        <v>14</v>
      </c>
      <c r="L12" s="2">
        <f t="array" ref="L12">SUM(($F$2:$F$37&gt;=50)*(($F$2:$F$37)&lt;75))</f>
        <v>3</v>
      </c>
    </row>
    <row r="13" spans="1:13" ht="26.25" x14ac:dyDescent="0.25">
      <c r="A13" s="2">
        <v>12</v>
      </c>
      <c r="B13">
        <v>14</v>
      </c>
      <c r="C13">
        <v>0</v>
      </c>
      <c r="D13" s="3">
        <f>IF(Лист1__23[[#This Row],[Column18]]&lt;&gt;"",Лист1__23[[#This Row],[Column18]],"")</f>
        <v>0</v>
      </c>
      <c r="E13" s="2">
        <f t="shared" si="0"/>
        <v>0</v>
      </c>
      <c r="F13" s="2">
        <f t="shared" si="1"/>
        <v>100</v>
      </c>
      <c r="I13" s="19"/>
      <c r="J13" s="4" t="s">
        <v>29</v>
      </c>
      <c r="K13" s="2">
        <f t="shared" si="3"/>
        <v>27</v>
      </c>
      <c r="L13" s="2">
        <f t="array" ref="L13">SUM(($F$2:$F$37&gt;=75)*(($F$2:$F$37)&lt;90))</f>
        <v>6</v>
      </c>
    </row>
    <row r="14" spans="1:13" ht="26.25" x14ac:dyDescent="0.25">
      <c r="A14" s="2">
        <v>13</v>
      </c>
      <c r="B14">
        <v>15</v>
      </c>
      <c r="C14">
        <v>70</v>
      </c>
      <c r="D14" s="3">
        <f>IF(Лист1__23[[#This Row],[Column18]]&lt;&gt;"",Лист1__23[[#This Row],[Column18]],"")</f>
        <v>70</v>
      </c>
      <c r="E14" s="2">
        <f t="shared" si="0"/>
        <v>38.04</v>
      </c>
      <c r="F14" s="2">
        <f t="shared" si="1"/>
        <v>61.96</v>
      </c>
      <c r="I14" s="19"/>
      <c r="J14" s="7" t="s">
        <v>30</v>
      </c>
      <c r="K14" s="2">
        <f>100-SUM($K$9:$K$13)</f>
        <v>59</v>
      </c>
      <c r="L14" s="2">
        <f>$K$2-SUM(L9:L$13)</f>
        <v>13</v>
      </c>
    </row>
    <row r="15" spans="1:13" x14ac:dyDescent="0.25">
      <c r="A15" s="2">
        <v>14</v>
      </c>
      <c r="B15">
        <v>16</v>
      </c>
      <c r="C15">
        <v>0</v>
      </c>
      <c r="D15" s="3">
        <f>IF(Лист1__23[[#This Row],[Column18]]&lt;&gt;"",Лист1__23[[#This Row],[Column18]],"")</f>
        <v>0</v>
      </c>
      <c r="E15" s="2">
        <f t="shared" si="0"/>
        <v>0</v>
      </c>
      <c r="F15" s="2">
        <f t="shared" si="1"/>
        <v>100</v>
      </c>
    </row>
    <row r="16" spans="1:13" x14ac:dyDescent="0.25">
      <c r="A16" s="2">
        <v>15</v>
      </c>
      <c r="B16">
        <v>17</v>
      </c>
      <c r="C16">
        <v>24</v>
      </c>
      <c r="D16" s="3">
        <f>IF(Лист1__23[[#This Row],[Column18]]&lt;&gt;"",Лист1__23[[#This Row],[Column18]],"")</f>
        <v>24</v>
      </c>
      <c r="E16" s="2">
        <f t="shared" si="0"/>
        <v>13.04</v>
      </c>
      <c r="F16" s="2">
        <f t="shared" si="1"/>
        <v>86.960000000000008</v>
      </c>
    </row>
    <row r="17" spans="1:6" x14ac:dyDescent="0.25">
      <c r="A17" s="2">
        <v>16</v>
      </c>
      <c r="B17">
        <v>18</v>
      </c>
      <c r="C17">
        <v>44</v>
      </c>
      <c r="D17" s="3">
        <f>IF(Лист1__23[[#This Row],[Column18]]&lt;&gt;"",Лист1__23[[#This Row],[Column18]],"")</f>
        <v>44</v>
      </c>
      <c r="E17" s="2">
        <f t="shared" si="0"/>
        <v>23.91</v>
      </c>
      <c r="F17" s="2">
        <f t="shared" si="1"/>
        <v>76.09</v>
      </c>
    </row>
    <row r="18" spans="1:6" x14ac:dyDescent="0.25">
      <c r="A18" s="2">
        <v>17</v>
      </c>
      <c r="B18">
        <v>19</v>
      </c>
      <c r="C18">
        <v>8</v>
      </c>
      <c r="D18" s="3">
        <f>IF(Лист1__23[[#This Row],[Column18]]&lt;&gt;"",Лист1__23[[#This Row],[Column18]],"")</f>
        <v>8</v>
      </c>
      <c r="E18" s="2">
        <f t="shared" si="0"/>
        <v>4.3499999999999996</v>
      </c>
      <c r="F18" s="2">
        <f t="shared" si="1"/>
        <v>95.65</v>
      </c>
    </row>
    <row r="19" spans="1:6" x14ac:dyDescent="0.25">
      <c r="A19" s="2">
        <v>18</v>
      </c>
      <c r="B19">
        <v>20</v>
      </c>
      <c r="C19">
        <v>24</v>
      </c>
      <c r="D19" s="3">
        <f>IF(Лист1__23[[#This Row],[Column18]]&lt;&gt;"",Лист1__23[[#This Row],[Column18]],"")</f>
        <v>24</v>
      </c>
      <c r="E19" s="2">
        <f t="shared" si="0"/>
        <v>13.04</v>
      </c>
      <c r="F19" s="2">
        <f t="shared" si="1"/>
        <v>86.960000000000008</v>
      </c>
    </row>
    <row r="20" spans="1:6" x14ac:dyDescent="0.25">
      <c r="A20" s="2">
        <v>19</v>
      </c>
      <c r="B20">
        <v>21</v>
      </c>
      <c r="C20">
        <v>72</v>
      </c>
      <c r="D20" s="3">
        <f>IF(Лист1__23[[#This Row],[Column18]]&lt;&gt;"",Лист1__23[[#This Row],[Column18]],"")</f>
        <v>72</v>
      </c>
      <c r="E20" s="2">
        <f t="shared" si="0"/>
        <v>39.130000000000003</v>
      </c>
      <c r="F20" s="2">
        <f t="shared" si="1"/>
        <v>60.87</v>
      </c>
    </row>
    <row r="21" spans="1:6" x14ac:dyDescent="0.25">
      <c r="A21" s="2">
        <v>20</v>
      </c>
      <c r="B21">
        <v>22</v>
      </c>
      <c r="C21">
        <v>0</v>
      </c>
      <c r="D21" s="3">
        <f>IF(Лист1__23[[#This Row],[Column18]]&lt;&gt;"",Лист1__23[[#This Row],[Column18]],"")</f>
        <v>0</v>
      </c>
      <c r="E21" s="2">
        <f t="shared" si="0"/>
        <v>0</v>
      </c>
      <c r="F21" s="2">
        <f t="shared" si="1"/>
        <v>100</v>
      </c>
    </row>
    <row r="22" spans="1:6" x14ac:dyDescent="0.25">
      <c r="A22" s="2">
        <v>21</v>
      </c>
      <c r="B22">
        <v>23</v>
      </c>
      <c r="C22">
        <v>16</v>
      </c>
      <c r="D22" s="3">
        <f>IF(Лист1__23[[#This Row],[Column18]]&lt;&gt;"",Лист1__23[[#This Row],[Column18]],"")</f>
        <v>16</v>
      </c>
      <c r="E22" s="2">
        <f t="shared" si="0"/>
        <v>8.6999999999999993</v>
      </c>
      <c r="F22" s="2">
        <f t="shared" si="1"/>
        <v>91.3</v>
      </c>
    </row>
    <row r="23" spans="1:6" x14ac:dyDescent="0.25">
      <c r="A23" s="2">
        <v>22</v>
      </c>
      <c r="B23">
        <v>24</v>
      </c>
      <c r="C23">
        <v>18</v>
      </c>
      <c r="D23" s="3">
        <f>IF(Лист1__23[[#This Row],[Column18]]&lt;&gt;"",Лист1__23[[#This Row],[Column18]],"")</f>
        <v>18</v>
      </c>
      <c r="E23" s="2">
        <f t="shared" si="0"/>
        <v>9.7799999999999994</v>
      </c>
      <c r="F23" s="2">
        <f t="shared" si="1"/>
        <v>90.22</v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IF(Лист1__23[[#This Row],[Column18]]&lt;&gt;"",Лист1__23[[#This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IF(Лист1__23[[#This Row],[Column18]]&lt;&gt;"",Лист1__23[[#This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IF(Лист1__23[[#This Row],[Column18]]&lt;&gt;"",Лист1__23[[#This Row],[Column18]],"")</f>
        <v/>
      </c>
      <c r="E26" s="2" t="str">
        <f t="shared" si="0"/>
        <v/>
      </c>
      <c r="F26" s="2" t="str">
        <f t="shared" ref="F26:F41" si="4">IF(E26&lt;&gt;"",100-E26,"")</f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IF(Лист1__23[[#This Row],[Column18]]&lt;&gt;"",Лист1__23[[#This Row],[Column18]],"")</f>
        <v/>
      </c>
      <c r="E27" s="2" t="str">
        <f t="shared" si="0"/>
        <v/>
      </c>
      <c r="F27" s="2" t="str">
        <f t="shared" si="4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IF(Лист1__23[[#This Row],[Column18]]&lt;&gt;"",Лист1__23[[#This Row],[Column18]],"")</f>
        <v/>
      </c>
      <c r="E28" s="2" t="str">
        <f t="shared" si="0"/>
        <v/>
      </c>
      <c r="F28" s="2" t="str">
        <f t="shared" si="4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IF(Лист1__23[[#This Row],[Column18]]&lt;&gt;"",Лист1__23[[#This Row],[Column18]],"")</f>
        <v/>
      </c>
      <c r="E29" s="2" t="str">
        <f t="shared" si="0"/>
        <v/>
      </c>
      <c r="F29" s="2" t="str">
        <f t="shared" si="4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IF(Лист1__23[[#This Row],[Column18]]&lt;&gt;"",Лист1__23[[#This Row],[Column18]],"")</f>
        <v/>
      </c>
      <c r="E30" s="2" t="str">
        <f t="shared" si="0"/>
        <v/>
      </c>
      <c r="F30" s="2" t="str">
        <f t="shared" si="4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IF(Лист1__23[[#This Row],[Column18]]&lt;&gt;"",Лист1__23[[#This Row],[Column18]],"")</f>
        <v/>
      </c>
      <c r="E31" s="2" t="str">
        <f t="shared" si="0"/>
        <v/>
      </c>
      <c r="F31" s="2" t="str">
        <f t="shared" si="4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IF(Лист1__23[[#This Row],[Column18]]&lt;&gt;"",Лист1__23[[#This Row],[Column18]],"")</f>
        <v/>
      </c>
      <c r="E32" s="2" t="str">
        <f t="shared" si="0"/>
        <v/>
      </c>
      <c r="F32" s="2" t="str">
        <f t="shared" si="4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IF(Лист1__23[[#This Row],[Column18]]&lt;&gt;"",Лист1__23[[#This Row],[Column18]],"")</f>
        <v/>
      </c>
      <c r="E33" s="2" t="str">
        <f t="shared" si="0"/>
        <v/>
      </c>
      <c r="F33" s="2" t="str">
        <f t="shared" si="4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IF(Лист1__23[[#This Row],[Column18]]&lt;&gt;"",Лист1__23[[#This Row],[Column18]],"")</f>
        <v/>
      </c>
      <c r="E34" s="2" t="str">
        <f t="shared" si="0"/>
        <v/>
      </c>
      <c r="F34" s="2" t="str">
        <f t="shared" si="4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IF(Лист1__23[[#This Row],[Column18]]&lt;&gt;"",Лист1__23[[#This Row],[Column18]],"")</f>
        <v/>
      </c>
      <c r="E35" s="2" t="str">
        <f t="shared" si="0"/>
        <v/>
      </c>
      <c r="F35" s="2" t="str">
        <f t="shared" si="4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IF(Лист1__23[[#This Row],[Column18]]&lt;&gt;"",Лист1__23[[#This Row],[Column18]],"")</f>
        <v/>
      </c>
      <c r="E36" s="2" t="str">
        <f t="shared" si="0"/>
        <v/>
      </c>
      <c r="F36" s="2" t="str">
        <f t="shared" si="4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IF(Лист1__23[[#This Row],[Column18]]&lt;&gt;"",Лист1__23[[#This Row],[Column18]],"")</f>
        <v/>
      </c>
      <c r="E37" s="2" t="str">
        <f t="shared" si="0"/>
        <v/>
      </c>
      <c r="F37" s="2" t="str">
        <f t="shared" si="4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IF(Лист1__23[[#This Row],[Column18]]&lt;&gt;"",Лист1__23[[#This Row],[Column18]],"")</f>
        <v/>
      </c>
      <c r="E38" s="2" t="str">
        <f t="shared" si="0"/>
        <v/>
      </c>
      <c r="F38" s="2" t="str">
        <f t="shared" si="4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IF(Лист1__23[[#This Row],[Column18]]&lt;&gt;"",Лист1__23[[#This Row],[Column18]],"")</f>
        <v/>
      </c>
      <c r="E39" s="2" t="str">
        <f t="shared" si="0"/>
        <v/>
      </c>
      <c r="F39" s="2" t="str">
        <f t="shared" si="4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IF(Лист1__23[[#This Row],[Column18]]&lt;&gt;"",Лист1__23[[#This Row],[Column18]],"")</f>
        <v/>
      </c>
      <c r="E40" s="2" t="str">
        <f t="shared" si="0"/>
        <v/>
      </c>
      <c r="F40" s="2" t="str">
        <f t="shared" si="4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IF(Лист1__23[[#This Row],[Column18]]&lt;&gt;"",Лист1__23[[#This Row],[Column18]],"")</f>
        <v/>
      </c>
      <c r="E41" s="2" t="str">
        <f t="shared" si="0"/>
        <v/>
      </c>
      <c r="F41" s="2" t="str">
        <f t="shared" si="4"/>
        <v/>
      </c>
    </row>
    <row r="42" spans="1:7" x14ac:dyDescent="0.25">
      <c r="A42" t="s">
        <v>40</v>
      </c>
      <c r="B42">
        <v>43</v>
      </c>
      <c r="D42" s="17">
        <f>SUM(D2:D41)</f>
        <v>456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3CDA-0575-4E22-BD9B-023FED1961B7}">
  <sheetPr codeName="Лист25"/>
  <dimension ref="A1:M42"/>
  <sheetViews>
    <sheetView workbookViewId="0">
      <selection activeCell="N9" sqref="N9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[30]Лист1!$R$2</f>
        <v>114</v>
      </c>
      <c r="L1" s="2" t="s">
        <v>36</v>
      </c>
      <c r="M1" s="2" t="str">
        <f ca="1">MID(CELL("filename",A2),SEARCH("]",CELL("filename",A2))+1,31)</f>
        <v>Эб-21</v>
      </c>
    </row>
    <row r="2" spans="1:13" x14ac:dyDescent="0.25">
      <c r="A2" s="2">
        <v>1</v>
      </c>
      <c r="B2">
        <v>3</v>
      </c>
      <c r="C2">
        <v>28</v>
      </c>
      <c r="D2" s="3">
        <f>IF(Лист1__24[[#This Row],[Column18]]&lt;&gt;"",Лист1__24[[#This Row],[Column18]],"")</f>
        <v>28</v>
      </c>
      <c r="E2" s="2">
        <f>IF(D2&lt;&gt;"",ROUND(D2/$K$1/2*100,2),"")</f>
        <v>12.28</v>
      </c>
      <c r="F2" s="2">
        <f>IF(E2&lt;&gt;"",100-E2,"")</f>
        <v>87.72</v>
      </c>
      <c r="J2" s="8" t="s">
        <v>11</v>
      </c>
      <c r="K2" s="8">
        <f>COUNT(D2:D41)</f>
        <v>13</v>
      </c>
      <c r="L2" s="2" t="s">
        <v>37</v>
      </c>
      <c r="M2" s="2">
        <f>[30]Лист1!$U$1</f>
        <v>9</v>
      </c>
    </row>
    <row r="3" spans="1:13" x14ac:dyDescent="0.25">
      <c r="A3" s="2">
        <v>2</v>
      </c>
      <c r="B3">
        <v>4</v>
      </c>
      <c r="C3">
        <v>106</v>
      </c>
      <c r="D3" s="3">
        <f>IF(Лист1__24[[#This Row],[Column18]]&lt;&gt;"",Лист1__24[[#This Row],[Column18]],"")</f>
        <v>106</v>
      </c>
      <c r="E3" s="2">
        <f t="shared" ref="E3:E41" si="0">IF(D3&lt;&gt;"",ROUND(D3/$K$1/2*100,2),"")</f>
        <v>46.49</v>
      </c>
      <c r="F3" s="2">
        <f t="shared" ref="F3:F41" si="1">IF(E3&lt;&gt;"",100-E3,"")</f>
        <v>53.51</v>
      </c>
      <c r="I3" s="19" t="s">
        <v>33</v>
      </c>
      <c r="J3" s="4" t="s">
        <v>3</v>
      </c>
      <c r="K3" s="2">
        <f>ROUND(L3/$K$2*100,0)</f>
        <v>31</v>
      </c>
      <c r="L3" s="9">
        <f>K2-SUM($L$4:$L$7)</f>
        <v>4</v>
      </c>
    </row>
    <row r="4" spans="1:13" ht="26.25" x14ac:dyDescent="0.25">
      <c r="A4" s="2">
        <v>3</v>
      </c>
      <c r="B4">
        <v>5</v>
      </c>
      <c r="C4">
        <v>32</v>
      </c>
      <c r="D4" s="3">
        <f>IF(Лист1__24[[#This Row],[Column18]]&lt;&gt;"",Лист1__24[[#This Row],[Column18]],"")</f>
        <v>32</v>
      </c>
      <c r="E4" s="2">
        <f t="shared" si="0"/>
        <v>14.04</v>
      </c>
      <c r="F4" s="2">
        <f t="shared" si="1"/>
        <v>85.960000000000008</v>
      </c>
      <c r="I4" s="19"/>
      <c r="J4" s="4" t="s">
        <v>4</v>
      </c>
      <c r="K4" s="2">
        <f t="shared" ref="K4:K6" si="2">ROUND(L4/$K$2*100,0)</f>
        <v>38</v>
      </c>
      <c r="L4" s="2">
        <f t="array" ref="L4">SUM(($E$2:$E$37&gt;=10)*(($E$2:$E$37)&lt;30))</f>
        <v>5</v>
      </c>
    </row>
    <row r="5" spans="1:13" ht="26.25" x14ac:dyDescent="0.25">
      <c r="A5" s="2">
        <v>4</v>
      </c>
      <c r="B5">
        <v>6</v>
      </c>
      <c r="C5">
        <v>36</v>
      </c>
      <c r="D5" s="3">
        <f>IF(Лист1__24[[#This Row],[Column18]]&lt;&gt;"",Лист1__24[[#This Row],[Column18]],"")</f>
        <v>36</v>
      </c>
      <c r="E5" s="2">
        <f t="shared" si="0"/>
        <v>15.79</v>
      </c>
      <c r="F5" s="2">
        <f t="shared" si="1"/>
        <v>84.210000000000008</v>
      </c>
      <c r="I5" s="19"/>
      <c r="J5" s="4" t="s">
        <v>5</v>
      </c>
      <c r="K5" s="2">
        <f t="shared" si="2"/>
        <v>8</v>
      </c>
      <c r="L5" s="2">
        <f t="array" ref="L5">SUM(($E$2:$E$37&gt;=30)*(($E$2:$E$37)&lt;50))</f>
        <v>1</v>
      </c>
    </row>
    <row r="6" spans="1:13" ht="26.25" x14ac:dyDescent="0.25">
      <c r="A6" s="2">
        <v>5</v>
      </c>
      <c r="B6">
        <v>7</v>
      </c>
      <c r="C6">
        <v>16</v>
      </c>
      <c r="D6" s="3">
        <f>IF(Лист1__24[[#This Row],[Column18]]&lt;&gt;"",Лист1__24[[#This Row],[Column18]],"")</f>
        <v>16</v>
      </c>
      <c r="E6" s="2">
        <f t="shared" si="0"/>
        <v>7.02</v>
      </c>
      <c r="F6" s="2">
        <f t="shared" si="1"/>
        <v>92.98</v>
      </c>
      <c r="I6" s="19"/>
      <c r="J6" s="4" t="s">
        <v>6</v>
      </c>
      <c r="K6" s="2">
        <f t="shared" si="2"/>
        <v>15</v>
      </c>
      <c r="L6" s="2">
        <f t="array" ref="L6">SUM(($E$2:$E$37&gt;=50)*(($E$2:$E$37)&lt;70))</f>
        <v>2</v>
      </c>
    </row>
    <row r="7" spans="1:13" ht="26.25" x14ac:dyDescent="0.25">
      <c r="A7" s="2">
        <v>6</v>
      </c>
      <c r="B7">
        <v>8</v>
      </c>
      <c r="C7">
        <v>30</v>
      </c>
      <c r="D7" s="3">
        <f>IF(Лист1__24[[#This Row],[Column18]]&lt;&gt;"",Лист1__24[[#This Row],[Column18]],"")</f>
        <v>30</v>
      </c>
      <c r="E7" s="2">
        <f t="shared" si="0"/>
        <v>13.16</v>
      </c>
      <c r="F7" s="2">
        <f t="shared" si="1"/>
        <v>86.84</v>
      </c>
      <c r="I7" s="19"/>
      <c r="J7" s="4" t="s">
        <v>7</v>
      </c>
      <c r="K7" s="2">
        <f>100-SUM($K$3:$K$6)</f>
        <v>8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0</v>
      </c>
      <c r="D8" s="3">
        <f>IF(Лист1__24[[#This Row],[Column18]]&lt;&gt;"",Лист1__24[[#This Row],[Column18]],"")</f>
        <v>0</v>
      </c>
      <c r="E8" s="2">
        <f t="shared" si="0"/>
        <v>0</v>
      </c>
      <c r="F8" s="2">
        <f t="shared" si="1"/>
        <v>100</v>
      </c>
    </row>
    <row r="9" spans="1:13" x14ac:dyDescent="0.25">
      <c r="A9" s="2">
        <v>8</v>
      </c>
      <c r="B9">
        <v>10</v>
      </c>
      <c r="C9">
        <v>140</v>
      </c>
      <c r="D9" s="3">
        <f>IF(Лист1__24[[#This Row],[Column18]]&lt;&gt;"",Лист1__24[[#This Row],[Column18]],"")</f>
        <v>140</v>
      </c>
      <c r="E9" s="2">
        <f t="shared" si="0"/>
        <v>61.4</v>
      </c>
      <c r="F9" s="2">
        <f t="shared" si="1"/>
        <v>38.6</v>
      </c>
      <c r="K9" t="s">
        <v>31</v>
      </c>
    </row>
    <row r="10" spans="1:13" ht="26.25" x14ac:dyDescent="0.25">
      <c r="A10" s="2">
        <v>9</v>
      </c>
      <c r="B10">
        <v>11</v>
      </c>
      <c r="C10">
        <v>120</v>
      </c>
      <c r="D10" s="3">
        <f>IF(Лист1__24[[#This Row],[Column18]]&lt;&gt;"",Лист1__24[[#This Row],[Column18]],"")</f>
        <v>120</v>
      </c>
      <c r="E10" s="2">
        <f t="shared" si="0"/>
        <v>52.63</v>
      </c>
      <c r="F10" s="2">
        <f t="shared" si="1"/>
        <v>47.37</v>
      </c>
      <c r="I10" s="19" t="s">
        <v>34</v>
      </c>
      <c r="J10" s="4" t="s">
        <v>42</v>
      </c>
      <c r="K10" s="2">
        <f t="shared" ref="K10:K13" si="3">ROUND(L10/$K$2*100,0)</f>
        <v>8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0</v>
      </c>
      <c r="D11" s="3">
        <f>IF(Лист1__24[[#This Row],[Column18]]&lt;&gt;"",Лист1__24[[#This Row],[Column18]],"")</f>
        <v>0</v>
      </c>
      <c r="E11" s="2">
        <f t="shared" si="0"/>
        <v>0</v>
      </c>
      <c r="F11" s="2">
        <f t="shared" si="1"/>
        <v>100</v>
      </c>
      <c r="I11" s="19"/>
      <c r="J11" s="4" t="s">
        <v>5</v>
      </c>
      <c r="K11" s="2">
        <f t="shared" si="3"/>
        <v>15</v>
      </c>
      <c r="L11" s="2">
        <f t="array" ref="L11">SUM(($F$2:$F$37&gt;=30)*(($F$2:$F$37)&lt;50))</f>
        <v>2</v>
      </c>
    </row>
    <row r="12" spans="1:13" ht="26.25" x14ac:dyDescent="0.25">
      <c r="A12" s="2">
        <v>11</v>
      </c>
      <c r="B12">
        <v>13</v>
      </c>
      <c r="C12">
        <v>48</v>
      </c>
      <c r="D12" s="3">
        <f>IF(Лист1__24[[#This Row],[Column18]]&lt;&gt;"",Лист1__24[[#This Row],[Column18]],"")</f>
        <v>48</v>
      </c>
      <c r="E12" s="2">
        <f t="shared" si="0"/>
        <v>21.05</v>
      </c>
      <c r="F12" s="2">
        <f t="shared" si="1"/>
        <v>78.95</v>
      </c>
      <c r="I12" s="19"/>
      <c r="J12" s="4" t="s">
        <v>28</v>
      </c>
      <c r="K12" s="2">
        <f t="shared" si="3"/>
        <v>8</v>
      </c>
      <c r="L12" s="2">
        <f t="array" ref="L12">SUM(($F$2:$F$37&gt;=50)*(($F$2:$F$37)&lt;75))</f>
        <v>1</v>
      </c>
    </row>
    <row r="13" spans="1:13" ht="26.25" x14ac:dyDescent="0.25">
      <c r="A13" s="2">
        <v>12</v>
      </c>
      <c r="B13">
        <v>14</v>
      </c>
      <c r="C13">
        <v>188</v>
      </c>
      <c r="D13" s="3">
        <f>IF(Лист1__24[[#This Row],[Column18]]&lt;&gt;"",Лист1__24[[#This Row],[Column18]],"")</f>
        <v>188</v>
      </c>
      <c r="E13" s="2">
        <f t="shared" si="0"/>
        <v>82.46</v>
      </c>
      <c r="F13" s="2">
        <f t="shared" si="1"/>
        <v>17.540000000000006</v>
      </c>
      <c r="I13" s="19"/>
      <c r="J13" s="4" t="s">
        <v>29</v>
      </c>
      <c r="K13" s="2">
        <f t="shared" si="3"/>
        <v>38</v>
      </c>
      <c r="L13" s="2">
        <f t="array" ref="L13">SUM(($F$2:$F$37&gt;=75)*(($F$2:$F$37)&lt;90))</f>
        <v>5</v>
      </c>
    </row>
    <row r="14" spans="1:13" ht="26.25" x14ac:dyDescent="0.25">
      <c r="A14" s="2">
        <v>13</v>
      </c>
      <c r="B14">
        <v>15</v>
      </c>
      <c r="C14">
        <v>0</v>
      </c>
      <c r="D14" s="3">
        <f>IF(Лист1__24[[#This Row],[Column18]]&lt;&gt;"",Лист1__24[[#This Row],[Column18]],"")</f>
        <v>0</v>
      </c>
      <c r="E14" s="2">
        <f t="shared" si="0"/>
        <v>0</v>
      </c>
      <c r="F14" s="2">
        <f t="shared" si="1"/>
        <v>100</v>
      </c>
      <c r="I14" s="19"/>
      <c r="J14" s="7" t="s">
        <v>30</v>
      </c>
      <c r="K14" s="2">
        <f>100-SUM($K$9:$K$13)</f>
        <v>31</v>
      </c>
      <c r="L14" s="2">
        <f>$K$2-SUM(L9:L$13)</f>
        <v>4</v>
      </c>
    </row>
    <row r="15" spans="1:13" x14ac:dyDescent="0.25">
      <c r="A15" s="2">
        <v>14</v>
      </c>
      <c r="B15">
        <v>16</v>
      </c>
      <c r="C15" t="s">
        <v>38</v>
      </c>
      <c r="D15" s="3" t="str">
        <f>IF(Лист1__24[[#This Row],[Column18]]&lt;&gt;"",Лист1__24[[#This Row],[Column18]],"")</f>
        <v/>
      </c>
      <c r="E15" s="2" t="str">
        <f t="shared" si="0"/>
        <v/>
      </c>
      <c r="F15" s="2" t="str">
        <f t="shared" si="1"/>
        <v/>
      </c>
    </row>
    <row r="16" spans="1:13" x14ac:dyDescent="0.25">
      <c r="A16" s="2">
        <v>15</v>
      </c>
      <c r="B16">
        <v>17</v>
      </c>
      <c r="C16" t="s">
        <v>38</v>
      </c>
      <c r="D16" s="3" t="str">
        <f>IF(Лист1__24[[#This Row],[Column18]]&lt;&gt;"",Лист1__24[[#This Row],[Column18]],"")</f>
        <v/>
      </c>
      <c r="E16" s="2" t="str">
        <f t="shared" si="0"/>
        <v/>
      </c>
      <c r="F16" s="2" t="str">
        <f t="shared" si="1"/>
        <v/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IF(Лист1__24[[#This Row],[Column18]]&lt;&gt;"",Лист1__24[[#This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IF(Лист1__24[[#This Row],[Column18]]&lt;&gt;"",Лист1__24[[#This Row],[Column18]],"")</f>
        <v/>
      </c>
      <c r="E18" s="2" t="str">
        <f t="shared" si="0"/>
        <v/>
      </c>
      <c r="F18" s="2" t="str">
        <f t="shared" si="1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IF(Лист1__24[[#This Row],[Column18]]&lt;&gt;"",Лист1__24[[#This Row],[Column18]],"")</f>
        <v/>
      </c>
      <c r="E19" s="2" t="str">
        <f t="shared" si="0"/>
        <v/>
      </c>
      <c r="F19" s="2" t="str">
        <f t="shared" si="1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IF(Лист1__24[[#This Row],[Column18]]&lt;&gt;"",Лист1__24[[#This Row],[Column18]],"")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IF(Лист1__24[[#This Row],[Column18]]&lt;&gt;"",Лист1__24[[#This Row],[Column18]],"")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IF(Лист1__24[[#This Row],[Column18]]&lt;&gt;"",Лист1__24[[#This Row],[Column18]],"")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IF(Лист1__24[[#This Row],[Column18]]&lt;&gt;"",Лист1__24[[#This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IF(Лист1__24[[#This Row],[Column18]]&lt;&gt;"",Лист1__24[[#This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IF(Лист1__24[[#This Row],[Column18]]&lt;&gt;"",Лист1__24[[#This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IF(Лист1__24[[#This Row],[Column18]]&lt;&gt;"",Лист1__24[[#This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IF(Лист1__24[[#This Row],[Column18]]&lt;&gt;"",Лист1__24[[#This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IF(Лист1__24[[#This Row],[Column18]]&lt;&gt;"",Лист1__24[[#This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IF(Лист1__24[[#This Row],[Column18]]&lt;&gt;"",Лист1__24[[#This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IF(Лист1__24[[#This Row],[Column18]]&lt;&gt;"",Лист1__24[[#This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IF(Лист1__24[[#This Row],[Column18]]&lt;&gt;"",Лист1__24[[#This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IF(Лист1__24[[#This Row],[Column18]]&lt;&gt;"",Лист1__24[[#This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IF(Лист1__24[[#This Row],[Column18]]&lt;&gt;"",Лист1__24[[#This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IF(Лист1__24[[#This Row],[Column18]]&lt;&gt;"",Лист1__24[[#This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IF(Лист1__24[[#This Row],[Column18]]&lt;&gt;"",Лист1__24[[#This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IF(Лист1__24[[#This Row],[Column18]]&lt;&gt;"",Лист1__24[[#This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IF(Лист1__24[[#This Row],[Column18]]&lt;&gt;"",Лист1__24[[#This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IF(Лист1__24[[#This Row],[Column18]]&lt;&gt;"",Лист1__24[[#This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IF(Лист1__24[[#This Row],[Column18]]&lt;&gt;"",Лист1__24[[#This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IF(Лист1__24[[#This Row],[Column18]]&lt;&gt;"",Лист1__24[[#This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IF(Лист1__24[[#This Row],[Column18]]&lt;&gt;"",Лист1__24[[#This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744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AD75D-0B21-44D7-AB45-24E6D0C67E86}">
  <sheetPr codeName="Лист26"/>
  <dimension ref="A1:M42"/>
  <sheetViews>
    <sheetView workbookViewId="0">
      <selection activeCell="N7" sqref="N7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[31]Лист1!$R$2</f>
        <v>122</v>
      </c>
      <c r="L1" s="2" t="s">
        <v>36</v>
      </c>
      <c r="M1" s="2" t="str">
        <f ca="1">MID(CELL("filename",A2),SEARCH("]",CELL("filename",A2))+1,31)</f>
        <v>УПб-21</v>
      </c>
    </row>
    <row r="2" spans="1:13" x14ac:dyDescent="0.25">
      <c r="A2" s="2">
        <v>1</v>
      </c>
      <c r="B2">
        <v>3</v>
      </c>
      <c r="C2">
        <v>10</v>
      </c>
      <c r="D2" s="3">
        <f>IF(Лист1__25[[#This Row],[Column18]]&lt;&gt;"",Лист1__25[[#This Row],[Column18]],"")</f>
        <v>10</v>
      </c>
      <c r="E2" s="2">
        <f>IF(D2&lt;&gt;"",ROUND(D2/$K$1/2*100,2),"")</f>
        <v>4.0999999999999996</v>
      </c>
      <c r="F2" s="2">
        <f>IF(E2&lt;&gt;"",100-E2,"")</f>
        <v>95.9</v>
      </c>
      <c r="J2" s="8" t="s">
        <v>11</v>
      </c>
      <c r="K2" s="8">
        <f>COUNT(D2:D41)</f>
        <v>20</v>
      </c>
      <c r="L2" s="2" t="s">
        <v>37</v>
      </c>
      <c r="M2" s="2">
        <f>[31]Лист1!$U$1</f>
        <v>9</v>
      </c>
    </row>
    <row r="3" spans="1:13" x14ac:dyDescent="0.25">
      <c r="A3" s="2">
        <v>2</v>
      </c>
      <c r="B3">
        <v>4</v>
      </c>
      <c r="C3">
        <v>6</v>
      </c>
      <c r="D3" s="3">
        <f>IF(Лист1__25[[#This Row],[Column18]]&lt;&gt;"",Лист1__25[[#This Row],[Column18]],"")</f>
        <v>6</v>
      </c>
      <c r="E3" s="2">
        <f t="shared" ref="E3:E41" si="0">IF(D3&lt;&gt;"",ROUND(D3/$K$1/2*100,2),"")</f>
        <v>2.46</v>
      </c>
      <c r="F3" s="2">
        <f t="shared" ref="F3:F41" si="1">IF(E3&lt;&gt;"",100-E3,"")</f>
        <v>97.54</v>
      </c>
      <c r="I3" s="19" t="s">
        <v>33</v>
      </c>
      <c r="J3" s="4" t="s">
        <v>3</v>
      </c>
      <c r="K3" s="2">
        <f>ROUND(L3/$K$2*100,0)</f>
        <v>40</v>
      </c>
      <c r="L3" s="9">
        <f>K2-SUM($L$4:$L$7)</f>
        <v>8</v>
      </c>
    </row>
    <row r="4" spans="1:13" ht="26.25" x14ac:dyDescent="0.25">
      <c r="A4" s="2">
        <v>3</v>
      </c>
      <c r="B4">
        <v>5</v>
      </c>
      <c r="C4">
        <v>132</v>
      </c>
      <c r="D4" s="3">
        <f>IF(Лист1__25[[#This Row],[Column18]]&lt;&gt;"",Лист1__25[[#This Row],[Column18]],"")</f>
        <v>132</v>
      </c>
      <c r="E4" s="2">
        <f t="shared" si="0"/>
        <v>54.1</v>
      </c>
      <c r="F4" s="2">
        <f t="shared" si="1"/>
        <v>45.9</v>
      </c>
      <c r="I4" s="19"/>
      <c r="J4" s="4" t="s">
        <v>4</v>
      </c>
      <c r="K4" s="2">
        <f t="shared" ref="K4:K6" si="2">ROUND(L4/$K$2*100,0)</f>
        <v>40</v>
      </c>
      <c r="L4" s="2">
        <f t="array" ref="L4">SUM(($E$2:$E$37&gt;=10)*(($E$2:$E$37)&lt;30))</f>
        <v>8</v>
      </c>
    </row>
    <row r="5" spans="1:13" ht="26.25" x14ac:dyDescent="0.25">
      <c r="A5" s="2">
        <v>4</v>
      </c>
      <c r="B5">
        <v>6</v>
      </c>
      <c r="C5" t="s">
        <v>38</v>
      </c>
      <c r="D5" s="3" t="str">
        <f>IF(Лист1__25[[#This Row],[Column18]]&lt;&gt;"",Лист1__25[[#This Row],[Column18]],"")</f>
        <v/>
      </c>
      <c r="E5" s="2" t="str">
        <f t="shared" si="0"/>
        <v/>
      </c>
      <c r="F5" s="2" t="str">
        <f t="shared" si="1"/>
        <v/>
      </c>
      <c r="I5" s="19"/>
      <c r="J5" s="4" t="s">
        <v>5</v>
      </c>
      <c r="K5" s="2">
        <f t="shared" si="2"/>
        <v>5</v>
      </c>
      <c r="L5" s="2">
        <f t="array" ref="L5">SUM(($E$2:$E$37&gt;=30)*(($E$2:$E$37)&lt;50))</f>
        <v>1</v>
      </c>
    </row>
    <row r="6" spans="1:13" ht="26.25" x14ac:dyDescent="0.25">
      <c r="A6" s="2">
        <v>5</v>
      </c>
      <c r="B6">
        <v>7</v>
      </c>
      <c r="C6">
        <v>6</v>
      </c>
      <c r="D6" s="3">
        <f>IF(Лист1__25[[#This Row],[Column18]]&lt;&gt;"",Лист1__25[[#This Row],[Column18]],"")</f>
        <v>6</v>
      </c>
      <c r="E6" s="2">
        <f t="shared" si="0"/>
        <v>2.46</v>
      </c>
      <c r="F6" s="2">
        <f t="shared" si="1"/>
        <v>97.54</v>
      </c>
      <c r="I6" s="19"/>
      <c r="J6" s="4" t="s">
        <v>6</v>
      </c>
      <c r="K6" s="2">
        <f t="shared" si="2"/>
        <v>10</v>
      </c>
      <c r="L6" s="2">
        <f t="array" ref="L6">SUM(($E$2:$E$37&gt;=50)*(($E$2:$E$37)&lt;70))</f>
        <v>2</v>
      </c>
    </row>
    <row r="7" spans="1:13" ht="26.25" x14ac:dyDescent="0.25">
      <c r="A7" s="2">
        <v>6</v>
      </c>
      <c r="B7">
        <v>8</v>
      </c>
      <c r="C7" t="s">
        <v>38</v>
      </c>
      <c r="D7" s="3" t="str">
        <f>IF(Лист1__25[[#This Row],[Column18]]&lt;&gt;"",Лист1__25[[#This Row],[Column18]],"")</f>
        <v/>
      </c>
      <c r="E7" s="2" t="str">
        <f t="shared" si="0"/>
        <v/>
      </c>
      <c r="F7" s="2" t="str">
        <f t="shared" si="1"/>
        <v/>
      </c>
      <c r="I7" s="19"/>
      <c r="J7" s="4" t="s">
        <v>7</v>
      </c>
      <c r="K7" s="2">
        <f>100-SUM($K$3:$K$6)</f>
        <v>5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0</v>
      </c>
      <c r="D8" s="3">
        <f>IF(Лист1__25[[#This Row],[Column18]]&lt;&gt;"",Лист1__25[[#This Row],[Column18]],"")</f>
        <v>0</v>
      </c>
      <c r="E8" s="2">
        <f t="shared" si="0"/>
        <v>0</v>
      </c>
      <c r="F8" s="2">
        <f t="shared" si="1"/>
        <v>100</v>
      </c>
    </row>
    <row r="9" spans="1:13" x14ac:dyDescent="0.25">
      <c r="A9" s="2">
        <v>8</v>
      </c>
      <c r="B9">
        <v>10</v>
      </c>
      <c r="C9">
        <v>38</v>
      </c>
      <c r="D9" s="3">
        <f>IF(Лист1__25[[#This Row],[Column18]]&lt;&gt;"",Лист1__25[[#This Row],[Column18]],"")</f>
        <v>38</v>
      </c>
      <c r="E9" s="2">
        <f t="shared" si="0"/>
        <v>15.57</v>
      </c>
      <c r="F9" s="2">
        <f t="shared" si="1"/>
        <v>84.43</v>
      </c>
      <c r="K9" t="s">
        <v>31</v>
      </c>
    </row>
    <row r="10" spans="1:13" ht="26.25" x14ac:dyDescent="0.25">
      <c r="A10" s="2">
        <v>9</v>
      </c>
      <c r="B10">
        <v>11</v>
      </c>
      <c r="C10">
        <v>44</v>
      </c>
      <c r="D10" s="3">
        <f>IF(Лист1__25[[#This Row],[Column18]]&lt;&gt;"",Лист1__25[[#This Row],[Column18]],"")</f>
        <v>44</v>
      </c>
      <c r="E10" s="2">
        <f t="shared" si="0"/>
        <v>18.03</v>
      </c>
      <c r="F10" s="2">
        <f t="shared" si="1"/>
        <v>81.97</v>
      </c>
      <c r="I10" s="19" t="s">
        <v>34</v>
      </c>
      <c r="J10" s="4" t="s">
        <v>42</v>
      </c>
      <c r="K10" s="2">
        <f t="shared" ref="K10:K13" si="3">ROUND(L10/$K$2*100,0)</f>
        <v>5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0</v>
      </c>
      <c r="D11" s="3">
        <f>IF(Лист1__25[[#This Row],[Column18]]&lt;&gt;"",Лист1__25[[#This Row],[Column18]],"")</f>
        <v>0</v>
      </c>
      <c r="E11" s="2">
        <f t="shared" si="0"/>
        <v>0</v>
      </c>
      <c r="F11" s="2">
        <f t="shared" si="1"/>
        <v>100</v>
      </c>
      <c r="I11" s="19"/>
      <c r="J11" s="4" t="s">
        <v>5</v>
      </c>
      <c r="K11" s="2">
        <f t="shared" si="3"/>
        <v>10</v>
      </c>
      <c r="L11" s="2">
        <f t="array" ref="L11">SUM(($F$2:$F$37&gt;=30)*(($F$2:$F$37)&lt;50))</f>
        <v>2</v>
      </c>
    </row>
    <row r="12" spans="1:13" ht="26.25" x14ac:dyDescent="0.25">
      <c r="A12" s="2">
        <v>11</v>
      </c>
      <c r="B12">
        <v>13</v>
      </c>
      <c r="C12">
        <v>56</v>
      </c>
      <c r="D12" s="3">
        <f>IF(Лист1__25[[#This Row],[Column18]]&lt;&gt;"",Лист1__25[[#This Row],[Column18]],"")</f>
        <v>56</v>
      </c>
      <c r="E12" s="2">
        <f t="shared" si="0"/>
        <v>22.95</v>
      </c>
      <c r="F12" s="2">
        <f t="shared" si="1"/>
        <v>77.05</v>
      </c>
      <c r="I12" s="19"/>
      <c r="J12" s="4" t="s">
        <v>28</v>
      </c>
      <c r="K12" s="2">
        <f t="shared" si="3"/>
        <v>20</v>
      </c>
      <c r="L12" s="2">
        <f t="array" ref="L12">SUM(($F$2:$F$37&gt;=50)*(($F$2:$F$37)&lt;75))</f>
        <v>4</v>
      </c>
    </row>
    <row r="13" spans="1:13" ht="26.25" x14ac:dyDescent="0.25">
      <c r="A13" s="2">
        <v>12</v>
      </c>
      <c r="B13">
        <v>14</v>
      </c>
      <c r="C13" t="s">
        <v>38</v>
      </c>
      <c r="D13" s="3" t="str">
        <f>IF(Лист1__25[[#This Row],[Column18]]&lt;&gt;"",Лист1__25[[#This Row],[Column18]],"")</f>
        <v/>
      </c>
      <c r="E13" s="2" t="str">
        <f t="shared" si="0"/>
        <v/>
      </c>
      <c r="F13" s="2" t="str">
        <f t="shared" si="1"/>
        <v/>
      </c>
      <c r="I13" s="19"/>
      <c r="J13" s="4" t="s">
        <v>29</v>
      </c>
      <c r="K13" s="2">
        <f t="shared" si="3"/>
        <v>25</v>
      </c>
      <c r="L13" s="2">
        <f t="array" ref="L13">SUM(($F$2:$F$37&gt;=75)*(($F$2:$F$37)&lt;90))</f>
        <v>5</v>
      </c>
    </row>
    <row r="14" spans="1:13" ht="26.25" x14ac:dyDescent="0.25">
      <c r="A14" s="2">
        <v>13</v>
      </c>
      <c r="B14">
        <v>15</v>
      </c>
      <c r="C14">
        <v>22</v>
      </c>
      <c r="D14" s="3">
        <f>IF(Лист1__25[[#This Row],[Column18]]&lt;&gt;"",Лист1__25[[#This Row],[Column18]],"")</f>
        <v>22</v>
      </c>
      <c r="E14" s="2">
        <f t="shared" si="0"/>
        <v>9.02</v>
      </c>
      <c r="F14" s="2">
        <f t="shared" si="1"/>
        <v>90.98</v>
      </c>
      <c r="I14" s="19"/>
      <c r="J14" s="7" t="s">
        <v>30</v>
      </c>
      <c r="K14" s="2">
        <f>100-SUM($K$9:$K$13)</f>
        <v>40</v>
      </c>
      <c r="L14" s="2">
        <f>$K$2-SUM(L9:L$13)</f>
        <v>8</v>
      </c>
    </row>
    <row r="15" spans="1:13" x14ac:dyDescent="0.25">
      <c r="A15" s="2">
        <v>14</v>
      </c>
      <c r="B15">
        <v>16</v>
      </c>
      <c r="C15">
        <v>146</v>
      </c>
      <c r="D15" s="3">
        <f>IF(Лист1__25[[#This Row],[Column18]]&lt;&gt;"",Лист1__25[[#This Row],[Column18]],"")</f>
        <v>146</v>
      </c>
      <c r="E15" s="2">
        <f t="shared" si="0"/>
        <v>59.84</v>
      </c>
      <c r="F15" s="2">
        <f t="shared" si="1"/>
        <v>40.159999999999997</v>
      </c>
    </row>
    <row r="16" spans="1:13" x14ac:dyDescent="0.25">
      <c r="A16" s="2">
        <v>15</v>
      </c>
      <c r="B16">
        <v>17</v>
      </c>
      <c r="C16" t="s">
        <v>38</v>
      </c>
      <c r="D16" s="3" t="str">
        <f>IF(Лист1__25[[#This Row],[Column18]]&lt;&gt;"",Лист1__25[[#This Row],[Column18]],"")</f>
        <v/>
      </c>
      <c r="E16" s="2" t="str">
        <f t="shared" si="0"/>
        <v/>
      </c>
      <c r="F16" s="2" t="str">
        <f t="shared" si="1"/>
        <v/>
      </c>
    </row>
    <row r="17" spans="1:6" x14ac:dyDescent="0.25">
      <c r="A17" s="2">
        <v>16</v>
      </c>
      <c r="B17">
        <v>18</v>
      </c>
      <c r="C17">
        <v>24</v>
      </c>
      <c r="D17" s="3">
        <f>IF(Лист1__25[[#This Row],[Column18]]&lt;&gt;"",Лист1__25[[#This Row],[Column18]],"")</f>
        <v>24</v>
      </c>
      <c r="E17" s="2">
        <f t="shared" si="0"/>
        <v>9.84</v>
      </c>
      <c r="F17" s="2">
        <f t="shared" si="1"/>
        <v>90.16</v>
      </c>
    </row>
    <row r="18" spans="1:6" x14ac:dyDescent="0.25">
      <c r="A18" s="2">
        <v>17</v>
      </c>
      <c r="B18">
        <v>19</v>
      </c>
      <c r="C18">
        <v>88</v>
      </c>
      <c r="D18" s="3">
        <f>IF(Лист1__25[[#This Row],[Column18]]&lt;&gt;"",Лист1__25[[#This Row],[Column18]],"")</f>
        <v>88</v>
      </c>
      <c r="E18" s="2">
        <f t="shared" si="0"/>
        <v>36.07</v>
      </c>
      <c r="F18" s="2">
        <f t="shared" si="1"/>
        <v>63.93</v>
      </c>
    </row>
    <row r="19" spans="1:6" x14ac:dyDescent="0.25">
      <c r="A19" s="2">
        <v>18</v>
      </c>
      <c r="B19">
        <v>20</v>
      </c>
      <c r="C19">
        <v>70</v>
      </c>
      <c r="D19" s="3">
        <f>IF(Лист1__25[[#This Row],[Column18]]&lt;&gt;"",Лист1__25[[#This Row],[Column18]],"")</f>
        <v>70</v>
      </c>
      <c r="E19" s="2">
        <f t="shared" si="0"/>
        <v>28.69</v>
      </c>
      <c r="F19" s="2">
        <f t="shared" si="1"/>
        <v>71.31</v>
      </c>
    </row>
    <row r="20" spans="1:6" x14ac:dyDescent="0.25">
      <c r="A20" s="2">
        <v>19</v>
      </c>
      <c r="B20">
        <v>21</v>
      </c>
      <c r="C20">
        <v>26</v>
      </c>
      <c r="D20" s="3">
        <f>IF(Лист1__25[[#This Row],[Column18]]&lt;&gt;"",Лист1__25[[#This Row],[Column18]],"")</f>
        <v>26</v>
      </c>
      <c r="E20" s="2">
        <f t="shared" si="0"/>
        <v>10.66</v>
      </c>
      <c r="F20" s="2">
        <f t="shared" si="1"/>
        <v>89.34</v>
      </c>
    </row>
    <row r="21" spans="1:6" x14ac:dyDescent="0.25">
      <c r="A21" s="2">
        <v>20</v>
      </c>
      <c r="B21">
        <v>22</v>
      </c>
      <c r="C21">
        <v>68</v>
      </c>
      <c r="D21" s="3">
        <f>IF(Лист1__25[[#This Row],[Column18]]&lt;&gt;"",Лист1__25[[#This Row],[Column18]],"")</f>
        <v>68</v>
      </c>
      <c r="E21" s="2">
        <f t="shared" si="0"/>
        <v>27.87</v>
      </c>
      <c r="F21" s="2">
        <f t="shared" si="1"/>
        <v>72.13</v>
      </c>
    </row>
    <row r="22" spans="1:6" x14ac:dyDescent="0.25">
      <c r="A22" s="2">
        <v>21</v>
      </c>
      <c r="B22">
        <v>23</v>
      </c>
      <c r="C22">
        <v>28</v>
      </c>
      <c r="D22" s="3">
        <f>IF(Лист1__25[[#This Row],[Column18]]&lt;&gt;"",Лист1__25[[#This Row],[Column18]],"")</f>
        <v>28</v>
      </c>
      <c r="E22" s="2">
        <f t="shared" si="0"/>
        <v>11.48</v>
      </c>
      <c r="F22" s="2">
        <f t="shared" si="1"/>
        <v>88.52</v>
      </c>
    </row>
    <row r="23" spans="1:6" x14ac:dyDescent="0.25">
      <c r="A23" s="2">
        <v>22</v>
      </c>
      <c r="B23">
        <v>24</v>
      </c>
      <c r="C23">
        <v>182</v>
      </c>
      <c r="D23" s="3">
        <f>IF(Лист1__25[[#This Row],[Column18]]&lt;&gt;"",Лист1__25[[#This Row],[Column18]],"")</f>
        <v>182</v>
      </c>
      <c r="E23" s="2">
        <f t="shared" si="0"/>
        <v>74.59</v>
      </c>
      <c r="F23" s="2">
        <f t="shared" si="1"/>
        <v>25.409999999999997</v>
      </c>
    </row>
    <row r="24" spans="1:6" x14ac:dyDescent="0.25">
      <c r="A24" s="2">
        <v>23</v>
      </c>
      <c r="B24">
        <v>25</v>
      </c>
      <c r="C24">
        <v>0</v>
      </c>
      <c r="D24" s="3">
        <f>IF(Лист1__25[[#This Row],[Column18]]&lt;&gt;"",Лист1__25[[#This Row],[Column18]],"")</f>
        <v>0</v>
      </c>
      <c r="E24" s="2">
        <f t="shared" si="0"/>
        <v>0</v>
      </c>
      <c r="F24" s="2">
        <f t="shared" si="1"/>
        <v>100</v>
      </c>
    </row>
    <row r="25" spans="1:6" x14ac:dyDescent="0.25">
      <c r="A25" s="2">
        <v>24</v>
      </c>
      <c r="B25">
        <v>26</v>
      </c>
      <c r="C25">
        <v>70</v>
      </c>
      <c r="D25" s="3">
        <f>IF(Лист1__25[[#This Row],[Column18]]&lt;&gt;"",Лист1__25[[#This Row],[Column18]],"")</f>
        <v>70</v>
      </c>
      <c r="E25" s="2">
        <f t="shared" si="0"/>
        <v>28.69</v>
      </c>
      <c r="F25" s="2">
        <f t="shared" si="1"/>
        <v>71.31</v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IF(Лист1__25[[#This Row],[Column18]]&lt;&gt;"",Лист1__25[[#This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IF(Лист1__25[[#This Row],[Column18]]&lt;&gt;"",Лист1__25[[#This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IF(Лист1__25[[#This Row],[Column18]]&lt;&gt;"",Лист1__25[[#This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IF(Лист1__25[[#This Row],[Column18]]&lt;&gt;"",Лист1__25[[#This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IF(Лист1__25[[#This Row],[Column18]]&lt;&gt;"",Лист1__25[[#This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IF(Лист1__25[[#This Row],[Column18]]&lt;&gt;"",Лист1__25[[#This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IF(Лист1__25[[#This Row],[Column18]]&lt;&gt;"",Лист1__25[[#This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IF(Лист1__25[[#This Row],[Column18]]&lt;&gt;"",Лист1__25[[#This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IF(Лист1__25[[#This Row],[Column18]]&lt;&gt;"",Лист1__25[[#This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IF(Лист1__25[[#This Row],[Column18]]&lt;&gt;"",Лист1__25[[#This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IF(Лист1__25[[#This Row],[Column18]]&lt;&gt;"",Лист1__25[[#This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IF(Лист1__25[[#This Row],[Column18]]&lt;&gt;"",Лист1__25[[#This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IF(Лист1__25[[#This Row],[Column18]]&lt;&gt;"",Лист1__25[[#This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IF(Лист1__25[[#This Row],[Column18]]&lt;&gt;"",Лист1__25[[#This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IF(Лист1__25[[#This Row],[Column18]]&lt;&gt;"",Лист1__25[[#This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IF(Лист1__25[[#This Row],[Column18]]&lt;&gt;"",Лист1__25[[#This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1016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A8C2D-311B-4F60-8022-64E80A71357C}">
  <sheetPr codeName="Лист27"/>
  <dimension ref="A1:M42"/>
  <sheetViews>
    <sheetView workbookViewId="0">
      <selection activeCell="N8" sqref="N8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[32]Лист1!$R$2</f>
        <v>100</v>
      </c>
      <c r="L1" s="2" t="s">
        <v>36</v>
      </c>
      <c r="M1" s="2" t="str">
        <f ca="1">MID(CELL("filename",A2),SEARCH("]",CELL("filename",A2))+1,31)</f>
        <v>Мб-21</v>
      </c>
    </row>
    <row r="2" spans="1:13" x14ac:dyDescent="0.25">
      <c r="A2" s="2">
        <v>1</v>
      </c>
      <c r="B2">
        <v>3</v>
      </c>
      <c r="C2">
        <v>30</v>
      </c>
      <c r="D2" s="3">
        <f>IF(Лист1__26[[#This Row],[Column18]]&lt;&gt;"",Лист1__26[[#This Row],[Column18]],"")</f>
        <v>30</v>
      </c>
      <c r="E2" s="2">
        <f>IF(D2&lt;&gt;"",ROUND(D2/$K$1/2*100,2),"")</f>
        <v>15</v>
      </c>
      <c r="F2" s="2">
        <f>IF(E2&lt;&gt;"",100-E2,"")</f>
        <v>85</v>
      </c>
      <c r="J2" s="8" t="s">
        <v>11</v>
      </c>
      <c r="K2" s="8">
        <f>COUNT(D2:D41)</f>
        <v>29</v>
      </c>
      <c r="L2" s="2" t="s">
        <v>37</v>
      </c>
      <c r="M2" s="2">
        <f>[32]Лист1!$U$1</f>
        <v>8</v>
      </c>
    </row>
    <row r="3" spans="1:13" x14ac:dyDescent="0.25">
      <c r="A3" s="2">
        <v>2</v>
      </c>
      <c r="B3">
        <v>4</v>
      </c>
      <c r="C3">
        <v>44</v>
      </c>
      <c r="D3" s="3">
        <f>IF(Лист1__26[[#This Row],[Column18]]&lt;&gt;"",Лист1__26[[#This Row],[Column18]],"")</f>
        <v>44</v>
      </c>
      <c r="E3" s="2">
        <f t="shared" ref="E3:E41" si="0">IF(D3&lt;&gt;"",ROUND(D3/$K$1/2*100,2),"")</f>
        <v>22</v>
      </c>
      <c r="F3" s="2">
        <f t="shared" ref="F3:F41" si="1">IF(E3&lt;&gt;"",100-E3,"")</f>
        <v>78</v>
      </c>
      <c r="I3" s="19" t="s">
        <v>33</v>
      </c>
      <c r="J3" s="4" t="s">
        <v>3</v>
      </c>
      <c r="K3" s="2">
        <f>ROUND(L3/$K$2*100,0)</f>
        <v>21</v>
      </c>
      <c r="L3" s="9">
        <f>K2-SUM($L$4:$L$7)</f>
        <v>6</v>
      </c>
    </row>
    <row r="4" spans="1:13" ht="26.25" x14ac:dyDescent="0.25">
      <c r="A4" s="2">
        <v>3</v>
      </c>
      <c r="B4">
        <v>5</v>
      </c>
      <c r="C4">
        <v>52</v>
      </c>
      <c r="D4" s="3">
        <f>IF(Лист1__26[[#This Row],[Column18]]&lt;&gt;"",Лист1__26[[#This Row],[Column18]],"")</f>
        <v>52</v>
      </c>
      <c r="E4" s="2">
        <f t="shared" si="0"/>
        <v>26</v>
      </c>
      <c r="F4" s="2">
        <f t="shared" si="1"/>
        <v>74</v>
      </c>
      <c r="I4" s="19"/>
      <c r="J4" s="4" t="s">
        <v>4</v>
      </c>
      <c r="K4" s="2">
        <f t="shared" ref="K4:K6" si="2">ROUND(L4/$K$2*100,0)</f>
        <v>52</v>
      </c>
      <c r="L4" s="2">
        <f t="array" ref="L4">SUM(($E$2:$E$37&gt;=10)*(($E$2:$E$37)&lt;30))</f>
        <v>15</v>
      </c>
    </row>
    <row r="5" spans="1:13" ht="26.25" x14ac:dyDescent="0.25">
      <c r="A5" s="2">
        <v>4</v>
      </c>
      <c r="B5">
        <v>6</v>
      </c>
      <c r="C5">
        <v>42</v>
      </c>
      <c r="D5" s="3">
        <f>IF(Лист1__26[[#This Row],[Column18]]&lt;&gt;"",Лист1__26[[#This Row],[Column18]],"")</f>
        <v>42</v>
      </c>
      <c r="E5" s="2">
        <f t="shared" si="0"/>
        <v>21</v>
      </c>
      <c r="F5" s="2">
        <f t="shared" si="1"/>
        <v>79</v>
      </c>
      <c r="I5" s="19"/>
      <c r="J5" s="4" t="s">
        <v>5</v>
      </c>
      <c r="K5" s="2">
        <f t="shared" si="2"/>
        <v>14</v>
      </c>
      <c r="L5" s="2">
        <f t="array" ref="L5">SUM(($E$2:$E$37&gt;=30)*(($E$2:$E$37)&lt;50))</f>
        <v>4</v>
      </c>
    </row>
    <row r="6" spans="1:13" ht="26.25" x14ac:dyDescent="0.25">
      <c r="A6" s="2">
        <v>5</v>
      </c>
      <c r="B6">
        <v>7</v>
      </c>
      <c r="C6">
        <v>28</v>
      </c>
      <c r="D6" s="3">
        <f>IF(Лист1__26[[#This Row],[Column18]]&lt;&gt;"",Лист1__26[[#This Row],[Column18]],"")</f>
        <v>28</v>
      </c>
      <c r="E6" s="2">
        <f t="shared" si="0"/>
        <v>14</v>
      </c>
      <c r="F6" s="2">
        <f t="shared" si="1"/>
        <v>86</v>
      </c>
      <c r="I6" s="19"/>
      <c r="J6" s="4" t="s">
        <v>6</v>
      </c>
      <c r="K6" s="2">
        <f t="shared" si="2"/>
        <v>10</v>
      </c>
      <c r="L6" s="2">
        <f t="array" ref="L6">SUM(($E$2:$E$37&gt;=50)*(($E$2:$E$37)&lt;70))</f>
        <v>3</v>
      </c>
    </row>
    <row r="7" spans="1:13" ht="26.25" x14ac:dyDescent="0.25">
      <c r="A7" s="2">
        <v>6</v>
      </c>
      <c r="B7">
        <v>8</v>
      </c>
      <c r="C7">
        <v>162</v>
      </c>
      <c r="D7" s="3">
        <f>IF(Лист1__26[[#This Row],[Column18]]&lt;&gt;"",Лист1__26[[#This Row],[Column18]],"")</f>
        <v>162</v>
      </c>
      <c r="E7" s="2">
        <f t="shared" si="0"/>
        <v>81</v>
      </c>
      <c r="F7" s="2">
        <f t="shared" si="1"/>
        <v>19</v>
      </c>
      <c r="I7" s="19"/>
      <c r="J7" s="4" t="s">
        <v>7</v>
      </c>
      <c r="K7" s="2">
        <f>100-SUM($K$3:$K$6)</f>
        <v>3</v>
      </c>
      <c r="L7" s="2">
        <f t="array" ref="L7">SUM(($E$2:$E$37&gt;=70)*(($E$2:$E$37)&lt;100))</f>
        <v>1</v>
      </c>
    </row>
    <row r="8" spans="1:13" x14ac:dyDescent="0.25">
      <c r="A8" s="2">
        <v>7</v>
      </c>
      <c r="B8">
        <v>9</v>
      </c>
      <c r="C8">
        <v>44</v>
      </c>
      <c r="D8" s="3">
        <f>IF(Лист1__26[[#This Row],[Column18]]&lt;&gt;"",Лист1__26[[#This Row],[Column18]],"")</f>
        <v>44</v>
      </c>
      <c r="E8" s="2">
        <f t="shared" si="0"/>
        <v>22</v>
      </c>
      <c r="F8" s="2">
        <f t="shared" si="1"/>
        <v>78</v>
      </c>
    </row>
    <row r="9" spans="1:13" x14ac:dyDescent="0.25">
      <c r="A9" s="2">
        <v>8</v>
      </c>
      <c r="B9">
        <v>10</v>
      </c>
      <c r="C9">
        <v>0</v>
      </c>
      <c r="D9" s="3">
        <f>IF(Лист1__26[[#This Row],[Column18]]&lt;&gt;"",Лист1__26[[#This Row],[Column18]],"")</f>
        <v>0</v>
      </c>
      <c r="E9" s="2">
        <f t="shared" si="0"/>
        <v>0</v>
      </c>
      <c r="F9" s="2">
        <f t="shared" si="1"/>
        <v>100</v>
      </c>
      <c r="K9" t="s">
        <v>31</v>
      </c>
    </row>
    <row r="10" spans="1:13" ht="26.25" x14ac:dyDescent="0.25">
      <c r="A10" s="2">
        <v>9</v>
      </c>
      <c r="B10">
        <v>11</v>
      </c>
      <c r="C10">
        <v>42</v>
      </c>
      <c r="D10" s="3">
        <f>IF(Лист1__26[[#This Row],[Column18]]&lt;&gt;"",Лист1__26[[#This Row],[Column18]],"")</f>
        <v>42</v>
      </c>
      <c r="E10" s="2">
        <f t="shared" si="0"/>
        <v>21</v>
      </c>
      <c r="F10" s="2">
        <f t="shared" si="1"/>
        <v>79</v>
      </c>
      <c r="I10" s="19" t="s">
        <v>34</v>
      </c>
      <c r="J10" s="4" t="s">
        <v>42</v>
      </c>
      <c r="K10" s="2">
        <f t="shared" ref="K10:K13" si="3">ROUND(L10/$K$2*100,0)</f>
        <v>3</v>
      </c>
      <c r="L10" s="2">
        <f t="array" ref="L10">SUM(($F$2:$F$37&gt;=0)*(($F$2:$F$37)&lt;30))</f>
        <v>1</v>
      </c>
    </row>
    <row r="11" spans="1:13" ht="26.25" x14ac:dyDescent="0.25">
      <c r="A11" s="2">
        <v>10</v>
      </c>
      <c r="B11">
        <v>12</v>
      </c>
      <c r="C11">
        <v>54</v>
      </c>
      <c r="D11" s="3">
        <f>IF(Лист1__26[[#This Row],[Column18]]&lt;&gt;"",Лист1__26[[#This Row],[Column18]],"")</f>
        <v>54</v>
      </c>
      <c r="E11" s="2">
        <f t="shared" si="0"/>
        <v>27</v>
      </c>
      <c r="F11" s="2">
        <f t="shared" si="1"/>
        <v>73</v>
      </c>
      <c r="I11" s="19"/>
      <c r="J11" s="4" t="s">
        <v>5</v>
      </c>
      <c r="K11" s="2">
        <f t="shared" si="3"/>
        <v>7</v>
      </c>
      <c r="L11" s="2">
        <f t="array" ref="L11">SUM(($F$2:$F$37&gt;=30)*(($F$2:$F$37)&lt;50))</f>
        <v>2</v>
      </c>
    </row>
    <row r="12" spans="1:13" ht="26.25" x14ac:dyDescent="0.25">
      <c r="A12" s="2">
        <v>11</v>
      </c>
      <c r="B12">
        <v>13</v>
      </c>
      <c r="C12">
        <v>124</v>
      </c>
      <c r="D12" s="3">
        <f>IF(Лист1__26[[#This Row],[Column18]]&lt;&gt;"",Лист1__26[[#This Row],[Column18]],"")</f>
        <v>124</v>
      </c>
      <c r="E12" s="2">
        <f t="shared" si="0"/>
        <v>62</v>
      </c>
      <c r="F12" s="2">
        <f t="shared" si="1"/>
        <v>38</v>
      </c>
      <c r="I12" s="19"/>
      <c r="J12" s="4" t="s">
        <v>28</v>
      </c>
      <c r="K12" s="2">
        <f t="shared" si="3"/>
        <v>31</v>
      </c>
      <c r="L12" s="2">
        <f t="array" ref="L12">SUM(($F$2:$F$37&gt;=50)*(($F$2:$F$37)&lt;75))</f>
        <v>9</v>
      </c>
    </row>
    <row r="13" spans="1:13" ht="26.25" x14ac:dyDescent="0.25">
      <c r="A13" s="2">
        <v>12</v>
      </c>
      <c r="B13">
        <v>14</v>
      </c>
      <c r="C13">
        <v>56</v>
      </c>
      <c r="D13" s="3">
        <f>IF(Лист1__26[[#This Row],[Column18]]&lt;&gt;"",Лист1__26[[#This Row],[Column18]],"")</f>
        <v>56</v>
      </c>
      <c r="E13" s="2">
        <f t="shared" si="0"/>
        <v>28</v>
      </c>
      <c r="F13" s="2">
        <f t="shared" si="1"/>
        <v>72</v>
      </c>
      <c r="I13" s="19"/>
      <c r="J13" s="4" t="s">
        <v>29</v>
      </c>
      <c r="K13" s="2">
        <f t="shared" si="3"/>
        <v>34</v>
      </c>
      <c r="L13" s="2">
        <f t="array" ref="L13">SUM(($F$2:$F$37&gt;=75)*(($F$2:$F$37)&lt;90))</f>
        <v>10</v>
      </c>
    </row>
    <row r="14" spans="1:13" ht="26.25" x14ac:dyDescent="0.25">
      <c r="A14" s="2">
        <v>13</v>
      </c>
      <c r="B14">
        <v>15</v>
      </c>
      <c r="C14">
        <v>72</v>
      </c>
      <c r="D14" s="3">
        <f>IF(Лист1__26[[#This Row],[Column18]]&lt;&gt;"",Лист1__26[[#This Row],[Column18]],"")</f>
        <v>72</v>
      </c>
      <c r="E14" s="2">
        <f t="shared" si="0"/>
        <v>36</v>
      </c>
      <c r="F14" s="2">
        <f t="shared" si="1"/>
        <v>64</v>
      </c>
      <c r="I14" s="19"/>
      <c r="J14" s="7" t="s">
        <v>30</v>
      </c>
      <c r="K14" s="2">
        <f>100-SUM($K$9:$K$13)</f>
        <v>25</v>
      </c>
      <c r="L14" s="2">
        <f>$K$2-SUM(L9:L$13)</f>
        <v>7</v>
      </c>
    </row>
    <row r="15" spans="1:13" x14ac:dyDescent="0.25">
      <c r="A15" s="2">
        <v>14</v>
      </c>
      <c r="B15">
        <v>16</v>
      </c>
      <c r="C15">
        <v>0</v>
      </c>
      <c r="D15" s="3">
        <f>IF(Лист1__26[[#This Row],[Column18]]&lt;&gt;"",Лист1__26[[#This Row],[Column18]],"")</f>
        <v>0</v>
      </c>
      <c r="E15" s="2">
        <f t="shared" si="0"/>
        <v>0</v>
      </c>
      <c r="F15" s="2">
        <f t="shared" si="1"/>
        <v>100</v>
      </c>
    </row>
    <row r="16" spans="1:13" x14ac:dyDescent="0.25">
      <c r="A16" s="2">
        <v>15</v>
      </c>
      <c r="B16">
        <v>17</v>
      </c>
      <c r="C16">
        <v>30</v>
      </c>
      <c r="D16" s="3">
        <f>IF(Лист1__26[[#This Row],[Column18]]&lt;&gt;"",Лист1__26[[#This Row],[Column18]],"")</f>
        <v>30</v>
      </c>
      <c r="E16" s="2">
        <f t="shared" si="0"/>
        <v>15</v>
      </c>
      <c r="F16" s="2">
        <f t="shared" si="1"/>
        <v>85</v>
      </c>
    </row>
    <row r="17" spans="1:6" x14ac:dyDescent="0.25">
      <c r="A17" s="2">
        <v>16</v>
      </c>
      <c r="B17">
        <v>18</v>
      </c>
      <c r="C17">
        <v>0</v>
      </c>
      <c r="D17" s="3">
        <f>IF(Лист1__26[[#This Row],[Column18]]&lt;&gt;"",Лист1__26[[#This Row],[Column18]],"")</f>
        <v>0</v>
      </c>
      <c r="E17" s="2">
        <f t="shared" si="0"/>
        <v>0</v>
      </c>
      <c r="F17" s="2">
        <f t="shared" si="1"/>
        <v>100</v>
      </c>
    </row>
    <row r="18" spans="1:6" x14ac:dyDescent="0.25">
      <c r="A18" s="2">
        <v>17</v>
      </c>
      <c r="B18">
        <v>19</v>
      </c>
      <c r="C18">
        <v>20</v>
      </c>
      <c r="D18" s="3">
        <f>IF(Лист1__26[[#This Row],[Column18]]&lt;&gt;"",Лист1__26[[#This Row],[Column18]],"")</f>
        <v>20</v>
      </c>
      <c r="E18" s="2">
        <f t="shared" si="0"/>
        <v>10</v>
      </c>
      <c r="F18" s="2">
        <f t="shared" si="1"/>
        <v>90</v>
      </c>
    </row>
    <row r="19" spans="1:6" x14ac:dyDescent="0.25">
      <c r="A19" s="2">
        <v>18</v>
      </c>
      <c r="B19">
        <v>20</v>
      </c>
      <c r="C19">
        <v>40</v>
      </c>
      <c r="D19" s="3">
        <f>IF(Лист1__26[[#This Row],[Column18]]&lt;&gt;"",Лист1__26[[#This Row],[Column18]],"")</f>
        <v>40</v>
      </c>
      <c r="E19" s="2">
        <f t="shared" si="0"/>
        <v>20</v>
      </c>
      <c r="F19" s="2">
        <f t="shared" si="1"/>
        <v>80</v>
      </c>
    </row>
    <row r="20" spans="1:6" x14ac:dyDescent="0.25">
      <c r="A20" s="2">
        <v>19</v>
      </c>
      <c r="B20">
        <v>21</v>
      </c>
      <c r="C20">
        <v>10</v>
      </c>
      <c r="D20" s="3">
        <f>IF(Лист1__26[[#This Row],[Column18]]&lt;&gt;"",Лист1__26[[#This Row],[Column18]],"")</f>
        <v>10</v>
      </c>
      <c r="E20" s="2">
        <f t="shared" si="0"/>
        <v>5</v>
      </c>
      <c r="F20" s="2">
        <f t="shared" si="1"/>
        <v>95</v>
      </c>
    </row>
    <row r="21" spans="1:6" x14ac:dyDescent="0.25">
      <c r="A21" s="2">
        <v>20</v>
      </c>
      <c r="B21">
        <v>22</v>
      </c>
      <c r="C21">
        <v>108</v>
      </c>
      <c r="D21" s="3">
        <f>IF(Лист1__26[[#This Row],[Column18]]&lt;&gt;"",Лист1__26[[#This Row],[Column18]],"")</f>
        <v>108</v>
      </c>
      <c r="E21" s="2">
        <f t="shared" si="0"/>
        <v>54</v>
      </c>
      <c r="F21" s="2">
        <f t="shared" si="1"/>
        <v>46</v>
      </c>
    </row>
    <row r="22" spans="1:6" x14ac:dyDescent="0.25">
      <c r="A22" s="2">
        <v>21</v>
      </c>
      <c r="B22">
        <v>23</v>
      </c>
      <c r="C22">
        <v>100</v>
      </c>
      <c r="D22" s="3">
        <f>IF(Лист1__26[[#This Row],[Column18]]&lt;&gt;"",Лист1__26[[#This Row],[Column18]],"")</f>
        <v>100</v>
      </c>
      <c r="E22" s="2">
        <f t="shared" si="0"/>
        <v>50</v>
      </c>
      <c r="F22" s="2">
        <f t="shared" si="1"/>
        <v>50</v>
      </c>
    </row>
    <row r="23" spans="1:6" x14ac:dyDescent="0.25">
      <c r="A23" s="2">
        <v>22</v>
      </c>
      <c r="B23">
        <v>24</v>
      </c>
      <c r="C23">
        <v>82</v>
      </c>
      <c r="D23" s="3">
        <f>IF(Лист1__26[[#This Row],[Column18]]&lt;&gt;"",Лист1__26[[#This Row],[Column18]],"")</f>
        <v>82</v>
      </c>
      <c r="E23" s="2">
        <f t="shared" si="0"/>
        <v>41</v>
      </c>
      <c r="F23" s="2">
        <f t="shared" si="1"/>
        <v>59</v>
      </c>
    </row>
    <row r="24" spans="1:6" x14ac:dyDescent="0.25">
      <c r="A24" s="2">
        <v>23</v>
      </c>
      <c r="B24">
        <v>25</v>
      </c>
      <c r="C24">
        <v>0</v>
      </c>
      <c r="D24" s="3">
        <f>IF(Лист1__26[[#This Row],[Column18]]&lt;&gt;"",Лист1__26[[#This Row],[Column18]],"")</f>
        <v>0</v>
      </c>
      <c r="E24" s="2">
        <f t="shared" si="0"/>
        <v>0</v>
      </c>
      <c r="F24" s="2">
        <f t="shared" si="1"/>
        <v>100</v>
      </c>
    </row>
    <row r="25" spans="1:6" x14ac:dyDescent="0.25">
      <c r="A25" s="2">
        <v>24</v>
      </c>
      <c r="B25">
        <v>26</v>
      </c>
      <c r="C25">
        <v>74</v>
      </c>
      <c r="D25" s="3">
        <f>IF(Лист1__26[[#This Row],[Column18]]&lt;&gt;"",Лист1__26[[#This Row],[Column18]],"")</f>
        <v>74</v>
      </c>
      <c r="E25" s="2">
        <f t="shared" si="0"/>
        <v>37</v>
      </c>
      <c r="F25" s="2">
        <f t="shared" si="1"/>
        <v>63</v>
      </c>
    </row>
    <row r="26" spans="1:6" x14ac:dyDescent="0.25">
      <c r="A26" s="2">
        <v>25</v>
      </c>
      <c r="B26">
        <v>27</v>
      </c>
      <c r="C26">
        <v>52</v>
      </c>
      <c r="D26" s="3">
        <f>IF(Лист1__26[[#This Row],[Column18]]&lt;&gt;"",Лист1__26[[#This Row],[Column18]],"")</f>
        <v>52</v>
      </c>
      <c r="E26" s="2">
        <f t="shared" si="0"/>
        <v>26</v>
      </c>
      <c r="F26" s="2">
        <f t="shared" si="1"/>
        <v>74</v>
      </c>
    </row>
    <row r="27" spans="1:6" x14ac:dyDescent="0.25">
      <c r="A27" s="2">
        <v>26</v>
      </c>
      <c r="B27">
        <v>28</v>
      </c>
      <c r="C27">
        <v>10</v>
      </c>
      <c r="D27" s="3">
        <f>IF(Лист1__26[[#This Row],[Column18]]&lt;&gt;"",Лист1__26[[#This Row],[Column18]],"")</f>
        <v>10</v>
      </c>
      <c r="E27" s="2">
        <f t="shared" si="0"/>
        <v>5</v>
      </c>
      <c r="F27" s="2">
        <f t="shared" si="1"/>
        <v>95</v>
      </c>
    </row>
    <row r="28" spans="1:6" x14ac:dyDescent="0.25">
      <c r="A28" s="2">
        <v>27</v>
      </c>
      <c r="B28">
        <v>29</v>
      </c>
      <c r="C28">
        <v>40</v>
      </c>
      <c r="D28" s="3">
        <f>IF(Лист1__26[[#This Row],[Column18]]&lt;&gt;"",Лист1__26[[#This Row],[Column18]],"")</f>
        <v>40</v>
      </c>
      <c r="E28" s="2">
        <f t="shared" si="0"/>
        <v>20</v>
      </c>
      <c r="F28" s="2">
        <f t="shared" si="1"/>
        <v>80</v>
      </c>
    </row>
    <row r="29" spans="1:6" x14ac:dyDescent="0.25">
      <c r="A29" s="2">
        <v>28</v>
      </c>
      <c r="B29">
        <v>30</v>
      </c>
      <c r="C29">
        <v>68</v>
      </c>
      <c r="D29" s="3">
        <f>IF(Лист1__26[[#This Row],[Column18]]&lt;&gt;"",Лист1__26[[#This Row],[Column18]],"")</f>
        <v>68</v>
      </c>
      <c r="E29" s="2">
        <f t="shared" si="0"/>
        <v>34</v>
      </c>
      <c r="F29" s="2">
        <f t="shared" si="1"/>
        <v>66</v>
      </c>
    </row>
    <row r="30" spans="1:6" x14ac:dyDescent="0.25">
      <c r="A30" s="2">
        <v>29</v>
      </c>
      <c r="B30">
        <v>31</v>
      </c>
      <c r="C30">
        <v>26</v>
      </c>
      <c r="D30" s="3">
        <f>IF(Лист1__26[[#This Row],[Column18]]&lt;&gt;"",Лист1__26[[#This Row],[Column18]],"")</f>
        <v>26</v>
      </c>
      <c r="E30" s="2">
        <f t="shared" si="0"/>
        <v>13</v>
      </c>
      <c r="F30" s="2">
        <f t="shared" si="1"/>
        <v>87</v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IF(Лист1__26[[#This Row],[Column18]]&lt;&gt;"",Лист1__26[[#This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IF(Лист1__26[[#This Row],[Column18]]&lt;&gt;"",Лист1__26[[#This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IF(Лист1__26[[#This Row],[Column18]]&lt;&gt;"",Лист1__26[[#This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IF(Лист1__26[[#This Row],[Column18]]&lt;&gt;"",Лист1__26[[#This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IF(Лист1__26[[#This Row],[Column18]]&lt;&gt;"",Лист1__26[[#This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IF(Лист1__26[[#This Row],[Column18]]&lt;&gt;"",Лист1__26[[#This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IF(Лист1__26[[#This Row],[Column18]]&lt;&gt;"",Лист1__26[[#This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IF(Лист1__26[[#This Row],[Column18]]&lt;&gt;"",Лист1__26[[#This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IF(Лист1__26[[#This Row],[Column18]]&lt;&gt;"",Лист1__26[[#This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IF(Лист1__26[[#This Row],[Column18]]&lt;&gt;"",Лист1__26[[#This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IF(Лист1__26[[#This Row],[Column18]]&lt;&gt;"",Лист1__26[[#This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1410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6717-0C13-4C59-8184-44F23BE5A064}">
  <sheetPr codeName="Лист28"/>
  <dimension ref="A1:M42"/>
  <sheetViews>
    <sheetView workbookViewId="0">
      <selection activeCell="P13" sqref="P13"/>
    </sheetView>
  </sheetViews>
  <sheetFormatPr defaultRowHeight="15" x14ac:dyDescent="0.25"/>
  <cols>
    <col min="2" max="2" width="10.140625" hidden="1" customWidth="1"/>
    <col min="3" max="3" width="12.140625" hidden="1" customWidth="1"/>
    <col min="4" max="5" width="12.140625" customWidth="1"/>
    <col min="6" max="6" width="17.7109375" bestFit="1" customWidth="1"/>
    <col min="7" max="7" width="18.42578125" bestFit="1" customWidth="1"/>
    <col min="8" max="8" width="23.140625" bestFit="1" customWidth="1"/>
    <col min="12" max="12" width="18.42578125" bestFit="1" customWidth="1"/>
  </cols>
  <sheetData>
    <row r="1" spans="1:13" x14ac:dyDescent="0.25">
      <c r="A1" s="2" t="s">
        <v>8</v>
      </c>
      <c r="B1" s="11" t="s">
        <v>35</v>
      </c>
      <c r="C1" t="s">
        <v>56</v>
      </c>
      <c r="D1" s="2" t="s">
        <v>9</v>
      </c>
      <c r="E1" s="2" t="s">
        <v>12</v>
      </c>
      <c r="F1" s="6" t="s">
        <v>27</v>
      </c>
      <c r="J1" s="2" t="s">
        <v>32</v>
      </c>
      <c r="K1" s="3">
        <f>[33]Лист1!$R$2</f>
        <v>231</v>
      </c>
      <c r="L1" s="2" t="s">
        <v>36</v>
      </c>
      <c r="M1" s="2" t="str">
        <f ca="1">MID(CELL("filename",A2),SEARCH("]",CELL("filename",A2))+1,31)</f>
        <v>ЭБт-51</v>
      </c>
    </row>
    <row r="2" spans="1:13" x14ac:dyDescent="0.25">
      <c r="A2" s="2">
        <v>1</v>
      </c>
      <c r="B2">
        <v>3</v>
      </c>
      <c r="C2">
        <v>0</v>
      </c>
      <c r="D2" s="3">
        <f>IF(Лист1__27[[#This Row],[Column18]]&lt;&gt;"",Лист1__27[[#This Row],[Column18]],"")</f>
        <v>0</v>
      </c>
      <c r="E2" s="2">
        <f>IF(D2&lt;&gt;"",ROUND(D2/$K$1/2*100,2),"")</f>
        <v>0</v>
      </c>
      <c r="F2" s="2">
        <f>IF(E2&lt;&gt;"",100-E2,"")</f>
        <v>100</v>
      </c>
      <c r="J2" s="8" t="s">
        <v>11</v>
      </c>
      <c r="K2" s="8">
        <f>COUNT(D2:D41)</f>
        <v>6</v>
      </c>
      <c r="L2" s="2" t="s">
        <v>37</v>
      </c>
      <c r="M2" s="2">
        <f>[33]Лист1!$U$1</f>
        <v>16</v>
      </c>
    </row>
    <row r="3" spans="1:13" x14ac:dyDescent="0.25">
      <c r="A3" s="2">
        <v>2</v>
      </c>
      <c r="B3">
        <v>4</v>
      </c>
      <c r="C3">
        <v>136</v>
      </c>
      <c r="D3" s="3">
        <f>IF(Лист1__27[[#This Row],[Column18]]&lt;&gt;"",Лист1__27[[#This Row],[Column18]],"")</f>
        <v>136</v>
      </c>
      <c r="E3" s="2">
        <f t="shared" ref="E3:E41" si="0">IF(D3&lt;&gt;"",ROUND(D3/$K$1/2*100,2),"")</f>
        <v>29.44</v>
      </c>
      <c r="F3" s="2">
        <f t="shared" ref="F3:F41" si="1">IF(E3&lt;&gt;"",100-E3,"")</f>
        <v>70.56</v>
      </c>
      <c r="I3" s="19" t="s">
        <v>33</v>
      </c>
      <c r="J3" s="4" t="s">
        <v>3</v>
      </c>
      <c r="K3" s="2">
        <f>ROUND(L3/$K$2*100,0)</f>
        <v>67</v>
      </c>
      <c r="L3" s="9">
        <f>K2-SUM($L$4:$L$7)</f>
        <v>4</v>
      </c>
    </row>
    <row r="4" spans="1:13" ht="26.25" x14ac:dyDescent="0.25">
      <c r="A4" s="2">
        <v>3</v>
      </c>
      <c r="B4">
        <v>5</v>
      </c>
      <c r="C4">
        <v>20</v>
      </c>
      <c r="D4" s="3">
        <f>IF(Лист1__27[[#This Row],[Column18]]&lt;&gt;"",Лист1__27[[#This Row],[Column18]],"")</f>
        <v>20</v>
      </c>
      <c r="E4" s="2">
        <f t="shared" si="0"/>
        <v>4.33</v>
      </c>
      <c r="F4" s="2">
        <f t="shared" si="1"/>
        <v>95.67</v>
      </c>
      <c r="I4" s="19"/>
      <c r="J4" s="4" t="s">
        <v>4</v>
      </c>
      <c r="K4" s="2">
        <f t="shared" ref="K4:K6" si="2">ROUND(L4/$K$2*100,0)</f>
        <v>33</v>
      </c>
      <c r="L4" s="2">
        <f t="array" ref="L4">SUM(($E$2:$E$37&gt;=10)*(($E$2:$E$37)&lt;30))</f>
        <v>2</v>
      </c>
    </row>
    <row r="5" spans="1:13" ht="26.25" x14ac:dyDescent="0.25">
      <c r="A5" s="2">
        <v>4</v>
      </c>
      <c r="B5">
        <v>6</v>
      </c>
      <c r="C5">
        <v>86</v>
      </c>
      <c r="D5" s="3">
        <f>IF(Лист1__27[[#This Row],[Column18]]&lt;&gt;"",Лист1__27[[#This Row],[Column18]],"")</f>
        <v>86</v>
      </c>
      <c r="E5" s="2">
        <f t="shared" si="0"/>
        <v>18.61</v>
      </c>
      <c r="F5" s="2">
        <f t="shared" si="1"/>
        <v>81.39</v>
      </c>
      <c r="I5" s="19"/>
      <c r="J5" s="4" t="s">
        <v>5</v>
      </c>
      <c r="K5" s="2">
        <f t="shared" si="2"/>
        <v>0</v>
      </c>
      <c r="L5" s="2">
        <f t="array" ref="L5">SUM(($E$2:$E$37&gt;=30)*(($E$2:$E$37)&lt;50))</f>
        <v>0</v>
      </c>
    </row>
    <row r="6" spans="1:13" ht="26.25" x14ac:dyDescent="0.25">
      <c r="A6" s="2">
        <v>5</v>
      </c>
      <c r="B6">
        <v>7</v>
      </c>
      <c r="C6">
        <v>36</v>
      </c>
      <c r="D6" s="3">
        <f>IF(Лист1__27[[#This Row],[Column18]]&lt;&gt;"",Лист1__27[[#This Row],[Column18]],"")</f>
        <v>36</v>
      </c>
      <c r="E6" s="2">
        <f t="shared" si="0"/>
        <v>7.79</v>
      </c>
      <c r="F6" s="2">
        <f t="shared" si="1"/>
        <v>92.21</v>
      </c>
      <c r="I6" s="19"/>
      <c r="J6" s="4" t="s">
        <v>6</v>
      </c>
      <c r="K6" s="2">
        <f t="shared" si="2"/>
        <v>0</v>
      </c>
      <c r="L6" s="2">
        <f t="array" ref="L6">SUM(($E$2:$E$37&gt;=50)*(($E$2:$E$37)&lt;70))</f>
        <v>0</v>
      </c>
    </row>
    <row r="7" spans="1:13" ht="26.25" x14ac:dyDescent="0.25">
      <c r="A7" s="2">
        <v>6</v>
      </c>
      <c r="B7">
        <v>8</v>
      </c>
      <c r="C7">
        <v>0</v>
      </c>
      <c r="D7" s="3">
        <f>IF(Лист1__27[[#This Row],[Column18]]&lt;&gt;"",Лист1__27[[#This Row],[Column18]],"")</f>
        <v>0</v>
      </c>
      <c r="E7" s="2">
        <f t="shared" si="0"/>
        <v>0</v>
      </c>
      <c r="F7" s="2">
        <f t="shared" si="1"/>
        <v>100</v>
      </c>
      <c r="I7" s="19"/>
      <c r="J7" s="4" t="s">
        <v>7</v>
      </c>
      <c r="K7" s="2">
        <f>100-SUM($K$3:$K$6)</f>
        <v>0</v>
      </c>
      <c r="L7" s="2">
        <f t="array" ref="L7">SUM(($E$2:$E$37&gt;=70)*(($E$2:$E$37)&lt;100))</f>
        <v>0</v>
      </c>
    </row>
    <row r="8" spans="1:13" x14ac:dyDescent="0.25">
      <c r="A8" s="2">
        <v>7</v>
      </c>
      <c r="B8">
        <v>9</v>
      </c>
      <c r="C8" t="s">
        <v>38</v>
      </c>
      <c r="D8" s="3" t="str">
        <f>IF(Лист1__27[[#This Row],[Column18]]&lt;&gt;"",Лист1__27[[#This Row],[Column18]],"")</f>
        <v/>
      </c>
      <c r="E8" s="2" t="str">
        <f t="shared" si="0"/>
        <v/>
      </c>
      <c r="F8" s="2" t="str">
        <f t="shared" si="1"/>
        <v/>
      </c>
    </row>
    <row r="9" spans="1:13" x14ac:dyDescent="0.25">
      <c r="A9" s="2">
        <v>8</v>
      </c>
      <c r="B9">
        <v>10</v>
      </c>
      <c r="C9" t="s">
        <v>38</v>
      </c>
      <c r="D9" s="3" t="str">
        <f>IF(Лист1__27[[#This Row],[Column18]]&lt;&gt;"",Лист1__27[[#This Row],[Column18]],"")</f>
        <v/>
      </c>
      <c r="E9" s="2" t="str">
        <f t="shared" si="0"/>
        <v/>
      </c>
      <c r="F9" s="2" t="str">
        <f t="shared" si="1"/>
        <v/>
      </c>
      <c r="K9" t="s">
        <v>31</v>
      </c>
    </row>
    <row r="10" spans="1:13" ht="26.25" x14ac:dyDescent="0.25">
      <c r="A10" s="2">
        <v>9</v>
      </c>
      <c r="B10">
        <v>11</v>
      </c>
      <c r="C10" t="s">
        <v>38</v>
      </c>
      <c r="D10" s="3" t="str">
        <f>IF(Лист1__27[[#This Row],[Column18]]&lt;&gt;"",Лист1__27[[#This Row],[Column18]],"")</f>
        <v/>
      </c>
      <c r="E10" s="2" t="str">
        <f t="shared" si="0"/>
        <v/>
      </c>
      <c r="F10" s="2" t="str">
        <f t="shared" si="1"/>
        <v/>
      </c>
      <c r="I10" s="19" t="s">
        <v>34</v>
      </c>
      <c r="J10" s="4" t="s">
        <v>42</v>
      </c>
      <c r="K10" s="2">
        <f t="shared" ref="K10:K13" si="3">ROUND(L10/$K$2*100,0)</f>
        <v>0</v>
      </c>
      <c r="L10" s="2">
        <f t="array" ref="L10">SUM(($F$2:$F$37&gt;=0)*(($F$2:$F$37)&lt;30))</f>
        <v>0</v>
      </c>
    </row>
    <row r="11" spans="1:13" ht="26.25" x14ac:dyDescent="0.25">
      <c r="A11" s="2">
        <v>10</v>
      </c>
      <c r="B11">
        <v>12</v>
      </c>
      <c r="C11" t="s">
        <v>38</v>
      </c>
      <c r="D11" s="3" t="str">
        <f>IF(Лист1__27[[#This Row],[Column18]]&lt;&gt;"",Лист1__27[[#This Row],[Column18]],"")</f>
        <v/>
      </c>
      <c r="E11" s="2" t="str">
        <f t="shared" si="0"/>
        <v/>
      </c>
      <c r="F11" s="2" t="str">
        <f t="shared" si="1"/>
        <v/>
      </c>
      <c r="I11" s="19"/>
      <c r="J11" s="4" t="s">
        <v>5</v>
      </c>
      <c r="K11" s="2">
        <f t="shared" si="3"/>
        <v>0</v>
      </c>
      <c r="L11" s="2">
        <f t="array" ref="L11">SUM(($F$2:$F$37&gt;=30)*(($F$2:$F$37)&lt;50))</f>
        <v>0</v>
      </c>
    </row>
    <row r="12" spans="1:13" ht="26.25" x14ac:dyDescent="0.25">
      <c r="A12" s="2">
        <v>11</v>
      </c>
      <c r="B12">
        <v>13</v>
      </c>
      <c r="C12" t="s">
        <v>38</v>
      </c>
      <c r="D12" s="3" t="str">
        <f>IF(Лист1__27[[#This Row],[Column18]]&lt;&gt;"",Лист1__27[[#This Row],[Column18]],"")</f>
        <v/>
      </c>
      <c r="E12" s="2" t="str">
        <f t="shared" si="0"/>
        <v/>
      </c>
      <c r="F12" s="2" t="str">
        <f t="shared" si="1"/>
        <v/>
      </c>
      <c r="I12" s="19"/>
      <c r="J12" s="4" t="s">
        <v>28</v>
      </c>
      <c r="K12" s="2">
        <f t="shared" si="3"/>
        <v>17</v>
      </c>
      <c r="L12" s="2">
        <f t="array" ref="L12">SUM(($F$2:$F$37&gt;=50)*(($F$2:$F$37)&lt;75))</f>
        <v>1</v>
      </c>
    </row>
    <row r="13" spans="1:13" ht="26.25" x14ac:dyDescent="0.25">
      <c r="A13" s="2">
        <v>12</v>
      </c>
      <c r="B13">
        <v>14</v>
      </c>
      <c r="C13" t="s">
        <v>38</v>
      </c>
      <c r="D13" s="3" t="str">
        <f>IF(Лист1__27[[#This Row],[Column18]]&lt;&gt;"",Лист1__27[[#This Row],[Column18]],"")</f>
        <v/>
      </c>
      <c r="E13" s="2" t="str">
        <f t="shared" si="0"/>
        <v/>
      </c>
      <c r="F13" s="2" t="str">
        <f t="shared" si="1"/>
        <v/>
      </c>
      <c r="I13" s="19"/>
      <c r="J13" s="4" t="s">
        <v>29</v>
      </c>
      <c r="K13" s="2">
        <f t="shared" si="3"/>
        <v>17</v>
      </c>
      <c r="L13" s="2">
        <f t="array" ref="L13">SUM(($F$2:$F$37&gt;=75)*(($F$2:$F$37)&lt;90))</f>
        <v>1</v>
      </c>
    </row>
    <row r="14" spans="1:13" ht="26.25" x14ac:dyDescent="0.25">
      <c r="A14" s="2">
        <v>13</v>
      </c>
      <c r="B14">
        <v>15</v>
      </c>
      <c r="C14" t="s">
        <v>38</v>
      </c>
      <c r="D14" s="3" t="str">
        <f>IF(Лист1__27[[#This Row],[Column18]]&lt;&gt;"",Лист1__27[[#This Row],[Column18]],"")</f>
        <v/>
      </c>
      <c r="E14" s="2" t="str">
        <f t="shared" si="0"/>
        <v/>
      </c>
      <c r="F14" s="2" t="str">
        <f t="shared" si="1"/>
        <v/>
      </c>
      <c r="I14" s="19"/>
      <c r="J14" s="7" t="s">
        <v>30</v>
      </c>
      <c r="K14" s="2">
        <f>100-SUM($K$9:$K$13)</f>
        <v>66</v>
      </c>
      <c r="L14" s="2">
        <f>$K$2-SUM(L9:L$13)</f>
        <v>4</v>
      </c>
    </row>
    <row r="15" spans="1:13" x14ac:dyDescent="0.25">
      <c r="A15" s="2">
        <v>14</v>
      </c>
      <c r="B15">
        <v>16</v>
      </c>
      <c r="C15" t="s">
        <v>38</v>
      </c>
      <c r="D15" s="3" t="str">
        <f>IF(Лист1__27[[#This Row],[Column18]]&lt;&gt;"",Лист1__27[[#This Row],[Column18]],"")</f>
        <v/>
      </c>
      <c r="E15" s="2" t="str">
        <f t="shared" si="0"/>
        <v/>
      </c>
      <c r="F15" s="2" t="str">
        <f t="shared" si="1"/>
        <v/>
      </c>
    </row>
    <row r="16" spans="1:13" x14ac:dyDescent="0.25">
      <c r="A16" s="2">
        <v>15</v>
      </c>
      <c r="B16">
        <v>17</v>
      </c>
      <c r="C16" t="s">
        <v>38</v>
      </c>
      <c r="D16" s="3" t="str">
        <f>IF(Лист1__27[[#This Row],[Column18]]&lt;&gt;"",Лист1__27[[#This Row],[Column18]],"")</f>
        <v/>
      </c>
      <c r="E16" s="2" t="str">
        <f t="shared" si="0"/>
        <v/>
      </c>
      <c r="F16" s="2" t="str">
        <f t="shared" si="1"/>
        <v/>
      </c>
    </row>
    <row r="17" spans="1:6" x14ac:dyDescent="0.25">
      <c r="A17" s="2">
        <v>16</v>
      </c>
      <c r="B17">
        <v>18</v>
      </c>
      <c r="C17" t="s">
        <v>38</v>
      </c>
      <c r="D17" s="3" t="str">
        <f>IF(Лист1__27[[#This Row],[Column18]]&lt;&gt;"",Лист1__27[[#This Row],[Column18]],"")</f>
        <v/>
      </c>
      <c r="E17" s="2" t="str">
        <f t="shared" si="0"/>
        <v/>
      </c>
      <c r="F17" s="2" t="str">
        <f t="shared" si="1"/>
        <v/>
      </c>
    </row>
    <row r="18" spans="1:6" x14ac:dyDescent="0.25">
      <c r="A18" s="2">
        <v>17</v>
      </c>
      <c r="B18">
        <v>19</v>
      </c>
      <c r="C18" t="s">
        <v>38</v>
      </c>
      <c r="D18" s="3" t="str">
        <f>IF(Лист1__27[[#This Row],[Column18]]&lt;&gt;"",Лист1__27[[#This Row],[Column18]],"")</f>
        <v/>
      </c>
      <c r="E18" s="2" t="str">
        <f t="shared" si="0"/>
        <v/>
      </c>
      <c r="F18" s="2" t="str">
        <f t="shared" si="1"/>
        <v/>
      </c>
    </row>
    <row r="19" spans="1:6" x14ac:dyDescent="0.25">
      <c r="A19" s="2">
        <v>18</v>
      </c>
      <c r="B19">
        <v>20</v>
      </c>
      <c r="C19" t="s">
        <v>38</v>
      </c>
      <c r="D19" s="3" t="str">
        <f>IF(Лист1__27[[#This Row],[Column18]]&lt;&gt;"",Лист1__27[[#This Row],[Column18]],"")</f>
        <v/>
      </c>
      <c r="E19" s="2" t="str">
        <f t="shared" si="0"/>
        <v/>
      </c>
      <c r="F19" s="2" t="str">
        <f t="shared" si="1"/>
        <v/>
      </c>
    </row>
    <row r="20" spans="1:6" x14ac:dyDescent="0.25">
      <c r="A20" s="2">
        <v>19</v>
      </c>
      <c r="B20">
        <v>21</v>
      </c>
      <c r="C20" t="s">
        <v>38</v>
      </c>
      <c r="D20" s="3" t="str">
        <f>IF(Лист1__27[[#This Row],[Column18]]&lt;&gt;"",Лист1__27[[#This Row],[Column18]],"")</f>
        <v/>
      </c>
      <c r="E20" s="2" t="str">
        <f t="shared" si="0"/>
        <v/>
      </c>
      <c r="F20" s="2" t="str">
        <f t="shared" si="1"/>
        <v/>
      </c>
    </row>
    <row r="21" spans="1:6" x14ac:dyDescent="0.25">
      <c r="A21" s="2">
        <v>20</v>
      </c>
      <c r="B21">
        <v>22</v>
      </c>
      <c r="C21" t="s">
        <v>38</v>
      </c>
      <c r="D21" s="3" t="str">
        <f>IF(Лист1__27[[#This Row],[Column18]]&lt;&gt;"",Лист1__27[[#This Row],[Column18]],"")</f>
        <v/>
      </c>
      <c r="E21" s="2" t="str">
        <f t="shared" si="0"/>
        <v/>
      </c>
      <c r="F21" s="2" t="str">
        <f t="shared" si="1"/>
        <v/>
      </c>
    </row>
    <row r="22" spans="1:6" x14ac:dyDescent="0.25">
      <c r="A22" s="2">
        <v>21</v>
      </c>
      <c r="B22">
        <v>23</v>
      </c>
      <c r="C22" t="s">
        <v>38</v>
      </c>
      <c r="D22" s="3" t="str">
        <f>IF(Лист1__27[[#This Row],[Column18]]&lt;&gt;"",Лист1__27[[#This Row],[Column18]],"")</f>
        <v/>
      </c>
      <c r="E22" s="2" t="str">
        <f t="shared" si="0"/>
        <v/>
      </c>
      <c r="F22" s="2" t="str">
        <f t="shared" si="1"/>
        <v/>
      </c>
    </row>
    <row r="23" spans="1:6" x14ac:dyDescent="0.25">
      <c r="A23" s="2">
        <v>22</v>
      </c>
      <c r="B23">
        <v>24</v>
      </c>
      <c r="C23" t="s">
        <v>38</v>
      </c>
      <c r="D23" s="3" t="str">
        <f>IF(Лист1__27[[#This Row],[Column18]]&lt;&gt;"",Лист1__27[[#This Row],[Column18]],"")</f>
        <v/>
      </c>
      <c r="E23" s="2" t="str">
        <f t="shared" si="0"/>
        <v/>
      </c>
      <c r="F23" s="2" t="str">
        <f t="shared" si="1"/>
        <v/>
      </c>
    </row>
    <row r="24" spans="1:6" x14ac:dyDescent="0.25">
      <c r="A24" s="2">
        <v>23</v>
      </c>
      <c r="B24">
        <v>25</v>
      </c>
      <c r="C24" t="s">
        <v>38</v>
      </c>
      <c r="D24" s="3" t="str">
        <f>IF(Лист1__27[[#This Row],[Column18]]&lt;&gt;"",Лист1__27[[#This Row],[Column18]],"")</f>
        <v/>
      </c>
      <c r="E24" s="2" t="str">
        <f t="shared" si="0"/>
        <v/>
      </c>
      <c r="F24" s="2" t="str">
        <f t="shared" si="1"/>
        <v/>
      </c>
    </row>
    <row r="25" spans="1:6" x14ac:dyDescent="0.25">
      <c r="A25" s="2">
        <v>24</v>
      </c>
      <c r="B25">
        <v>26</v>
      </c>
      <c r="C25" t="s">
        <v>38</v>
      </c>
      <c r="D25" s="3" t="str">
        <f>IF(Лист1__27[[#This Row],[Column18]]&lt;&gt;"",Лист1__27[[#This Row],[Column18]],"")</f>
        <v/>
      </c>
      <c r="E25" s="2" t="str">
        <f t="shared" si="0"/>
        <v/>
      </c>
      <c r="F25" s="2" t="str">
        <f t="shared" si="1"/>
        <v/>
      </c>
    </row>
    <row r="26" spans="1:6" x14ac:dyDescent="0.25">
      <c r="A26" s="2">
        <v>25</v>
      </c>
      <c r="B26">
        <v>27</v>
      </c>
      <c r="C26" t="s">
        <v>38</v>
      </c>
      <c r="D26" s="3" t="str">
        <f>IF(Лист1__27[[#This Row],[Column18]]&lt;&gt;"",Лист1__27[[#This Row],[Column18]],"")</f>
        <v/>
      </c>
      <c r="E26" s="2" t="str">
        <f t="shared" si="0"/>
        <v/>
      </c>
      <c r="F26" s="2" t="str">
        <f t="shared" si="1"/>
        <v/>
      </c>
    </row>
    <row r="27" spans="1:6" x14ac:dyDescent="0.25">
      <c r="A27" s="2">
        <v>26</v>
      </c>
      <c r="B27">
        <v>28</v>
      </c>
      <c r="C27" t="s">
        <v>38</v>
      </c>
      <c r="D27" s="3" t="str">
        <f>IF(Лист1__27[[#This Row],[Column18]]&lt;&gt;"",Лист1__27[[#This Row],[Column18]],"")</f>
        <v/>
      </c>
      <c r="E27" s="2" t="str">
        <f t="shared" si="0"/>
        <v/>
      </c>
      <c r="F27" s="2" t="str">
        <f t="shared" si="1"/>
        <v/>
      </c>
    </row>
    <row r="28" spans="1:6" x14ac:dyDescent="0.25">
      <c r="A28" s="2">
        <v>27</v>
      </c>
      <c r="B28">
        <v>29</v>
      </c>
      <c r="C28" t="s">
        <v>38</v>
      </c>
      <c r="D28" s="3" t="str">
        <f>IF(Лист1__27[[#This Row],[Column18]]&lt;&gt;"",Лист1__27[[#This Row],[Column18]],"")</f>
        <v/>
      </c>
      <c r="E28" s="2" t="str">
        <f t="shared" si="0"/>
        <v/>
      </c>
      <c r="F28" s="2" t="str">
        <f t="shared" si="1"/>
        <v/>
      </c>
    </row>
    <row r="29" spans="1:6" x14ac:dyDescent="0.25">
      <c r="A29" s="2">
        <v>28</v>
      </c>
      <c r="B29">
        <v>30</v>
      </c>
      <c r="C29" t="s">
        <v>38</v>
      </c>
      <c r="D29" s="3" t="str">
        <f>IF(Лист1__27[[#This Row],[Column18]]&lt;&gt;"",Лист1__27[[#This Row],[Column18]],"")</f>
        <v/>
      </c>
      <c r="E29" s="2" t="str">
        <f t="shared" si="0"/>
        <v/>
      </c>
      <c r="F29" s="2" t="str">
        <f t="shared" si="1"/>
        <v/>
      </c>
    </row>
    <row r="30" spans="1:6" x14ac:dyDescent="0.25">
      <c r="A30" s="2">
        <v>29</v>
      </c>
      <c r="B30">
        <v>31</v>
      </c>
      <c r="C30" t="s">
        <v>38</v>
      </c>
      <c r="D30" s="3" t="str">
        <f>IF(Лист1__27[[#This Row],[Column18]]&lt;&gt;"",Лист1__27[[#This Row],[Column18]],"")</f>
        <v/>
      </c>
      <c r="E30" s="2" t="str">
        <f t="shared" si="0"/>
        <v/>
      </c>
      <c r="F30" s="2" t="str">
        <f t="shared" si="1"/>
        <v/>
      </c>
    </row>
    <row r="31" spans="1:6" x14ac:dyDescent="0.25">
      <c r="A31" s="2">
        <v>30</v>
      </c>
      <c r="B31">
        <v>32</v>
      </c>
      <c r="C31" t="s">
        <v>38</v>
      </c>
      <c r="D31" s="3" t="str">
        <f>IF(Лист1__27[[#This Row],[Column18]]&lt;&gt;"",Лист1__27[[#This Row],[Column18]],"")</f>
        <v/>
      </c>
      <c r="E31" s="2" t="str">
        <f t="shared" si="0"/>
        <v/>
      </c>
      <c r="F31" s="2" t="str">
        <f t="shared" si="1"/>
        <v/>
      </c>
    </row>
    <row r="32" spans="1:6" x14ac:dyDescent="0.25">
      <c r="A32" s="2">
        <v>31</v>
      </c>
      <c r="B32">
        <v>33</v>
      </c>
      <c r="C32" t="s">
        <v>38</v>
      </c>
      <c r="D32" s="3" t="str">
        <f>IF(Лист1__27[[#This Row],[Column18]]&lt;&gt;"",Лист1__27[[#This Row],[Column18]],"")</f>
        <v/>
      </c>
      <c r="E32" s="2" t="str">
        <f t="shared" si="0"/>
        <v/>
      </c>
      <c r="F32" s="2" t="str">
        <f t="shared" si="1"/>
        <v/>
      </c>
    </row>
    <row r="33" spans="1:7" x14ac:dyDescent="0.25">
      <c r="A33" s="2">
        <v>32</v>
      </c>
      <c r="B33">
        <v>34</v>
      </c>
      <c r="C33" t="s">
        <v>38</v>
      </c>
      <c r="D33" s="3" t="str">
        <f>IF(Лист1__27[[#This Row],[Column18]]&lt;&gt;"",Лист1__27[[#This Row],[Column18]],"")</f>
        <v/>
      </c>
      <c r="E33" s="2" t="str">
        <f t="shared" si="0"/>
        <v/>
      </c>
      <c r="F33" s="2" t="str">
        <f t="shared" si="1"/>
        <v/>
      </c>
    </row>
    <row r="34" spans="1:7" x14ac:dyDescent="0.25">
      <c r="A34" s="2">
        <v>33</v>
      </c>
      <c r="B34">
        <v>35</v>
      </c>
      <c r="C34" t="s">
        <v>38</v>
      </c>
      <c r="D34" s="3" t="str">
        <f>IF(Лист1__27[[#This Row],[Column18]]&lt;&gt;"",Лист1__27[[#This Row],[Column18]],"")</f>
        <v/>
      </c>
      <c r="E34" s="2" t="str">
        <f t="shared" si="0"/>
        <v/>
      </c>
      <c r="F34" s="2" t="str">
        <f t="shared" si="1"/>
        <v/>
      </c>
    </row>
    <row r="35" spans="1:7" x14ac:dyDescent="0.25">
      <c r="A35" s="2">
        <v>34</v>
      </c>
      <c r="B35">
        <v>36</v>
      </c>
      <c r="C35" t="s">
        <v>38</v>
      </c>
      <c r="D35" s="3" t="str">
        <f>IF(Лист1__27[[#This Row],[Column18]]&lt;&gt;"",Лист1__27[[#This Row],[Column18]],"")</f>
        <v/>
      </c>
      <c r="E35" s="2" t="str">
        <f t="shared" si="0"/>
        <v/>
      </c>
      <c r="F35" s="2" t="str">
        <f t="shared" si="1"/>
        <v/>
      </c>
    </row>
    <row r="36" spans="1:7" x14ac:dyDescent="0.25">
      <c r="A36" s="2">
        <v>35</v>
      </c>
      <c r="B36">
        <v>37</v>
      </c>
      <c r="C36" t="s">
        <v>38</v>
      </c>
      <c r="D36" s="3" t="str">
        <f>IF(Лист1__27[[#This Row],[Column18]]&lt;&gt;"",Лист1__27[[#This Row],[Column18]],"")</f>
        <v/>
      </c>
      <c r="E36" s="2" t="str">
        <f t="shared" si="0"/>
        <v/>
      </c>
      <c r="F36" s="2" t="str">
        <f t="shared" si="1"/>
        <v/>
      </c>
    </row>
    <row r="37" spans="1:7" x14ac:dyDescent="0.25">
      <c r="A37" s="2">
        <v>36</v>
      </c>
      <c r="B37">
        <v>38</v>
      </c>
      <c r="C37" t="s">
        <v>38</v>
      </c>
      <c r="D37" s="3" t="str">
        <f>IF(Лист1__27[[#This Row],[Column18]]&lt;&gt;"",Лист1__27[[#This Row],[Column18]],"")</f>
        <v/>
      </c>
      <c r="E37" s="2" t="str">
        <f t="shared" si="0"/>
        <v/>
      </c>
      <c r="F37" s="2" t="str">
        <f t="shared" si="1"/>
        <v/>
      </c>
    </row>
    <row r="38" spans="1:7" x14ac:dyDescent="0.25">
      <c r="A38" s="2">
        <v>37</v>
      </c>
      <c r="B38">
        <v>39</v>
      </c>
      <c r="C38" t="s">
        <v>38</v>
      </c>
      <c r="D38" s="3" t="str">
        <f>IF(Лист1__27[[#This Row],[Column18]]&lt;&gt;"",Лист1__27[[#This Row],[Column18]],"")</f>
        <v/>
      </c>
      <c r="E38" s="2" t="str">
        <f t="shared" si="0"/>
        <v/>
      </c>
      <c r="F38" s="2" t="str">
        <f t="shared" si="1"/>
        <v/>
      </c>
    </row>
    <row r="39" spans="1:7" x14ac:dyDescent="0.25">
      <c r="A39" s="2">
        <v>38</v>
      </c>
      <c r="B39">
        <v>40</v>
      </c>
      <c r="C39" t="s">
        <v>38</v>
      </c>
      <c r="D39" s="3" t="str">
        <f>IF(Лист1__27[[#This Row],[Column18]]&lt;&gt;"",Лист1__27[[#This Row],[Column18]],"")</f>
        <v/>
      </c>
      <c r="E39" s="2" t="str">
        <f t="shared" si="0"/>
        <v/>
      </c>
      <c r="F39" s="2" t="str">
        <f t="shared" si="1"/>
        <v/>
      </c>
    </row>
    <row r="40" spans="1:7" x14ac:dyDescent="0.25">
      <c r="A40" s="2">
        <v>39</v>
      </c>
      <c r="B40">
        <v>41</v>
      </c>
      <c r="C40" t="s">
        <v>38</v>
      </c>
      <c r="D40" s="3" t="str">
        <f>IF(Лист1__27[[#This Row],[Column18]]&lt;&gt;"",Лист1__27[[#This Row],[Column18]],"")</f>
        <v/>
      </c>
      <c r="E40" s="2" t="str">
        <f t="shared" si="0"/>
        <v/>
      </c>
      <c r="F40" s="2" t="str">
        <f t="shared" si="1"/>
        <v/>
      </c>
    </row>
    <row r="41" spans="1:7" x14ac:dyDescent="0.25">
      <c r="A41" s="2">
        <v>40</v>
      </c>
      <c r="B41">
        <v>42</v>
      </c>
      <c r="C41" t="s">
        <v>38</v>
      </c>
      <c r="D41" s="3" t="str">
        <f>IF(Лист1__27[[#This Row],[Column18]]&lt;&gt;"",Лист1__27[[#This Row],[Column18]],"")</f>
        <v/>
      </c>
      <c r="E41" s="2" t="str">
        <f t="shared" si="0"/>
        <v/>
      </c>
      <c r="F41" s="2" t="str">
        <f t="shared" si="1"/>
        <v/>
      </c>
    </row>
    <row r="42" spans="1:7" x14ac:dyDescent="0.25">
      <c r="A42" t="s">
        <v>40</v>
      </c>
      <c r="B42">
        <v>43</v>
      </c>
      <c r="D42" s="17">
        <f>SUM(D2:D41)</f>
        <v>278</v>
      </c>
      <c r="E42" s="12"/>
      <c r="F42" s="6"/>
      <c r="G42" s="6"/>
    </row>
  </sheetData>
  <mergeCells count="2">
    <mergeCell ref="I3:I7"/>
    <mergeCell ref="I10:I14"/>
  </mergeCell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E027-936D-4A42-98BA-8764F34BA00F}">
  <sheetPr codeName="Лист40"/>
  <dimension ref="A1:E835"/>
  <sheetViews>
    <sheetView workbookViewId="0">
      <selection activeCell="B6" sqref="B6"/>
    </sheetView>
  </sheetViews>
  <sheetFormatPr defaultRowHeight="15" x14ac:dyDescent="0.25"/>
  <sheetData>
    <row r="1" spans="1:5" x14ac:dyDescent="0.25">
      <c r="A1">
        <v>2</v>
      </c>
      <c r="B1">
        <v>0.56000000000000005</v>
      </c>
      <c r="E1">
        <f>100-AVERAGE(B1:B835)</f>
        <v>75.399964071856303</v>
      </c>
    </row>
    <row r="2" spans="1:5" x14ac:dyDescent="0.25">
      <c r="A2">
        <v>8</v>
      </c>
      <c r="B2">
        <v>2.2200000000000002</v>
      </c>
    </row>
    <row r="3" spans="1:5" x14ac:dyDescent="0.25">
      <c r="A3">
        <v>86</v>
      </c>
      <c r="B3">
        <v>23.89</v>
      </c>
    </row>
    <row r="4" spans="1:5" x14ac:dyDescent="0.25">
      <c r="A4">
        <v>0</v>
      </c>
      <c r="B4">
        <v>0</v>
      </c>
    </row>
    <row r="5" spans="1:5" x14ac:dyDescent="0.25">
      <c r="A5">
        <v>44</v>
      </c>
      <c r="B5">
        <v>12.22</v>
      </c>
    </row>
    <row r="6" spans="1:5" x14ac:dyDescent="0.25">
      <c r="A6">
        <v>16</v>
      </c>
      <c r="B6">
        <v>4.4400000000000004</v>
      </c>
    </row>
    <row r="7" spans="1:5" x14ac:dyDescent="0.25">
      <c r="A7">
        <v>28</v>
      </c>
      <c r="B7">
        <v>7.78</v>
      </c>
    </row>
    <row r="8" spans="1:5" x14ac:dyDescent="0.25">
      <c r="A8">
        <v>0</v>
      </c>
      <c r="B8">
        <v>0</v>
      </c>
    </row>
    <row r="9" spans="1:5" x14ac:dyDescent="0.25">
      <c r="A9">
        <v>6</v>
      </c>
      <c r="B9">
        <v>1.67</v>
      </c>
    </row>
    <row r="10" spans="1:5" x14ac:dyDescent="0.25">
      <c r="A10">
        <v>8</v>
      </c>
      <c r="B10">
        <v>2.2200000000000002</v>
      </c>
    </row>
    <row r="11" spans="1:5" x14ac:dyDescent="0.25">
      <c r="A11">
        <v>8</v>
      </c>
      <c r="B11">
        <v>2.2200000000000002</v>
      </c>
    </row>
    <row r="12" spans="1:5" x14ac:dyDescent="0.25">
      <c r="A12">
        <v>4</v>
      </c>
      <c r="B12">
        <v>1.1100000000000001</v>
      </c>
    </row>
    <row r="13" spans="1:5" x14ac:dyDescent="0.25">
      <c r="A13">
        <v>26</v>
      </c>
      <c r="B13">
        <v>7.22</v>
      </c>
    </row>
    <row r="14" spans="1:5" x14ac:dyDescent="0.25">
      <c r="A14">
        <v>24</v>
      </c>
      <c r="B14">
        <v>6.67</v>
      </c>
    </row>
    <row r="15" spans="1:5" x14ac:dyDescent="0.25">
      <c r="A15">
        <v>2</v>
      </c>
      <c r="B15">
        <v>0.56000000000000005</v>
      </c>
    </row>
    <row r="16" spans="1:5" x14ac:dyDescent="0.25">
      <c r="A16">
        <v>120</v>
      </c>
      <c r="B16">
        <v>33.33</v>
      </c>
    </row>
    <row r="17" spans="1:2" x14ac:dyDescent="0.25">
      <c r="A17">
        <v>96</v>
      </c>
      <c r="B17">
        <v>25.67</v>
      </c>
    </row>
    <row r="18" spans="1:2" x14ac:dyDescent="0.25">
      <c r="A18">
        <v>2</v>
      </c>
      <c r="B18">
        <v>0.53</v>
      </c>
    </row>
    <row r="19" spans="1:2" x14ac:dyDescent="0.25">
      <c r="A19">
        <v>10</v>
      </c>
      <c r="B19">
        <v>2.67</v>
      </c>
    </row>
    <row r="20" spans="1:2" x14ac:dyDescent="0.25">
      <c r="A20">
        <v>12</v>
      </c>
      <c r="B20">
        <v>3.21</v>
      </c>
    </row>
    <row r="21" spans="1:2" x14ac:dyDescent="0.25">
      <c r="A21">
        <v>72</v>
      </c>
      <c r="B21">
        <v>19.25</v>
      </c>
    </row>
    <row r="22" spans="1:2" x14ac:dyDescent="0.25">
      <c r="A22">
        <v>10</v>
      </c>
      <c r="B22">
        <v>2.67</v>
      </c>
    </row>
    <row r="23" spans="1:2" x14ac:dyDescent="0.25">
      <c r="A23">
        <v>50</v>
      </c>
      <c r="B23">
        <v>13.37</v>
      </c>
    </row>
    <row r="24" spans="1:2" x14ac:dyDescent="0.25">
      <c r="A24">
        <v>8</v>
      </c>
      <c r="B24">
        <v>2.14</v>
      </c>
    </row>
    <row r="25" spans="1:2" x14ac:dyDescent="0.25">
      <c r="A25">
        <v>0</v>
      </c>
      <c r="B25">
        <v>0</v>
      </c>
    </row>
    <row r="26" spans="1:2" x14ac:dyDescent="0.25">
      <c r="A26">
        <v>118</v>
      </c>
      <c r="B26">
        <v>31.55</v>
      </c>
    </row>
    <row r="27" spans="1:2" x14ac:dyDescent="0.25">
      <c r="A27">
        <v>116</v>
      </c>
      <c r="B27">
        <v>31.02</v>
      </c>
    </row>
    <row r="28" spans="1:2" x14ac:dyDescent="0.25">
      <c r="A28">
        <v>0</v>
      </c>
      <c r="B28">
        <v>0</v>
      </c>
    </row>
    <row r="29" spans="1:2" x14ac:dyDescent="0.25">
      <c r="A29">
        <v>0</v>
      </c>
      <c r="B29">
        <v>0</v>
      </c>
    </row>
    <row r="30" spans="1:2" x14ac:dyDescent="0.25">
      <c r="A30">
        <v>6</v>
      </c>
      <c r="B30">
        <v>1.6</v>
      </c>
    </row>
    <row r="31" spans="1:2" x14ac:dyDescent="0.25">
      <c r="A31">
        <v>22</v>
      </c>
      <c r="B31">
        <v>5.88</v>
      </c>
    </row>
    <row r="32" spans="1:2" x14ac:dyDescent="0.25">
      <c r="A32">
        <v>26</v>
      </c>
      <c r="B32">
        <v>6.95</v>
      </c>
    </row>
    <row r="33" spans="1:2" x14ac:dyDescent="0.25">
      <c r="A33">
        <v>42</v>
      </c>
      <c r="B33">
        <v>11.23</v>
      </c>
    </row>
    <row r="34" spans="1:2" x14ac:dyDescent="0.25">
      <c r="A34">
        <v>66</v>
      </c>
      <c r="B34">
        <v>17.649999999999999</v>
      </c>
    </row>
    <row r="35" spans="1:2" x14ac:dyDescent="0.25">
      <c r="A35">
        <v>8</v>
      </c>
      <c r="B35">
        <v>2.14</v>
      </c>
    </row>
    <row r="36" spans="1:2" x14ac:dyDescent="0.25">
      <c r="A36">
        <v>30</v>
      </c>
      <c r="B36">
        <v>8.02</v>
      </c>
    </row>
    <row r="37" spans="1:2" x14ac:dyDescent="0.25">
      <c r="A37">
        <v>0</v>
      </c>
      <c r="B37">
        <v>0</v>
      </c>
    </row>
    <row r="38" spans="1:2" x14ac:dyDescent="0.25">
      <c r="A38">
        <v>2</v>
      </c>
      <c r="B38">
        <v>0.53</v>
      </c>
    </row>
    <row r="39" spans="1:2" x14ac:dyDescent="0.25">
      <c r="A39">
        <v>22</v>
      </c>
      <c r="B39">
        <v>5.88</v>
      </c>
    </row>
    <row r="40" spans="1:2" x14ac:dyDescent="0.25">
      <c r="A40">
        <v>16</v>
      </c>
      <c r="B40">
        <v>4.28</v>
      </c>
    </row>
    <row r="41" spans="1:2" x14ac:dyDescent="0.25">
      <c r="A41">
        <v>58</v>
      </c>
      <c r="B41">
        <v>15.51</v>
      </c>
    </row>
    <row r="42" spans="1:2" x14ac:dyDescent="0.25">
      <c r="A42">
        <v>70</v>
      </c>
      <c r="B42">
        <v>18.72</v>
      </c>
    </row>
    <row r="43" spans="1:2" x14ac:dyDescent="0.25">
      <c r="A43">
        <v>68</v>
      </c>
      <c r="B43">
        <v>20.239999999999998</v>
      </c>
    </row>
    <row r="44" spans="1:2" x14ac:dyDescent="0.25">
      <c r="A44">
        <v>60</v>
      </c>
      <c r="B44">
        <v>17.86</v>
      </c>
    </row>
    <row r="45" spans="1:2" x14ac:dyDescent="0.25">
      <c r="A45">
        <v>50</v>
      </c>
      <c r="B45">
        <v>14.88</v>
      </c>
    </row>
    <row r="46" spans="1:2" x14ac:dyDescent="0.25">
      <c r="A46">
        <v>0</v>
      </c>
      <c r="B46">
        <v>0</v>
      </c>
    </row>
    <row r="47" spans="1:2" x14ac:dyDescent="0.25">
      <c r="A47">
        <v>0</v>
      </c>
      <c r="B47">
        <v>0</v>
      </c>
    </row>
    <row r="48" spans="1:2" x14ac:dyDescent="0.25">
      <c r="A48">
        <v>0</v>
      </c>
      <c r="B48">
        <v>0</v>
      </c>
    </row>
    <row r="49" spans="1:2" x14ac:dyDescent="0.25">
      <c r="A49">
        <v>16</v>
      </c>
      <c r="B49">
        <v>4.76</v>
      </c>
    </row>
    <row r="50" spans="1:2" x14ac:dyDescent="0.25">
      <c r="A50">
        <v>26</v>
      </c>
      <c r="B50">
        <v>7.74</v>
      </c>
    </row>
    <row r="51" spans="1:2" x14ac:dyDescent="0.25">
      <c r="A51">
        <v>244</v>
      </c>
      <c r="B51">
        <v>72.62</v>
      </c>
    </row>
    <row r="52" spans="1:2" x14ac:dyDescent="0.25">
      <c r="A52">
        <v>0</v>
      </c>
      <c r="B52">
        <v>0</v>
      </c>
    </row>
    <row r="53" spans="1:2" x14ac:dyDescent="0.25">
      <c r="A53">
        <v>0</v>
      </c>
      <c r="B53">
        <v>0</v>
      </c>
    </row>
    <row r="54" spans="1:2" x14ac:dyDescent="0.25">
      <c r="A54">
        <v>8</v>
      </c>
      <c r="B54">
        <v>2.38</v>
      </c>
    </row>
    <row r="55" spans="1:2" x14ac:dyDescent="0.25">
      <c r="A55">
        <v>22</v>
      </c>
      <c r="B55">
        <v>6.55</v>
      </c>
    </row>
    <row r="56" spans="1:2" x14ac:dyDescent="0.25">
      <c r="A56">
        <v>38</v>
      </c>
      <c r="B56">
        <v>11.31</v>
      </c>
    </row>
    <row r="57" spans="1:2" x14ac:dyDescent="0.25">
      <c r="A57">
        <v>16</v>
      </c>
      <c r="B57">
        <v>4.76</v>
      </c>
    </row>
    <row r="58" spans="1:2" x14ac:dyDescent="0.25">
      <c r="A58">
        <v>20</v>
      </c>
      <c r="B58">
        <v>5.95</v>
      </c>
    </row>
    <row r="59" spans="1:2" x14ac:dyDescent="0.25">
      <c r="A59">
        <v>0</v>
      </c>
      <c r="B59">
        <v>0</v>
      </c>
    </row>
    <row r="60" spans="1:2" x14ac:dyDescent="0.25">
      <c r="A60">
        <v>8</v>
      </c>
      <c r="B60">
        <v>2.38</v>
      </c>
    </row>
    <row r="61" spans="1:2" x14ac:dyDescent="0.25">
      <c r="A61">
        <v>0</v>
      </c>
      <c r="B61">
        <v>0</v>
      </c>
    </row>
    <row r="62" spans="1:2" x14ac:dyDescent="0.25">
      <c r="A62">
        <v>0</v>
      </c>
      <c r="B62">
        <v>0</v>
      </c>
    </row>
    <row r="63" spans="1:2" x14ac:dyDescent="0.25">
      <c r="A63">
        <v>102</v>
      </c>
      <c r="B63">
        <v>30.36</v>
      </c>
    </row>
    <row r="64" spans="1:2" x14ac:dyDescent="0.25">
      <c r="A64">
        <v>0</v>
      </c>
      <c r="B64">
        <v>0</v>
      </c>
    </row>
    <row r="65" spans="1:2" x14ac:dyDescent="0.25">
      <c r="A65">
        <v>72</v>
      </c>
      <c r="B65">
        <v>21.43</v>
      </c>
    </row>
    <row r="66" spans="1:2" x14ac:dyDescent="0.25">
      <c r="A66">
        <v>68</v>
      </c>
      <c r="B66">
        <v>20.239999999999998</v>
      </c>
    </row>
    <row r="67" spans="1:2" x14ac:dyDescent="0.25">
      <c r="A67">
        <v>10</v>
      </c>
      <c r="B67">
        <v>2.98</v>
      </c>
    </row>
    <row r="68" spans="1:2" x14ac:dyDescent="0.25">
      <c r="A68">
        <v>90</v>
      </c>
      <c r="B68">
        <v>26.79</v>
      </c>
    </row>
    <row r="69" spans="1:2" x14ac:dyDescent="0.25">
      <c r="A69">
        <v>66</v>
      </c>
      <c r="B69">
        <v>19.64</v>
      </c>
    </row>
    <row r="70" spans="1:2" x14ac:dyDescent="0.25">
      <c r="A70">
        <v>34</v>
      </c>
      <c r="B70">
        <v>10.119999999999999</v>
      </c>
    </row>
    <row r="71" spans="1:2" x14ac:dyDescent="0.25">
      <c r="A71">
        <v>8</v>
      </c>
      <c r="B71">
        <v>2.38</v>
      </c>
    </row>
    <row r="72" spans="1:2" x14ac:dyDescent="0.25">
      <c r="A72">
        <v>4</v>
      </c>
      <c r="B72">
        <v>1.19</v>
      </c>
    </row>
    <row r="73" spans="1:2" x14ac:dyDescent="0.25">
      <c r="A73">
        <v>26</v>
      </c>
      <c r="B73">
        <v>7.74</v>
      </c>
    </row>
    <row r="74" spans="1:2" x14ac:dyDescent="0.25">
      <c r="A74">
        <v>0</v>
      </c>
      <c r="B74">
        <v>0</v>
      </c>
    </row>
    <row r="75" spans="1:2" x14ac:dyDescent="0.25">
      <c r="A75">
        <v>6</v>
      </c>
      <c r="B75">
        <v>1.79</v>
      </c>
    </row>
    <row r="76" spans="1:2" x14ac:dyDescent="0.25">
      <c r="A76">
        <v>28</v>
      </c>
      <c r="B76">
        <v>8.33</v>
      </c>
    </row>
    <row r="77" spans="1:2" x14ac:dyDescent="0.25">
      <c r="A77">
        <v>0</v>
      </c>
      <c r="B77">
        <v>0</v>
      </c>
    </row>
    <row r="78" spans="1:2" x14ac:dyDescent="0.25">
      <c r="A78">
        <v>8</v>
      </c>
      <c r="B78">
        <v>2.38</v>
      </c>
    </row>
    <row r="79" spans="1:2" x14ac:dyDescent="0.25">
      <c r="A79">
        <v>0</v>
      </c>
      <c r="B79">
        <v>0</v>
      </c>
    </row>
    <row r="80" spans="1:2" x14ac:dyDescent="0.25">
      <c r="A80">
        <v>0</v>
      </c>
      <c r="B80">
        <v>0</v>
      </c>
    </row>
    <row r="81" spans="1:2" x14ac:dyDescent="0.25">
      <c r="A81">
        <v>14</v>
      </c>
      <c r="B81">
        <v>4.17</v>
      </c>
    </row>
    <row r="82" spans="1:2" x14ac:dyDescent="0.25">
      <c r="A82">
        <v>0</v>
      </c>
      <c r="B82">
        <v>0</v>
      </c>
    </row>
    <row r="83" spans="1:2" x14ac:dyDescent="0.25">
      <c r="A83">
        <v>42</v>
      </c>
      <c r="B83">
        <v>12.5</v>
      </c>
    </row>
    <row r="84" spans="1:2" x14ac:dyDescent="0.25">
      <c r="A84">
        <v>160</v>
      </c>
      <c r="B84">
        <v>47.62</v>
      </c>
    </row>
    <row r="85" spans="1:2" x14ac:dyDescent="0.25">
      <c r="A85">
        <v>0</v>
      </c>
      <c r="B85">
        <v>0</v>
      </c>
    </row>
    <row r="86" spans="1:2" x14ac:dyDescent="0.25">
      <c r="A86">
        <v>0</v>
      </c>
      <c r="B86">
        <v>0</v>
      </c>
    </row>
    <row r="87" spans="1:2" x14ac:dyDescent="0.25">
      <c r="A87">
        <v>24</v>
      </c>
      <c r="B87">
        <v>7.14</v>
      </c>
    </row>
    <row r="88" spans="1:2" x14ac:dyDescent="0.25">
      <c r="A88">
        <v>46</v>
      </c>
      <c r="B88">
        <v>13.69</v>
      </c>
    </row>
    <row r="89" spans="1:2" x14ac:dyDescent="0.25">
      <c r="A89">
        <v>0</v>
      </c>
      <c r="B89">
        <v>0</v>
      </c>
    </row>
    <row r="90" spans="1:2" x14ac:dyDescent="0.25">
      <c r="A90">
        <v>12</v>
      </c>
      <c r="B90">
        <v>3.57</v>
      </c>
    </row>
    <row r="91" spans="1:2" x14ac:dyDescent="0.25">
      <c r="A91">
        <v>2</v>
      </c>
      <c r="B91">
        <v>0.6</v>
      </c>
    </row>
    <row r="92" spans="1:2" x14ac:dyDescent="0.25">
      <c r="A92">
        <v>0</v>
      </c>
      <c r="B92">
        <v>0</v>
      </c>
    </row>
    <row r="93" spans="1:2" x14ac:dyDescent="0.25">
      <c r="A93">
        <v>34</v>
      </c>
      <c r="B93">
        <v>10.119999999999999</v>
      </c>
    </row>
    <row r="94" spans="1:2" x14ac:dyDescent="0.25">
      <c r="A94">
        <v>0</v>
      </c>
      <c r="B94">
        <v>0</v>
      </c>
    </row>
    <row r="95" spans="1:2" x14ac:dyDescent="0.25">
      <c r="A95">
        <v>56</v>
      </c>
      <c r="B95">
        <v>16.670000000000002</v>
      </c>
    </row>
    <row r="96" spans="1:2" x14ac:dyDescent="0.25">
      <c r="A96">
        <v>288</v>
      </c>
      <c r="B96">
        <v>79.12</v>
      </c>
    </row>
    <row r="97" spans="1:2" x14ac:dyDescent="0.25">
      <c r="A97">
        <v>24</v>
      </c>
      <c r="B97">
        <v>6.59</v>
      </c>
    </row>
    <row r="98" spans="1:2" x14ac:dyDescent="0.25">
      <c r="A98">
        <v>294</v>
      </c>
      <c r="B98">
        <v>80.77</v>
      </c>
    </row>
    <row r="99" spans="1:2" x14ac:dyDescent="0.25">
      <c r="A99">
        <v>10</v>
      </c>
      <c r="B99">
        <v>2.75</v>
      </c>
    </row>
    <row r="100" spans="1:2" x14ac:dyDescent="0.25">
      <c r="A100">
        <v>242</v>
      </c>
      <c r="B100">
        <v>66.48</v>
      </c>
    </row>
    <row r="101" spans="1:2" x14ac:dyDescent="0.25">
      <c r="A101">
        <v>0</v>
      </c>
      <c r="B101">
        <v>0</v>
      </c>
    </row>
    <row r="102" spans="1:2" x14ac:dyDescent="0.25">
      <c r="A102">
        <v>22</v>
      </c>
      <c r="B102">
        <v>6.04</v>
      </c>
    </row>
    <row r="103" spans="1:2" x14ac:dyDescent="0.25">
      <c r="A103">
        <v>268</v>
      </c>
      <c r="B103">
        <v>73.63</v>
      </c>
    </row>
    <row r="104" spans="1:2" x14ac:dyDescent="0.25">
      <c r="A104">
        <v>8</v>
      </c>
      <c r="B104">
        <v>2.2000000000000002</v>
      </c>
    </row>
    <row r="105" spans="1:2" x14ac:dyDescent="0.25">
      <c r="A105">
        <v>102</v>
      </c>
      <c r="B105">
        <v>28.02</v>
      </c>
    </row>
    <row r="106" spans="1:2" x14ac:dyDescent="0.25">
      <c r="A106">
        <v>210</v>
      </c>
      <c r="B106">
        <v>57.69</v>
      </c>
    </row>
    <row r="107" spans="1:2" x14ac:dyDescent="0.25">
      <c r="A107">
        <v>72</v>
      </c>
      <c r="B107">
        <v>19.78</v>
      </c>
    </row>
    <row r="108" spans="1:2" x14ac:dyDescent="0.25">
      <c r="A108">
        <v>0</v>
      </c>
      <c r="B108">
        <v>0</v>
      </c>
    </row>
    <row r="109" spans="1:2" x14ac:dyDescent="0.25">
      <c r="A109">
        <v>178</v>
      </c>
      <c r="B109">
        <v>48.9</v>
      </c>
    </row>
    <row r="110" spans="1:2" x14ac:dyDescent="0.25">
      <c r="A110">
        <v>8</v>
      </c>
      <c r="B110">
        <v>2.2000000000000002</v>
      </c>
    </row>
    <row r="111" spans="1:2" x14ac:dyDescent="0.25">
      <c r="A111">
        <v>112</v>
      </c>
      <c r="B111">
        <v>30.77</v>
      </c>
    </row>
    <row r="112" spans="1:2" x14ac:dyDescent="0.25">
      <c r="A112">
        <v>280</v>
      </c>
      <c r="B112">
        <v>76.92</v>
      </c>
    </row>
    <row r="113" spans="1:2" x14ac:dyDescent="0.25">
      <c r="A113">
        <v>232</v>
      </c>
      <c r="B113">
        <v>63.74</v>
      </c>
    </row>
    <row r="114" spans="1:2" x14ac:dyDescent="0.25">
      <c r="A114">
        <v>6</v>
      </c>
      <c r="B114">
        <v>1.65</v>
      </c>
    </row>
    <row r="115" spans="1:2" x14ac:dyDescent="0.25">
      <c r="A115">
        <v>64</v>
      </c>
      <c r="B115">
        <v>17.579999999999998</v>
      </c>
    </row>
    <row r="116" spans="1:2" x14ac:dyDescent="0.25">
      <c r="A116">
        <v>26</v>
      </c>
      <c r="B116">
        <v>7.14</v>
      </c>
    </row>
    <row r="117" spans="1:2" x14ac:dyDescent="0.25">
      <c r="A117">
        <v>50</v>
      </c>
      <c r="B117">
        <v>13.74</v>
      </c>
    </row>
    <row r="118" spans="1:2" x14ac:dyDescent="0.25">
      <c r="A118">
        <v>46</v>
      </c>
      <c r="B118">
        <v>14.2</v>
      </c>
    </row>
    <row r="119" spans="1:2" x14ac:dyDescent="0.25">
      <c r="A119">
        <v>22</v>
      </c>
      <c r="B119">
        <v>6.79</v>
      </c>
    </row>
    <row r="120" spans="1:2" x14ac:dyDescent="0.25">
      <c r="A120">
        <v>78</v>
      </c>
      <c r="B120">
        <v>24.07</v>
      </c>
    </row>
    <row r="121" spans="1:2" x14ac:dyDescent="0.25">
      <c r="A121">
        <v>22</v>
      </c>
      <c r="B121">
        <v>6.79</v>
      </c>
    </row>
    <row r="122" spans="1:2" x14ac:dyDescent="0.25">
      <c r="A122">
        <v>28</v>
      </c>
      <c r="B122">
        <v>8.64</v>
      </c>
    </row>
    <row r="123" spans="1:2" x14ac:dyDescent="0.25">
      <c r="A123">
        <v>102</v>
      </c>
      <c r="B123">
        <v>31.48</v>
      </c>
    </row>
    <row r="124" spans="1:2" x14ac:dyDescent="0.25">
      <c r="A124">
        <v>76</v>
      </c>
      <c r="B124">
        <v>23.46</v>
      </c>
    </row>
    <row r="125" spans="1:2" x14ac:dyDescent="0.25">
      <c r="A125">
        <v>112</v>
      </c>
      <c r="B125">
        <v>34.57</v>
      </c>
    </row>
    <row r="126" spans="1:2" x14ac:dyDescent="0.25">
      <c r="A126">
        <v>0</v>
      </c>
      <c r="B126">
        <v>0</v>
      </c>
    </row>
    <row r="127" spans="1:2" x14ac:dyDescent="0.25">
      <c r="A127">
        <v>44</v>
      </c>
      <c r="B127">
        <v>13.58</v>
      </c>
    </row>
    <row r="128" spans="1:2" x14ac:dyDescent="0.25">
      <c r="A128">
        <v>82</v>
      </c>
      <c r="B128">
        <v>25.31</v>
      </c>
    </row>
    <row r="129" spans="1:2" x14ac:dyDescent="0.25">
      <c r="A129">
        <v>74</v>
      </c>
      <c r="B129">
        <v>22.84</v>
      </c>
    </row>
    <row r="130" spans="1:2" x14ac:dyDescent="0.25">
      <c r="A130">
        <v>74</v>
      </c>
      <c r="B130">
        <v>22.84</v>
      </c>
    </row>
    <row r="131" spans="1:2" x14ac:dyDescent="0.25">
      <c r="A131">
        <v>42</v>
      </c>
      <c r="B131">
        <v>12.96</v>
      </c>
    </row>
    <row r="132" spans="1:2" x14ac:dyDescent="0.25">
      <c r="A132">
        <v>94</v>
      </c>
      <c r="B132">
        <v>29.01</v>
      </c>
    </row>
    <row r="133" spans="1:2" x14ac:dyDescent="0.25">
      <c r="A133">
        <v>116</v>
      </c>
      <c r="B133">
        <v>35.799999999999997</v>
      </c>
    </row>
    <row r="134" spans="1:2" x14ac:dyDescent="0.25">
      <c r="A134">
        <v>16</v>
      </c>
      <c r="B134">
        <v>4.9400000000000004</v>
      </c>
    </row>
    <row r="135" spans="1:2" x14ac:dyDescent="0.25">
      <c r="A135">
        <v>28</v>
      </c>
      <c r="B135">
        <v>8.64</v>
      </c>
    </row>
    <row r="136" spans="1:2" x14ac:dyDescent="0.25">
      <c r="A136">
        <v>22</v>
      </c>
      <c r="B136">
        <v>6.79</v>
      </c>
    </row>
    <row r="137" spans="1:2" x14ac:dyDescent="0.25">
      <c r="A137">
        <v>2</v>
      </c>
      <c r="B137">
        <v>0.62</v>
      </c>
    </row>
    <row r="138" spans="1:2" x14ac:dyDescent="0.25">
      <c r="A138">
        <v>4</v>
      </c>
      <c r="B138">
        <v>1.23</v>
      </c>
    </row>
    <row r="139" spans="1:2" x14ac:dyDescent="0.25">
      <c r="A139">
        <v>0</v>
      </c>
      <c r="B139">
        <v>0</v>
      </c>
    </row>
    <row r="140" spans="1:2" x14ac:dyDescent="0.25">
      <c r="A140">
        <v>18</v>
      </c>
      <c r="B140">
        <v>5.56</v>
      </c>
    </row>
    <row r="141" spans="1:2" x14ac:dyDescent="0.25">
      <c r="A141">
        <v>82</v>
      </c>
      <c r="B141">
        <v>25.31</v>
      </c>
    </row>
    <row r="142" spans="1:2" x14ac:dyDescent="0.25">
      <c r="A142">
        <v>60</v>
      </c>
      <c r="B142">
        <v>18.52</v>
      </c>
    </row>
    <row r="143" spans="1:2" x14ac:dyDescent="0.25">
      <c r="A143">
        <v>4</v>
      </c>
      <c r="B143">
        <v>1.23</v>
      </c>
    </row>
    <row r="144" spans="1:2" x14ac:dyDescent="0.25">
      <c r="A144">
        <v>62</v>
      </c>
      <c r="B144">
        <v>19.14</v>
      </c>
    </row>
    <row r="145" spans="1:2" x14ac:dyDescent="0.25">
      <c r="A145">
        <v>68</v>
      </c>
      <c r="B145">
        <v>20.99</v>
      </c>
    </row>
    <row r="146" spans="1:2" x14ac:dyDescent="0.25">
      <c r="A146">
        <v>98</v>
      </c>
      <c r="B146">
        <v>30.25</v>
      </c>
    </row>
    <row r="147" spans="1:2" x14ac:dyDescent="0.25">
      <c r="A147">
        <v>124</v>
      </c>
      <c r="B147">
        <v>38.270000000000003</v>
      </c>
    </row>
    <row r="148" spans="1:2" x14ac:dyDescent="0.25">
      <c r="A148">
        <v>66</v>
      </c>
      <c r="B148">
        <v>18.329999999999998</v>
      </c>
    </row>
    <row r="149" spans="1:2" x14ac:dyDescent="0.25">
      <c r="A149">
        <v>8</v>
      </c>
      <c r="B149">
        <v>2.2200000000000002</v>
      </c>
    </row>
    <row r="150" spans="1:2" x14ac:dyDescent="0.25">
      <c r="A150">
        <v>6</v>
      </c>
      <c r="B150">
        <v>1.67</v>
      </c>
    </row>
    <row r="151" spans="1:2" x14ac:dyDescent="0.25">
      <c r="A151">
        <v>14</v>
      </c>
      <c r="B151">
        <v>3.89</v>
      </c>
    </row>
    <row r="152" spans="1:2" x14ac:dyDescent="0.25">
      <c r="A152">
        <v>14</v>
      </c>
      <c r="B152">
        <v>3.89</v>
      </c>
    </row>
    <row r="153" spans="1:2" x14ac:dyDescent="0.25">
      <c r="A153">
        <v>24</v>
      </c>
      <c r="B153">
        <v>6.67</v>
      </c>
    </row>
    <row r="154" spans="1:2" x14ac:dyDescent="0.25">
      <c r="A154">
        <v>38</v>
      </c>
      <c r="B154">
        <v>10.56</v>
      </c>
    </row>
    <row r="155" spans="1:2" x14ac:dyDescent="0.25">
      <c r="A155">
        <v>118</v>
      </c>
      <c r="B155">
        <v>32.78</v>
      </c>
    </row>
    <row r="156" spans="1:2" x14ac:dyDescent="0.25">
      <c r="A156">
        <v>0</v>
      </c>
      <c r="B156">
        <v>0</v>
      </c>
    </row>
    <row r="157" spans="1:2" x14ac:dyDescent="0.25">
      <c r="A157">
        <v>118</v>
      </c>
      <c r="B157">
        <v>32.78</v>
      </c>
    </row>
    <row r="158" spans="1:2" x14ac:dyDescent="0.25">
      <c r="A158">
        <v>34</v>
      </c>
      <c r="B158">
        <v>9.44</v>
      </c>
    </row>
    <row r="159" spans="1:2" x14ac:dyDescent="0.25">
      <c r="A159">
        <v>116</v>
      </c>
      <c r="B159">
        <v>32.22</v>
      </c>
    </row>
    <row r="160" spans="1:2" x14ac:dyDescent="0.25">
      <c r="A160">
        <v>12</v>
      </c>
      <c r="B160">
        <v>3.33</v>
      </c>
    </row>
    <row r="161" spans="1:2" x14ac:dyDescent="0.25">
      <c r="A161">
        <v>4</v>
      </c>
      <c r="B161">
        <v>1.1100000000000001</v>
      </c>
    </row>
    <row r="162" spans="1:2" x14ac:dyDescent="0.25">
      <c r="A162">
        <v>6</v>
      </c>
      <c r="B162">
        <v>1.67</v>
      </c>
    </row>
    <row r="163" spans="1:2" x14ac:dyDescent="0.25">
      <c r="A163">
        <v>2</v>
      </c>
      <c r="B163">
        <v>0.56000000000000005</v>
      </c>
    </row>
    <row r="164" spans="1:2" x14ac:dyDescent="0.25">
      <c r="A164">
        <v>4</v>
      </c>
      <c r="B164">
        <v>1.1100000000000001</v>
      </c>
    </row>
    <row r="165" spans="1:2" x14ac:dyDescent="0.25">
      <c r="A165">
        <v>24</v>
      </c>
      <c r="B165">
        <v>6.67</v>
      </c>
    </row>
    <row r="166" spans="1:2" x14ac:dyDescent="0.25">
      <c r="A166">
        <v>14</v>
      </c>
      <c r="B166">
        <v>3.89</v>
      </c>
    </row>
    <row r="167" spans="1:2" x14ac:dyDescent="0.25">
      <c r="A167">
        <v>2</v>
      </c>
      <c r="B167">
        <v>0.56000000000000005</v>
      </c>
    </row>
    <row r="168" spans="1:2" x14ac:dyDescent="0.25">
      <c r="A168">
        <v>16</v>
      </c>
      <c r="B168">
        <v>4.4400000000000004</v>
      </c>
    </row>
    <row r="169" spans="1:2" x14ac:dyDescent="0.25">
      <c r="A169">
        <v>16</v>
      </c>
      <c r="B169">
        <v>4.4400000000000004</v>
      </c>
    </row>
    <row r="170" spans="1:2" x14ac:dyDescent="0.25">
      <c r="A170">
        <v>21</v>
      </c>
      <c r="B170">
        <v>5.83</v>
      </c>
    </row>
    <row r="171" spans="1:2" x14ac:dyDescent="0.25">
      <c r="A171">
        <v>2</v>
      </c>
      <c r="B171">
        <v>0.56000000000000005</v>
      </c>
    </row>
    <row r="172" spans="1:2" x14ac:dyDescent="0.25">
      <c r="A172">
        <v>50</v>
      </c>
      <c r="B172">
        <v>15.43</v>
      </c>
    </row>
    <row r="173" spans="1:2" x14ac:dyDescent="0.25">
      <c r="A173">
        <v>4</v>
      </c>
      <c r="B173">
        <v>1.23</v>
      </c>
    </row>
    <row r="174" spans="1:2" x14ac:dyDescent="0.25">
      <c r="A174">
        <v>0</v>
      </c>
      <c r="B174">
        <v>0</v>
      </c>
    </row>
    <row r="175" spans="1:2" x14ac:dyDescent="0.25">
      <c r="A175">
        <v>32</v>
      </c>
      <c r="B175">
        <v>9.8800000000000008</v>
      </c>
    </row>
    <row r="176" spans="1:2" x14ac:dyDescent="0.25">
      <c r="A176">
        <v>10</v>
      </c>
      <c r="B176">
        <v>3.09</v>
      </c>
    </row>
    <row r="177" spans="1:2" x14ac:dyDescent="0.25">
      <c r="A177">
        <v>8</v>
      </c>
      <c r="B177">
        <v>2.4700000000000002</v>
      </c>
    </row>
    <row r="178" spans="1:2" x14ac:dyDescent="0.25">
      <c r="A178">
        <v>38</v>
      </c>
      <c r="B178">
        <v>11.73</v>
      </c>
    </row>
    <row r="179" spans="1:2" x14ac:dyDescent="0.25">
      <c r="A179">
        <v>0</v>
      </c>
      <c r="B179">
        <v>0</v>
      </c>
    </row>
    <row r="180" spans="1:2" x14ac:dyDescent="0.25">
      <c r="A180">
        <v>114</v>
      </c>
      <c r="B180">
        <v>35.19</v>
      </c>
    </row>
    <row r="181" spans="1:2" x14ac:dyDescent="0.25">
      <c r="A181">
        <v>28</v>
      </c>
      <c r="B181">
        <v>8.64</v>
      </c>
    </row>
    <row r="182" spans="1:2" x14ac:dyDescent="0.25">
      <c r="A182">
        <v>2</v>
      </c>
      <c r="B182">
        <v>0.62</v>
      </c>
    </row>
    <row r="183" spans="1:2" x14ac:dyDescent="0.25">
      <c r="A183">
        <v>2</v>
      </c>
      <c r="B183">
        <v>0.62</v>
      </c>
    </row>
    <row r="184" spans="1:2" x14ac:dyDescent="0.25">
      <c r="A184">
        <v>60</v>
      </c>
      <c r="B184">
        <v>18.52</v>
      </c>
    </row>
    <row r="185" spans="1:2" x14ac:dyDescent="0.25">
      <c r="A185">
        <v>2</v>
      </c>
      <c r="B185">
        <v>0.62</v>
      </c>
    </row>
    <row r="186" spans="1:2" x14ac:dyDescent="0.25">
      <c r="A186">
        <v>0</v>
      </c>
      <c r="B186">
        <v>0</v>
      </c>
    </row>
    <row r="187" spans="1:2" x14ac:dyDescent="0.25">
      <c r="A187">
        <v>4</v>
      </c>
      <c r="B187">
        <v>1.23</v>
      </c>
    </row>
    <row r="188" spans="1:2" x14ac:dyDescent="0.25">
      <c r="A188">
        <v>108</v>
      </c>
      <c r="B188">
        <v>33.33</v>
      </c>
    </row>
    <row r="189" spans="1:2" x14ac:dyDescent="0.25">
      <c r="A189">
        <v>180</v>
      </c>
      <c r="B189">
        <v>55.56</v>
      </c>
    </row>
    <row r="190" spans="1:2" x14ac:dyDescent="0.25">
      <c r="A190">
        <v>6</v>
      </c>
      <c r="B190">
        <v>1.85</v>
      </c>
    </row>
    <row r="191" spans="1:2" x14ac:dyDescent="0.25">
      <c r="A191">
        <v>136</v>
      </c>
      <c r="B191">
        <v>41.98</v>
      </c>
    </row>
    <row r="192" spans="1:2" x14ac:dyDescent="0.25">
      <c r="A192">
        <v>10</v>
      </c>
      <c r="B192">
        <v>3.09</v>
      </c>
    </row>
    <row r="193" spans="1:2" x14ac:dyDescent="0.25">
      <c r="A193">
        <v>0</v>
      </c>
      <c r="B193">
        <v>0</v>
      </c>
    </row>
    <row r="194" spans="1:2" x14ac:dyDescent="0.25">
      <c r="A194">
        <v>0</v>
      </c>
      <c r="B194">
        <v>0</v>
      </c>
    </row>
    <row r="195" spans="1:2" x14ac:dyDescent="0.25">
      <c r="A195">
        <v>0</v>
      </c>
      <c r="B195">
        <v>0</v>
      </c>
    </row>
    <row r="196" spans="1:2" x14ac:dyDescent="0.25">
      <c r="A196">
        <v>0</v>
      </c>
      <c r="B196">
        <v>0</v>
      </c>
    </row>
    <row r="197" spans="1:2" x14ac:dyDescent="0.25">
      <c r="A197">
        <v>50</v>
      </c>
      <c r="B197">
        <v>27.17</v>
      </c>
    </row>
    <row r="198" spans="1:2" x14ac:dyDescent="0.25">
      <c r="A198">
        <v>54</v>
      </c>
      <c r="B198">
        <v>29.35</v>
      </c>
    </row>
    <row r="199" spans="1:2" x14ac:dyDescent="0.25">
      <c r="A199">
        <v>80</v>
      </c>
      <c r="B199">
        <v>43.48</v>
      </c>
    </row>
    <row r="200" spans="1:2" x14ac:dyDescent="0.25">
      <c r="A200">
        <v>41</v>
      </c>
      <c r="B200">
        <v>22.28</v>
      </c>
    </row>
    <row r="201" spans="1:2" x14ac:dyDescent="0.25">
      <c r="A201">
        <v>82</v>
      </c>
      <c r="B201">
        <v>44.57</v>
      </c>
    </row>
    <row r="202" spans="1:2" x14ac:dyDescent="0.25">
      <c r="A202">
        <v>104</v>
      </c>
      <c r="B202">
        <v>56.52</v>
      </c>
    </row>
    <row r="203" spans="1:2" x14ac:dyDescent="0.25">
      <c r="A203">
        <v>112</v>
      </c>
      <c r="B203">
        <v>60.87</v>
      </c>
    </row>
    <row r="204" spans="1:2" x14ac:dyDescent="0.25">
      <c r="A204">
        <v>24</v>
      </c>
      <c r="B204">
        <v>13.04</v>
      </c>
    </row>
    <row r="205" spans="1:2" x14ac:dyDescent="0.25">
      <c r="A205">
        <v>178</v>
      </c>
      <c r="B205">
        <v>96.74</v>
      </c>
    </row>
    <row r="206" spans="1:2" x14ac:dyDescent="0.25">
      <c r="A206">
        <v>48</v>
      </c>
      <c r="B206">
        <v>26.09</v>
      </c>
    </row>
    <row r="207" spans="1:2" x14ac:dyDescent="0.25">
      <c r="A207">
        <v>6</v>
      </c>
      <c r="B207">
        <v>3.26</v>
      </c>
    </row>
    <row r="208" spans="1:2" x14ac:dyDescent="0.25">
      <c r="A208">
        <v>72</v>
      </c>
      <c r="B208">
        <v>39.130000000000003</v>
      </c>
    </row>
    <row r="209" spans="1:2" x14ac:dyDescent="0.25">
      <c r="A209">
        <v>60</v>
      </c>
      <c r="B209">
        <v>32.61</v>
      </c>
    </row>
    <row r="210" spans="1:2" x14ac:dyDescent="0.25">
      <c r="A210">
        <v>36</v>
      </c>
      <c r="B210">
        <v>19.57</v>
      </c>
    </row>
    <row r="211" spans="1:2" x14ac:dyDescent="0.25">
      <c r="A211">
        <v>44</v>
      </c>
      <c r="B211">
        <v>23.91</v>
      </c>
    </row>
    <row r="212" spans="1:2" x14ac:dyDescent="0.25">
      <c r="A212">
        <v>74</v>
      </c>
      <c r="B212">
        <v>40.22</v>
      </c>
    </row>
    <row r="213" spans="1:2" x14ac:dyDescent="0.25">
      <c r="A213">
        <v>28</v>
      </c>
      <c r="B213">
        <v>15.22</v>
      </c>
    </row>
    <row r="214" spans="1:2" x14ac:dyDescent="0.25">
      <c r="A214">
        <v>68</v>
      </c>
      <c r="B214">
        <v>36.96</v>
      </c>
    </row>
    <row r="215" spans="1:2" x14ac:dyDescent="0.25">
      <c r="A215">
        <v>82</v>
      </c>
      <c r="B215">
        <v>44.57</v>
      </c>
    </row>
    <row r="216" spans="1:2" x14ac:dyDescent="0.25">
      <c r="A216">
        <v>44</v>
      </c>
      <c r="B216">
        <v>23.91</v>
      </c>
    </row>
    <row r="217" spans="1:2" x14ac:dyDescent="0.25">
      <c r="A217">
        <v>52</v>
      </c>
      <c r="B217">
        <v>28.26</v>
      </c>
    </row>
    <row r="218" spans="1:2" x14ac:dyDescent="0.25">
      <c r="A218">
        <v>4</v>
      </c>
      <c r="B218">
        <v>2.17</v>
      </c>
    </row>
    <row r="219" spans="1:2" x14ac:dyDescent="0.25">
      <c r="A219">
        <v>134</v>
      </c>
      <c r="B219">
        <v>72.83</v>
      </c>
    </row>
    <row r="220" spans="1:2" x14ac:dyDescent="0.25">
      <c r="A220">
        <v>64</v>
      </c>
      <c r="B220">
        <v>34.78</v>
      </c>
    </row>
    <row r="221" spans="1:2" x14ac:dyDescent="0.25">
      <c r="A221">
        <v>6</v>
      </c>
      <c r="B221">
        <v>2.9</v>
      </c>
    </row>
    <row r="222" spans="1:2" x14ac:dyDescent="0.25">
      <c r="A222">
        <v>62</v>
      </c>
      <c r="B222">
        <v>29.95</v>
      </c>
    </row>
    <row r="223" spans="1:2" x14ac:dyDescent="0.25">
      <c r="A223">
        <v>26</v>
      </c>
      <c r="B223">
        <v>12.56</v>
      </c>
    </row>
    <row r="224" spans="1:2" x14ac:dyDescent="0.25">
      <c r="A224">
        <v>62</v>
      </c>
      <c r="B224">
        <v>29.95</v>
      </c>
    </row>
    <row r="225" spans="1:2" x14ac:dyDescent="0.25">
      <c r="A225">
        <v>56</v>
      </c>
      <c r="B225">
        <v>27.05</v>
      </c>
    </row>
    <row r="226" spans="1:2" x14ac:dyDescent="0.25">
      <c r="A226">
        <v>88</v>
      </c>
      <c r="B226">
        <v>42.51</v>
      </c>
    </row>
    <row r="227" spans="1:2" x14ac:dyDescent="0.25">
      <c r="A227">
        <v>96</v>
      </c>
      <c r="B227">
        <v>46.38</v>
      </c>
    </row>
    <row r="228" spans="1:2" x14ac:dyDescent="0.25">
      <c r="A228">
        <v>8</v>
      </c>
      <c r="B228">
        <v>3.86</v>
      </c>
    </row>
    <row r="229" spans="1:2" x14ac:dyDescent="0.25">
      <c r="A229">
        <v>6</v>
      </c>
      <c r="B229">
        <v>2.9</v>
      </c>
    </row>
    <row r="230" spans="1:2" x14ac:dyDescent="0.25">
      <c r="A230">
        <v>122</v>
      </c>
      <c r="B230">
        <v>58.94</v>
      </c>
    </row>
    <row r="231" spans="1:2" x14ac:dyDescent="0.25">
      <c r="A231">
        <v>32</v>
      </c>
      <c r="B231">
        <v>15.46</v>
      </c>
    </row>
    <row r="232" spans="1:2" x14ac:dyDescent="0.25">
      <c r="A232">
        <v>0</v>
      </c>
      <c r="B232">
        <v>0</v>
      </c>
    </row>
    <row r="233" spans="1:2" x14ac:dyDescent="0.25">
      <c r="A233">
        <v>10</v>
      </c>
      <c r="B233">
        <v>4.83</v>
      </c>
    </row>
    <row r="234" spans="1:2" x14ac:dyDescent="0.25">
      <c r="A234">
        <v>12</v>
      </c>
      <c r="B234">
        <v>5.8</v>
      </c>
    </row>
    <row r="235" spans="1:2" x14ac:dyDescent="0.25">
      <c r="A235">
        <v>46</v>
      </c>
      <c r="B235">
        <v>22.22</v>
      </c>
    </row>
    <row r="236" spans="1:2" x14ac:dyDescent="0.25">
      <c r="A236">
        <v>46</v>
      </c>
      <c r="B236">
        <v>22.22</v>
      </c>
    </row>
    <row r="237" spans="1:2" x14ac:dyDescent="0.25">
      <c r="A237">
        <v>28</v>
      </c>
      <c r="B237">
        <v>13.53</v>
      </c>
    </row>
    <row r="238" spans="1:2" x14ac:dyDescent="0.25">
      <c r="A238">
        <v>10</v>
      </c>
      <c r="B238">
        <v>4.83</v>
      </c>
    </row>
    <row r="239" spans="1:2" x14ac:dyDescent="0.25">
      <c r="A239">
        <v>34</v>
      </c>
      <c r="B239">
        <v>16.43</v>
      </c>
    </row>
    <row r="240" spans="1:2" x14ac:dyDescent="0.25">
      <c r="A240">
        <v>28</v>
      </c>
      <c r="B240">
        <v>13.53</v>
      </c>
    </row>
    <row r="241" spans="1:2" x14ac:dyDescent="0.25">
      <c r="A241">
        <v>8</v>
      </c>
      <c r="B241">
        <v>3.86</v>
      </c>
    </row>
    <row r="242" spans="1:2" x14ac:dyDescent="0.25">
      <c r="A242">
        <v>0</v>
      </c>
      <c r="B242">
        <v>0</v>
      </c>
    </row>
    <row r="243" spans="1:2" x14ac:dyDescent="0.25">
      <c r="A243">
        <v>10</v>
      </c>
      <c r="B243">
        <v>4.83</v>
      </c>
    </row>
    <row r="244" spans="1:2" x14ac:dyDescent="0.25">
      <c r="A244">
        <v>44</v>
      </c>
      <c r="B244">
        <v>21.26</v>
      </c>
    </row>
    <row r="245" spans="1:2" x14ac:dyDescent="0.25">
      <c r="A245">
        <v>130</v>
      </c>
      <c r="B245">
        <v>47.1</v>
      </c>
    </row>
    <row r="246" spans="1:2" x14ac:dyDescent="0.25">
      <c r="A246">
        <v>138</v>
      </c>
      <c r="B246">
        <v>50</v>
      </c>
    </row>
    <row r="247" spans="1:2" x14ac:dyDescent="0.25">
      <c r="A247">
        <v>0</v>
      </c>
      <c r="B247">
        <v>0</v>
      </c>
    </row>
    <row r="248" spans="1:2" x14ac:dyDescent="0.25">
      <c r="A248">
        <v>88</v>
      </c>
      <c r="B248">
        <v>31.88</v>
      </c>
    </row>
    <row r="249" spans="1:2" x14ac:dyDescent="0.25">
      <c r="A249">
        <v>12</v>
      </c>
      <c r="B249">
        <v>4.3499999999999996</v>
      </c>
    </row>
    <row r="250" spans="1:2" x14ac:dyDescent="0.25">
      <c r="A250">
        <v>132</v>
      </c>
      <c r="B250">
        <v>47.83</v>
      </c>
    </row>
    <row r="251" spans="1:2" x14ac:dyDescent="0.25">
      <c r="A251">
        <v>38</v>
      </c>
      <c r="B251">
        <v>13.77</v>
      </c>
    </row>
    <row r="252" spans="1:2" x14ac:dyDescent="0.25">
      <c r="A252">
        <v>162</v>
      </c>
      <c r="B252">
        <v>58.7</v>
      </c>
    </row>
    <row r="253" spans="1:2" x14ac:dyDescent="0.25">
      <c r="A253">
        <v>82</v>
      </c>
      <c r="B253">
        <v>29.71</v>
      </c>
    </row>
    <row r="254" spans="1:2" x14ac:dyDescent="0.25">
      <c r="A254">
        <v>12</v>
      </c>
      <c r="B254">
        <v>4.3499999999999996</v>
      </c>
    </row>
    <row r="255" spans="1:2" x14ac:dyDescent="0.25">
      <c r="A255">
        <v>96</v>
      </c>
      <c r="B255">
        <v>34.78</v>
      </c>
    </row>
    <row r="256" spans="1:2" x14ac:dyDescent="0.25">
      <c r="A256">
        <v>42</v>
      </c>
      <c r="B256">
        <v>15.22</v>
      </c>
    </row>
    <row r="257" spans="1:2" x14ac:dyDescent="0.25">
      <c r="A257">
        <v>130</v>
      </c>
      <c r="B257">
        <v>47.1</v>
      </c>
    </row>
    <row r="258" spans="1:2" x14ac:dyDescent="0.25">
      <c r="A258">
        <v>136</v>
      </c>
      <c r="B258">
        <v>49.28</v>
      </c>
    </row>
    <row r="259" spans="1:2" x14ac:dyDescent="0.25">
      <c r="A259">
        <v>94</v>
      </c>
      <c r="B259">
        <v>34.06</v>
      </c>
    </row>
    <row r="260" spans="1:2" x14ac:dyDescent="0.25">
      <c r="A260">
        <v>66</v>
      </c>
      <c r="B260">
        <v>23.91</v>
      </c>
    </row>
    <row r="261" spans="1:2" x14ac:dyDescent="0.25">
      <c r="A261">
        <v>248</v>
      </c>
      <c r="B261">
        <v>89.86</v>
      </c>
    </row>
    <row r="262" spans="1:2" x14ac:dyDescent="0.25">
      <c r="A262">
        <v>66</v>
      </c>
      <c r="B262">
        <v>23.91</v>
      </c>
    </row>
    <row r="263" spans="1:2" x14ac:dyDescent="0.25">
      <c r="A263">
        <v>74</v>
      </c>
      <c r="B263">
        <v>26.81</v>
      </c>
    </row>
    <row r="264" spans="1:2" x14ac:dyDescent="0.25">
      <c r="A264">
        <v>32</v>
      </c>
      <c r="B264">
        <v>11.59</v>
      </c>
    </row>
    <row r="265" spans="1:2" x14ac:dyDescent="0.25">
      <c r="A265">
        <v>76</v>
      </c>
      <c r="B265">
        <v>27.54</v>
      </c>
    </row>
    <row r="266" spans="1:2" x14ac:dyDescent="0.25">
      <c r="A266">
        <v>148</v>
      </c>
      <c r="B266">
        <v>53.62</v>
      </c>
    </row>
    <row r="267" spans="1:2" x14ac:dyDescent="0.25">
      <c r="A267">
        <v>122</v>
      </c>
      <c r="B267">
        <v>48.22</v>
      </c>
    </row>
    <row r="268" spans="1:2" x14ac:dyDescent="0.25">
      <c r="A268">
        <v>266</v>
      </c>
      <c r="B268">
        <v>105.14</v>
      </c>
    </row>
    <row r="269" spans="1:2" x14ac:dyDescent="0.25">
      <c r="A269">
        <v>0</v>
      </c>
      <c r="B269">
        <v>0</v>
      </c>
    </row>
    <row r="270" spans="1:2" x14ac:dyDescent="0.25">
      <c r="A270">
        <v>278</v>
      </c>
      <c r="B270">
        <v>109.88</v>
      </c>
    </row>
    <row r="271" spans="1:2" x14ac:dyDescent="0.25">
      <c r="A271">
        <v>68</v>
      </c>
      <c r="B271">
        <v>26.88</v>
      </c>
    </row>
    <row r="272" spans="1:2" x14ac:dyDescent="0.25">
      <c r="A272">
        <v>92</v>
      </c>
      <c r="B272">
        <v>36.36</v>
      </c>
    </row>
    <row r="273" spans="1:2" x14ac:dyDescent="0.25">
      <c r="A273">
        <v>124</v>
      </c>
      <c r="B273">
        <v>49.01</v>
      </c>
    </row>
    <row r="274" spans="1:2" x14ac:dyDescent="0.25">
      <c r="A274">
        <v>274</v>
      </c>
      <c r="B274">
        <v>108.3</v>
      </c>
    </row>
    <row r="275" spans="1:2" x14ac:dyDescent="0.25">
      <c r="A275">
        <v>102</v>
      </c>
      <c r="B275">
        <v>40.32</v>
      </c>
    </row>
    <row r="276" spans="1:2" x14ac:dyDescent="0.25">
      <c r="A276">
        <v>208</v>
      </c>
      <c r="B276">
        <v>82.21</v>
      </c>
    </row>
    <row r="277" spans="1:2" x14ac:dyDescent="0.25">
      <c r="A277">
        <v>126</v>
      </c>
      <c r="B277">
        <v>49.8</v>
      </c>
    </row>
    <row r="278" spans="1:2" x14ac:dyDescent="0.25">
      <c r="A278">
        <v>74</v>
      </c>
      <c r="B278">
        <v>29.25</v>
      </c>
    </row>
    <row r="279" spans="1:2" x14ac:dyDescent="0.25">
      <c r="A279">
        <v>52</v>
      </c>
      <c r="B279">
        <v>20.55</v>
      </c>
    </row>
    <row r="280" spans="1:2" x14ac:dyDescent="0.25">
      <c r="A280">
        <v>54</v>
      </c>
      <c r="B280">
        <v>21.34</v>
      </c>
    </row>
    <row r="281" spans="1:2" x14ac:dyDescent="0.25">
      <c r="A281">
        <v>10</v>
      </c>
      <c r="B281">
        <v>3.95</v>
      </c>
    </row>
    <row r="282" spans="1:2" x14ac:dyDescent="0.25">
      <c r="A282">
        <v>22</v>
      </c>
      <c r="B282">
        <v>8.6999999999999993</v>
      </c>
    </row>
    <row r="283" spans="1:2" x14ac:dyDescent="0.25">
      <c r="A283">
        <v>18</v>
      </c>
      <c r="B283">
        <v>7.11</v>
      </c>
    </row>
    <row r="284" spans="1:2" x14ac:dyDescent="0.25">
      <c r="A284">
        <v>46</v>
      </c>
      <c r="B284">
        <v>18.18</v>
      </c>
    </row>
    <row r="285" spans="1:2" x14ac:dyDescent="0.25">
      <c r="A285">
        <v>56</v>
      </c>
      <c r="B285">
        <v>22.13</v>
      </c>
    </row>
    <row r="286" spans="1:2" x14ac:dyDescent="0.25">
      <c r="A286">
        <v>90</v>
      </c>
      <c r="B286">
        <v>35.57</v>
      </c>
    </row>
    <row r="287" spans="1:2" x14ac:dyDescent="0.25">
      <c r="A287">
        <v>14</v>
      </c>
      <c r="B287">
        <v>5.53</v>
      </c>
    </row>
    <row r="288" spans="1:2" x14ac:dyDescent="0.25">
      <c r="A288">
        <v>68</v>
      </c>
      <c r="B288">
        <v>26.88</v>
      </c>
    </row>
    <row r="289" spans="1:2" x14ac:dyDescent="0.25">
      <c r="A289">
        <v>8</v>
      </c>
      <c r="B289">
        <v>2.9</v>
      </c>
    </row>
    <row r="290" spans="1:2" x14ac:dyDescent="0.25">
      <c r="A290">
        <v>70</v>
      </c>
      <c r="B290">
        <v>25.36</v>
      </c>
    </row>
    <row r="291" spans="1:2" x14ac:dyDescent="0.25">
      <c r="A291">
        <v>116</v>
      </c>
      <c r="B291">
        <v>42.03</v>
      </c>
    </row>
    <row r="292" spans="1:2" x14ac:dyDescent="0.25">
      <c r="A292">
        <v>52</v>
      </c>
      <c r="B292">
        <v>18.84</v>
      </c>
    </row>
    <row r="293" spans="1:2" x14ac:dyDescent="0.25">
      <c r="A293">
        <v>138</v>
      </c>
      <c r="B293">
        <v>50</v>
      </c>
    </row>
    <row r="294" spans="1:2" x14ac:dyDescent="0.25">
      <c r="A294">
        <v>16</v>
      </c>
      <c r="B294">
        <v>5.8</v>
      </c>
    </row>
    <row r="295" spans="1:2" x14ac:dyDescent="0.25">
      <c r="A295">
        <v>14</v>
      </c>
      <c r="B295">
        <v>5.07</v>
      </c>
    </row>
    <row r="296" spans="1:2" x14ac:dyDescent="0.25">
      <c r="A296">
        <v>38</v>
      </c>
      <c r="B296">
        <v>13.77</v>
      </c>
    </row>
    <row r="297" spans="1:2" x14ac:dyDescent="0.25">
      <c r="A297">
        <v>136</v>
      </c>
      <c r="B297">
        <v>49.28</v>
      </c>
    </row>
    <row r="298" spans="1:2" x14ac:dyDescent="0.25">
      <c r="A298">
        <v>58</v>
      </c>
      <c r="B298">
        <v>21.01</v>
      </c>
    </row>
    <row r="299" spans="1:2" x14ac:dyDescent="0.25">
      <c r="A299">
        <v>46</v>
      </c>
      <c r="B299">
        <v>16.670000000000002</v>
      </c>
    </row>
    <row r="300" spans="1:2" x14ac:dyDescent="0.25">
      <c r="A300">
        <v>78</v>
      </c>
      <c r="B300">
        <v>28.26</v>
      </c>
    </row>
    <row r="301" spans="1:2" x14ac:dyDescent="0.25">
      <c r="A301">
        <v>178</v>
      </c>
      <c r="B301">
        <v>64.489999999999995</v>
      </c>
    </row>
    <row r="302" spans="1:2" x14ac:dyDescent="0.25">
      <c r="A302">
        <v>10</v>
      </c>
      <c r="B302">
        <v>3.62</v>
      </c>
    </row>
    <row r="303" spans="1:2" x14ac:dyDescent="0.25">
      <c r="A303">
        <v>86</v>
      </c>
      <c r="B303">
        <v>31.16</v>
      </c>
    </row>
    <row r="304" spans="1:2" x14ac:dyDescent="0.25">
      <c r="A304">
        <v>146</v>
      </c>
      <c r="B304">
        <v>52.9</v>
      </c>
    </row>
    <row r="305" spans="1:2" x14ac:dyDescent="0.25">
      <c r="A305">
        <v>2</v>
      </c>
      <c r="B305">
        <v>0.72</v>
      </c>
    </row>
    <row r="306" spans="1:2" x14ac:dyDescent="0.25">
      <c r="A306">
        <v>60</v>
      </c>
      <c r="B306">
        <v>21.74</v>
      </c>
    </row>
    <row r="307" spans="1:2" x14ac:dyDescent="0.25">
      <c r="A307">
        <v>34</v>
      </c>
      <c r="B307">
        <v>12.32</v>
      </c>
    </row>
    <row r="308" spans="1:2" x14ac:dyDescent="0.25">
      <c r="A308">
        <v>148</v>
      </c>
      <c r="B308">
        <v>53.62</v>
      </c>
    </row>
    <row r="309" spans="1:2" x14ac:dyDescent="0.25">
      <c r="A309">
        <v>72</v>
      </c>
      <c r="B309">
        <v>26.09</v>
      </c>
    </row>
    <row r="310" spans="1:2" x14ac:dyDescent="0.25">
      <c r="A310">
        <v>136</v>
      </c>
      <c r="B310">
        <v>49.28</v>
      </c>
    </row>
    <row r="311" spans="1:2" x14ac:dyDescent="0.25">
      <c r="A311">
        <v>66</v>
      </c>
      <c r="B311">
        <v>23.91</v>
      </c>
    </row>
    <row r="312" spans="1:2" x14ac:dyDescent="0.25">
      <c r="A312">
        <v>4</v>
      </c>
      <c r="B312">
        <v>1.45</v>
      </c>
    </row>
    <row r="313" spans="1:2" x14ac:dyDescent="0.25">
      <c r="A313">
        <v>8</v>
      </c>
      <c r="B313">
        <v>2.4700000000000002</v>
      </c>
    </row>
    <row r="314" spans="1:2" x14ac:dyDescent="0.25">
      <c r="A314">
        <v>74</v>
      </c>
      <c r="B314">
        <v>22.84</v>
      </c>
    </row>
    <row r="315" spans="1:2" x14ac:dyDescent="0.25">
      <c r="A315">
        <v>10</v>
      </c>
      <c r="B315">
        <v>3.09</v>
      </c>
    </row>
    <row r="316" spans="1:2" x14ac:dyDescent="0.25">
      <c r="A316">
        <v>18</v>
      </c>
      <c r="B316">
        <v>5.56</v>
      </c>
    </row>
    <row r="317" spans="1:2" x14ac:dyDescent="0.25">
      <c r="A317">
        <v>44</v>
      </c>
      <c r="B317">
        <v>13.58</v>
      </c>
    </row>
    <row r="318" spans="1:2" x14ac:dyDescent="0.25">
      <c r="A318">
        <v>0</v>
      </c>
      <c r="B318">
        <v>0</v>
      </c>
    </row>
    <row r="319" spans="1:2" x14ac:dyDescent="0.25">
      <c r="A319">
        <v>36</v>
      </c>
      <c r="B319">
        <v>11.11</v>
      </c>
    </row>
    <row r="320" spans="1:2" x14ac:dyDescent="0.25">
      <c r="A320">
        <v>0</v>
      </c>
      <c r="B320">
        <v>0</v>
      </c>
    </row>
    <row r="321" spans="1:2" x14ac:dyDescent="0.25">
      <c r="A321">
        <v>100</v>
      </c>
      <c r="B321">
        <v>30.86</v>
      </c>
    </row>
    <row r="322" spans="1:2" x14ac:dyDescent="0.25">
      <c r="A322">
        <v>40</v>
      </c>
      <c r="B322">
        <v>12.35</v>
      </c>
    </row>
    <row r="323" spans="1:2" x14ac:dyDescent="0.25">
      <c r="A323">
        <v>38</v>
      </c>
      <c r="B323">
        <v>11.73</v>
      </c>
    </row>
    <row r="324" spans="1:2" x14ac:dyDescent="0.25">
      <c r="A324">
        <v>4</v>
      </c>
      <c r="B324">
        <v>1.23</v>
      </c>
    </row>
    <row r="325" spans="1:2" x14ac:dyDescent="0.25">
      <c r="A325">
        <v>6</v>
      </c>
      <c r="B325">
        <v>1.85</v>
      </c>
    </row>
    <row r="326" spans="1:2" x14ac:dyDescent="0.25">
      <c r="A326">
        <v>18</v>
      </c>
      <c r="B326">
        <v>5.56</v>
      </c>
    </row>
    <row r="327" spans="1:2" x14ac:dyDescent="0.25">
      <c r="A327">
        <v>116</v>
      </c>
      <c r="B327">
        <v>35.799999999999997</v>
      </c>
    </row>
    <row r="328" spans="1:2" x14ac:dyDescent="0.25">
      <c r="A328">
        <v>150</v>
      </c>
      <c r="B328">
        <v>46.3</v>
      </c>
    </row>
    <row r="329" spans="1:2" x14ac:dyDescent="0.25">
      <c r="A329">
        <v>114</v>
      </c>
      <c r="B329">
        <v>35.19</v>
      </c>
    </row>
    <row r="330" spans="1:2" x14ac:dyDescent="0.25">
      <c r="A330">
        <v>6</v>
      </c>
      <c r="B330">
        <v>1.85</v>
      </c>
    </row>
    <row r="331" spans="1:2" x14ac:dyDescent="0.25">
      <c r="A331">
        <v>122</v>
      </c>
      <c r="B331">
        <v>37.65</v>
      </c>
    </row>
    <row r="332" spans="1:2" x14ac:dyDescent="0.25">
      <c r="A332">
        <v>156</v>
      </c>
      <c r="B332">
        <v>48.15</v>
      </c>
    </row>
    <row r="333" spans="1:2" x14ac:dyDescent="0.25">
      <c r="A333">
        <v>246</v>
      </c>
      <c r="B333">
        <v>75.930000000000007</v>
      </c>
    </row>
    <row r="334" spans="1:2" x14ac:dyDescent="0.25">
      <c r="A334">
        <v>32</v>
      </c>
      <c r="B334">
        <v>9.8800000000000008</v>
      </c>
    </row>
    <row r="335" spans="1:2" x14ac:dyDescent="0.25">
      <c r="A335">
        <v>220</v>
      </c>
      <c r="B335">
        <v>67.900000000000006</v>
      </c>
    </row>
    <row r="336" spans="1:2" x14ac:dyDescent="0.25">
      <c r="A336">
        <v>26</v>
      </c>
      <c r="B336">
        <v>8.02</v>
      </c>
    </row>
    <row r="337" spans="1:2" x14ac:dyDescent="0.25">
      <c r="A337">
        <v>82</v>
      </c>
      <c r="B337">
        <v>25.31</v>
      </c>
    </row>
    <row r="338" spans="1:2" x14ac:dyDescent="0.25">
      <c r="A338">
        <v>40</v>
      </c>
      <c r="B338">
        <v>12.35</v>
      </c>
    </row>
    <row r="339" spans="1:2" x14ac:dyDescent="0.25">
      <c r="A339">
        <v>242</v>
      </c>
      <c r="B339">
        <v>74.69</v>
      </c>
    </row>
    <row r="340" spans="1:2" x14ac:dyDescent="0.25">
      <c r="A340">
        <v>14</v>
      </c>
      <c r="B340">
        <v>4.32</v>
      </c>
    </row>
    <row r="341" spans="1:2" x14ac:dyDescent="0.25">
      <c r="A341">
        <v>272</v>
      </c>
      <c r="B341">
        <v>93.79</v>
      </c>
    </row>
    <row r="342" spans="1:2" x14ac:dyDescent="0.25">
      <c r="A342">
        <v>101</v>
      </c>
      <c r="B342">
        <v>34.83</v>
      </c>
    </row>
    <row r="343" spans="1:2" x14ac:dyDescent="0.25">
      <c r="A343">
        <v>30</v>
      </c>
      <c r="B343">
        <v>10.34</v>
      </c>
    </row>
    <row r="344" spans="1:2" x14ac:dyDescent="0.25">
      <c r="A344">
        <v>6</v>
      </c>
      <c r="B344">
        <v>2.0699999999999998</v>
      </c>
    </row>
    <row r="345" spans="1:2" x14ac:dyDescent="0.25">
      <c r="A345">
        <v>62</v>
      </c>
      <c r="B345">
        <v>21.38</v>
      </c>
    </row>
    <row r="346" spans="1:2" x14ac:dyDescent="0.25">
      <c r="A346">
        <v>106</v>
      </c>
      <c r="B346">
        <v>36.549999999999997</v>
      </c>
    </row>
    <row r="347" spans="1:2" x14ac:dyDescent="0.25">
      <c r="A347">
        <v>58</v>
      </c>
      <c r="B347">
        <v>20</v>
      </c>
    </row>
    <row r="348" spans="1:2" x14ac:dyDescent="0.25">
      <c r="A348">
        <v>150</v>
      </c>
      <c r="B348">
        <v>51.72</v>
      </c>
    </row>
    <row r="349" spans="1:2" x14ac:dyDescent="0.25">
      <c r="A349">
        <v>4</v>
      </c>
      <c r="B349">
        <v>1.38</v>
      </c>
    </row>
    <row r="350" spans="1:2" x14ac:dyDescent="0.25">
      <c r="A350">
        <v>56</v>
      </c>
      <c r="B350">
        <v>19.309999999999999</v>
      </c>
    </row>
    <row r="351" spans="1:2" x14ac:dyDescent="0.25">
      <c r="A351">
        <v>18</v>
      </c>
      <c r="B351">
        <v>6.21</v>
      </c>
    </row>
    <row r="352" spans="1:2" x14ac:dyDescent="0.25">
      <c r="A352">
        <v>66</v>
      </c>
      <c r="B352">
        <v>22.76</v>
      </c>
    </row>
    <row r="353" spans="1:2" x14ac:dyDescent="0.25">
      <c r="A353">
        <v>26</v>
      </c>
      <c r="B353">
        <v>8.9700000000000006</v>
      </c>
    </row>
    <row r="354" spans="1:2" x14ac:dyDescent="0.25">
      <c r="A354">
        <v>26</v>
      </c>
      <c r="B354">
        <v>8.9700000000000006</v>
      </c>
    </row>
    <row r="355" spans="1:2" x14ac:dyDescent="0.25">
      <c r="A355">
        <v>38</v>
      </c>
      <c r="B355">
        <v>13.1</v>
      </c>
    </row>
    <row r="356" spans="1:2" x14ac:dyDescent="0.25">
      <c r="A356">
        <v>4</v>
      </c>
      <c r="B356">
        <v>1.38</v>
      </c>
    </row>
    <row r="357" spans="1:2" x14ac:dyDescent="0.25">
      <c r="A357">
        <v>240</v>
      </c>
      <c r="B357">
        <v>82.76</v>
      </c>
    </row>
    <row r="358" spans="1:2" x14ac:dyDescent="0.25">
      <c r="A358">
        <v>208</v>
      </c>
      <c r="B358">
        <v>71.72</v>
      </c>
    </row>
    <row r="359" spans="1:2" x14ac:dyDescent="0.25">
      <c r="A359">
        <v>56</v>
      </c>
      <c r="B359">
        <v>19.309999999999999</v>
      </c>
    </row>
    <row r="360" spans="1:2" x14ac:dyDescent="0.25">
      <c r="A360">
        <v>6</v>
      </c>
      <c r="B360">
        <v>2.0699999999999998</v>
      </c>
    </row>
    <row r="361" spans="1:2" x14ac:dyDescent="0.25">
      <c r="A361">
        <v>256</v>
      </c>
      <c r="B361">
        <v>88.28</v>
      </c>
    </row>
    <row r="362" spans="1:2" x14ac:dyDescent="0.25">
      <c r="A362">
        <v>272</v>
      </c>
      <c r="B362">
        <v>93.79</v>
      </c>
    </row>
    <row r="363" spans="1:2" x14ac:dyDescent="0.25">
      <c r="A363">
        <v>46</v>
      </c>
      <c r="B363">
        <v>15.86</v>
      </c>
    </row>
    <row r="364" spans="1:2" x14ac:dyDescent="0.25">
      <c r="A364">
        <v>52</v>
      </c>
      <c r="B364">
        <v>17.93</v>
      </c>
    </row>
    <row r="365" spans="1:2" x14ac:dyDescent="0.25">
      <c r="A365">
        <v>48</v>
      </c>
      <c r="B365">
        <v>16.55</v>
      </c>
    </row>
    <row r="366" spans="1:2" x14ac:dyDescent="0.25">
      <c r="A366">
        <v>26</v>
      </c>
      <c r="B366">
        <v>8.9700000000000006</v>
      </c>
    </row>
    <row r="367" spans="1:2" x14ac:dyDescent="0.25">
      <c r="A367">
        <v>256</v>
      </c>
      <c r="B367">
        <v>88.28</v>
      </c>
    </row>
    <row r="368" spans="1:2" x14ac:dyDescent="0.25">
      <c r="A368">
        <v>30</v>
      </c>
      <c r="B368">
        <v>10.34</v>
      </c>
    </row>
    <row r="369" spans="1:2" x14ac:dyDescent="0.25">
      <c r="A369">
        <v>46</v>
      </c>
      <c r="B369">
        <v>15.86</v>
      </c>
    </row>
    <row r="370" spans="1:2" x14ac:dyDescent="0.25">
      <c r="A370">
        <v>4</v>
      </c>
      <c r="B370">
        <v>1.38</v>
      </c>
    </row>
    <row r="371" spans="1:2" x14ac:dyDescent="0.25">
      <c r="A371">
        <v>108</v>
      </c>
      <c r="B371">
        <v>28.65</v>
      </c>
    </row>
    <row r="372" spans="1:2" x14ac:dyDescent="0.25">
      <c r="A372">
        <v>108</v>
      </c>
      <c r="B372">
        <v>28.65</v>
      </c>
    </row>
    <row r="373" spans="1:2" x14ac:dyDescent="0.25">
      <c r="A373">
        <v>16</v>
      </c>
      <c r="B373">
        <v>4.24</v>
      </c>
    </row>
    <row r="374" spans="1:2" x14ac:dyDescent="0.25">
      <c r="A374">
        <v>32</v>
      </c>
      <c r="B374">
        <v>8.49</v>
      </c>
    </row>
    <row r="375" spans="1:2" x14ac:dyDescent="0.25">
      <c r="A375">
        <v>238</v>
      </c>
      <c r="B375">
        <v>63.13</v>
      </c>
    </row>
    <row r="376" spans="1:2" x14ac:dyDescent="0.25">
      <c r="A376">
        <v>76</v>
      </c>
      <c r="B376">
        <v>20.16</v>
      </c>
    </row>
    <row r="377" spans="1:2" x14ac:dyDescent="0.25">
      <c r="A377">
        <v>58</v>
      </c>
      <c r="B377">
        <v>15.38</v>
      </c>
    </row>
    <row r="378" spans="1:2" x14ac:dyDescent="0.25">
      <c r="A378">
        <v>216</v>
      </c>
      <c r="B378">
        <v>57.29</v>
      </c>
    </row>
    <row r="379" spans="1:2" x14ac:dyDescent="0.25">
      <c r="A379">
        <v>350</v>
      </c>
      <c r="B379">
        <v>92.84</v>
      </c>
    </row>
    <row r="380" spans="1:2" x14ac:dyDescent="0.25">
      <c r="A380">
        <v>46</v>
      </c>
      <c r="B380">
        <v>12.2</v>
      </c>
    </row>
    <row r="381" spans="1:2" x14ac:dyDescent="0.25">
      <c r="A381">
        <v>34</v>
      </c>
      <c r="B381">
        <v>9.02</v>
      </c>
    </row>
    <row r="382" spans="1:2" x14ac:dyDescent="0.25">
      <c r="A382">
        <v>64</v>
      </c>
      <c r="B382">
        <v>16.98</v>
      </c>
    </row>
    <row r="383" spans="1:2" x14ac:dyDescent="0.25">
      <c r="A383">
        <v>8</v>
      </c>
      <c r="B383">
        <v>2.12</v>
      </c>
    </row>
    <row r="384" spans="1:2" x14ac:dyDescent="0.25">
      <c r="A384" s="3">
        <v>0</v>
      </c>
      <c r="B384" s="2">
        <v>0</v>
      </c>
    </row>
    <row r="385" spans="1:2" x14ac:dyDescent="0.25">
      <c r="A385" s="3">
        <v>0</v>
      </c>
      <c r="B385" s="2">
        <v>0</v>
      </c>
    </row>
    <row r="386" spans="1:2" x14ac:dyDescent="0.25">
      <c r="A386" s="3">
        <v>0</v>
      </c>
      <c r="B386" s="2">
        <v>0</v>
      </c>
    </row>
    <row r="387" spans="1:2" x14ac:dyDescent="0.25">
      <c r="A387">
        <v>104</v>
      </c>
      <c r="B387">
        <v>41.27</v>
      </c>
    </row>
    <row r="388" spans="1:2" x14ac:dyDescent="0.25">
      <c r="A388">
        <v>194</v>
      </c>
      <c r="B388">
        <v>76.98</v>
      </c>
    </row>
    <row r="389" spans="1:2" x14ac:dyDescent="0.25">
      <c r="A389">
        <v>64</v>
      </c>
      <c r="B389">
        <v>25.4</v>
      </c>
    </row>
    <row r="390" spans="1:2" x14ac:dyDescent="0.25">
      <c r="A390">
        <v>0</v>
      </c>
      <c r="B390">
        <v>0</v>
      </c>
    </row>
    <row r="391" spans="1:2" x14ac:dyDescent="0.25">
      <c r="A391">
        <v>62</v>
      </c>
      <c r="B391">
        <v>24.6</v>
      </c>
    </row>
    <row r="392" spans="1:2" x14ac:dyDescent="0.25">
      <c r="A392">
        <v>102</v>
      </c>
      <c r="B392">
        <v>40.479999999999997</v>
      </c>
    </row>
    <row r="393" spans="1:2" x14ac:dyDescent="0.25">
      <c r="A393">
        <v>30</v>
      </c>
      <c r="B393">
        <v>11.9</v>
      </c>
    </row>
    <row r="394" spans="1:2" x14ac:dyDescent="0.25">
      <c r="A394">
        <v>88</v>
      </c>
      <c r="B394">
        <v>34.92</v>
      </c>
    </row>
    <row r="395" spans="1:2" x14ac:dyDescent="0.25">
      <c r="A395">
        <v>152</v>
      </c>
      <c r="B395">
        <v>60.32</v>
      </c>
    </row>
    <row r="396" spans="1:2" x14ac:dyDescent="0.25">
      <c r="A396">
        <v>118</v>
      </c>
      <c r="B396">
        <v>46.83</v>
      </c>
    </row>
    <row r="397" spans="1:2" x14ac:dyDescent="0.25">
      <c r="A397">
        <v>108</v>
      </c>
      <c r="B397">
        <v>42.86</v>
      </c>
    </row>
    <row r="398" spans="1:2" x14ac:dyDescent="0.25">
      <c r="A398">
        <v>60</v>
      </c>
      <c r="B398">
        <v>23.81</v>
      </c>
    </row>
    <row r="399" spans="1:2" x14ac:dyDescent="0.25">
      <c r="A399">
        <v>76</v>
      </c>
      <c r="B399">
        <v>30.16</v>
      </c>
    </row>
    <row r="400" spans="1:2" x14ac:dyDescent="0.25">
      <c r="A400">
        <v>40</v>
      </c>
      <c r="B400">
        <v>15.87</v>
      </c>
    </row>
    <row r="401" spans="1:2" x14ac:dyDescent="0.25">
      <c r="A401">
        <v>96</v>
      </c>
      <c r="B401">
        <v>38.1</v>
      </c>
    </row>
    <row r="402" spans="1:2" x14ac:dyDescent="0.25">
      <c r="A402">
        <v>176</v>
      </c>
      <c r="B402">
        <v>69.84</v>
      </c>
    </row>
    <row r="403" spans="1:2" x14ac:dyDescent="0.25">
      <c r="A403">
        <v>26</v>
      </c>
      <c r="B403">
        <v>10.32</v>
      </c>
    </row>
    <row r="404" spans="1:2" x14ac:dyDescent="0.25">
      <c r="A404">
        <v>82</v>
      </c>
      <c r="B404">
        <v>32.54</v>
      </c>
    </row>
    <row r="405" spans="1:2" x14ac:dyDescent="0.25">
      <c r="A405">
        <v>24</v>
      </c>
      <c r="B405">
        <v>9.52</v>
      </c>
    </row>
    <row r="406" spans="1:2" x14ac:dyDescent="0.25">
      <c r="A406">
        <v>16</v>
      </c>
      <c r="B406">
        <v>6.35</v>
      </c>
    </row>
    <row r="407" spans="1:2" x14ac:dyDescent="0.25">
      <c r="A407">
        <v>62</v>
      </c>
      <c r="B407">
        <v>24.6</v>
      </c>
    </row>
    <row r="408" spans="1:2" x14ac:dyDescent="0.25">
      <c r="A408">
        <v>176</v>
      </c>
      <c r="B408">
        <v>69.84</v>
      </c>
    </row>
    <row r="409" spans="1:2" x14ac:dyDescent="0.25">
      <c r="A409">
        <v>92</v>
      </c>
      <c r="B409">
        <v>36.51</v>
      </c>
    </row>
    <row r="410" spans="1:2" x14ac:dyDescent="0.25">
      <c r="A410">
        <v>60</v>
      </c>
      <c r="B410">
        <v>23.81</v>
      </c>
    </row>
    <row r="411" spans="1:2" x14ac:dyDescent="0.25">
      <c r="A411">
        <v>28</v>
      </c>
      <c r="B411">
        <v>11.11</v>
      </c>
    </row>
    <row r="412" spans="1:2" x14ac:dyDescent="0.25">
      <c r="A412">
        <v>58</v>
      </c>
      <c r="B412">
        <v>23.02</v>
      </c>
    </row>
    <row r="413" spans="1:2" x14ac:dyDescent="0.25">
      <c r="A413">
        <v>152</v>
      </c>
      <c r="B413">
        <v>60.32</v>
      </c>
    </row>
    <row r="414" spans="1:2" x14ac:dyDescent="0.25">
      <c r="A414">
        <v>48</v>
      </c>
      <c r="B414">
        <v>25.4</v>
      </c>
    </row>
    <row r="415" spans="1:2" x14ac:dyDescent="0.25">
      <c r="A415">
        <v>46</v>
      </c>
      <c r="B415">
        <v>24.34</v>
      </c>
    </row>
    <row r="416" spans="1:2" x14ac:dyDescent="0.25">
      <c r="A416">
        <v>102</v>
      </c>
      <c r="B416">
        <v>53.97</v>
      </c>
    </row>
    <row r="417" spans="1:2" x14ac:dyDescent="0.25">
      <c r="A417">
        <v>34</v>
      </c>
      <c r="B417">
        <v>17.989999999999998</v>
      </c>
    </row>
    <row r="418" spans="1:2" x14ac:dyDescent="0.25">
      <c r="A418">
        <v>38</v>
      </c>
      <c r="B418">
        <v>20.11</v>
      </c>
    </row>
    <row r="419" spans="1:2" x14ac:dyDescent="0.25">
      <c r="A419">
        <v>36</v>
      </c>
      <c r="B419">
        <v>19.05</v>
      </c>
    </row>
    <row r="420" spans="1:2" x14ac:dyDescent="0.25">
      <c r="A420">
        <v>36</v>
      </c>
      <c r="B420">
        <v>19.05</v>
      </c>
    </row>
    <row r="421" spans="1:2" x14ac:dyDescent="0.25">
      <c r="A421">
        <v>26</v>
      </c>
      <c r="B421">
        <v>13.76</v>
      </c>
    </row>
    <row r="422" spans="1:2" x14ac:dyDescent="0.25">
      <c r="A422">
        <v>124</v>
      </c>
      <c r="B422">
        <v>65.61</v>
      </c>
    </row>
    <row r="423" spans="1:2" x14ac:dyDescent="0.25">
      <c r="A423">
        <v>30</v>
      </c>
      <c r="B423">
        <v>15.87</v>
      </c>
    </row>
    <row r="424" spans="1:2" x14ac:dyDescent="0.25">
      <c r="A424">
        <v>8</v>
      </c>
      <c r="B424">
        <v>4.2300000000000004</v>
      </c>
    </row>
    <row r="425" spans="1:2" x14ac:dyDescent="0.25">
      <c r="A425">
        <v>64</v>
      </c>
      <c r="B425">
        <v>33.86</v>
      </c>
    </row>
    <row r="426" spans="1:2" x14ac:dyDescent="0.25">
      <c r="A426">
        <v>32</v>
      </c>
      <c r="B426">
        <v>16.93</v>
      </c>
    </row>
    <row r="427" spans="1:2" x14ac:dyDescent="0.25">
      <c r="A427">
        <v>14</v>
      </c>
      <c r="B427">
        <v>7.41</v>
      </c>
    </row>
    <row r="428" spans="1:2" x14ac:dyDescent="0.25">
      <c r="A428">
        <v>28</v>
      </c>
      <c r="B428">
        <v>14.81</v>
      </c>
    </row>
    <row r="429" spans="1:2" x14ac:dyDescent="0.25">
      <c r="A429">
        <v>40</v>
      </c>
      <c r="B429">
        <v>21.16</v>
      </c>
    </row>
    <row r="430" spans="1:2" x14ac:dyDescent="0.25">
      <c r="A430">
        <v>28</v>
      </c>
      <c r="B430">
        <v>14.81</v>
      </c>
    </row>
    <row r="431" spans="1:2" x14ac:dyDescent="0.25">
      <c r="A431">
        <v>22</v>
      </c>
      <c r="B431">
        <v>11.64</v>
      </c>
    </row>
    <row r="432" spans="1:2" x14ac:dyDescent="0.25">
      <c r="A432">
        <v>64</v>
      </c>
      <c r="B432">
        <v>33.86</v>
      </c>
    </row>
    <row r="433" spans="1:2" x14ac:dyDescent="0.25">
      <c r="A433">
        <v>130</v>
      </c>
      <c r="B433">
        <v>68.78</v>
      </c>
    </row>
    <row r="434" spans="1:2" x14ac:dyDescent="0.25">
      <c r="A434">
        <v>16</v>
      </c>
      <c r="B434">
        <v>8.4700000000000006</v>
      </c>
    </row>
    <row r="435" spans="1:2" x14ac:dyDescent="0.25">
      <c r="A435">
        <v>36</v>
      </c>
      <c r="B435">
        <v>19.05</v>
      </c>
    </row>
    <row r="436" spans="1:2" x14ac:dyDescent="0.25">
      <c r="A436">
        <v>74</v>
      </c>
      <c r="B436">
        <v>27.11</v>
      </c>
    </row>
    <row r="437" spans="1:2" x14ac:dyDescent="0.25">
      <c r="A437">
        <v>92</v>
      </c>
      <c r="B437">
        <v>33.700000000000003</v>
      </c>
    </row>
    <row r="438" spans="1:2" x14ac:dyDescent="0.25">
      <c r="A438">
        <v>68</v>
      </c>
      <c r="B438">
        <v>24.91</v>
      </c>
    </row>
    <row r="439" spans="1:2" x14ac:dyDescent="0.25">
      <c r="A439">
        <v>36</v>
      </c>
      <c r="B439">
        <v>13.19</v>
      </c>
    </row>
    <row r="440" spans="1:2" x14ac:dyDescent="0.25">
      <c r="A440">
        <v>158</v>
      </c>
      <c r="B440">
        <v>57.88</v>
      </c>
    </row>
    <row r="441" spans="1:2" x14ac:dyDescent="0.25">
      <c r="A441">
        <v>214</v>
      </c>
      <c r="B441">
        <v>78.39</v>
      </c>
    </row>
    <row r="442" spans="1:2" x14ac:dyDescent="0.25">
      <c r="A442">
        <v>58</v>
      </c>
      <c r="B442">
        <v>21.25</v>
      </c>
    </row>
    <row r="443" spans="1:2" x14ac:dyDescent="0.25">
      <c r="A443">
        <v>96</v>
      </c>
      <c r="B443">
        <v>35.159999999999997</v>
      </c>
    </row>
    <row r="444" spans="1:2" x14ac:dyDescent="0.25">
      <c r="A444">
        <v>84</v>
      </c>
      <c r="B444">
        <v>30.77</v>
      </c>
    </row>
    <row r="445" spans="1:2" x14ac:dyDescent="0.25">
      <c r="A445">
        <v>30</v>
      </c>
      <c r="B445">
        <v>10.99</v>
      </c>
    </row>
    <row r="446" spans="1:2" x14ac:dyDescent="0.25">
      <c r="A446">
        <v>192</v>
      </c>
      <c r="B446">
        <v>70.33</v>
      </c>
    </row>
    <row r="447" spans="1:2" x14ac:dyDescent="0.25">
      <c r="A447">
        <v>128</v>
      </c>
      <c r="B447">
        <v>46.89</v>
      </c>
    </row>
    <row r="448" spans="1:2" x14ac:dyDescent="0.25">
      <c r="A448">
        <v>140</v>
      </c>
      <c r="B448">
        <v>51.28</v>
      </c>
    </row>
    <row r="449" spans="1:2" x14ac:dyDescent="0.25">
      <c r="A449">
        <v>104</v>
      </c>
      <c r="B449">
        <v>38.1</v>
      </c>
    </row>
    <row r="450" spans="1:2" x14ac:dyDescent="0.25">
      <c r="A450">
        <v>80</v>
      </c>
      <c r="B450">
        <v>29.3</v>
      </c>
    </row>
    <row r="451" spans="1:2" x14ac:dyDescent="0.25">
      <c r="A451">
        <v>24</v>
      </c>
      <c r="B451">
        <v>8.7899999999999991</v>
      </c>
    </row>
    <row r="452" spans="1:2" x14ac:dyDescent="0.25">
      <c r="A452">
        <v>204</v>
      </c>
      <c r="B452">
        <v>74.73</v>
      </c>
    </row>
    <row r="453" spans="1:2" x14ac:dyDescent="0.25">
      <c r="A453">
        <v>104</v>
      </c>
      <c r="B453">
        <v>38.1</v>
      </c>
    </row>
    <row r="454" spans="1:2" x14ac:dyDescent="0.25">
      <c r="A454">
        <v>72</v>
      </c>
      <c r="B454">
        <v>26.37</v>
      </c>
    </row>
    <row r="455" spans="1:2" x14ac:dyDescent="0.25">
      <c r="A455">
        <v>88</v>
      </c>
      <c r="B455">
        <v>32.229999999999997</v>
      </c>
    </row>
    <row r="456" spans="1:2" x14ac:dyDescent="0.25">
      <c r="A456">
        <v>252</v>
      </c>
      <c r="B456">
        <v>92.31</v>
      </c>
    </row>
    <row r="457" spans="1:2" x14ac:dyDescent="0.25">
      <c r="A457">
        <v>258</v>
      </c>
      <c r="B457">
        <v>94.51</v>
      </c>
    </row>
    <row r="458" spans="1:2" x14ac:dyDescent="0.25">
      <c r="A458">
        <v>142</v>
      </c>
      <c r="B458">
        <v>52.01</v>
      </c>
    </row>
    <row r="459" spans="1:2" x14ac:dyDescent="0.25">
      <c r="A459">
        <v>214</v>
      </c>
      <c r="B459">
        <v>78.39</v>
      </c>
    </row>
    <row r="460" spans="1:2" x14ac:dyDescent="0.25">
      <c r="A460">
        <v>196</v>
      </c>
      <c r="B460">
        <v>55.84</v>
      </c>
    </row>
    <row r="461" spans="1:2" x14ac:dyDescent="0.25">
      <c r="A461">
        <v>280</v>
      </c>
      <c r="B461">
        <v>79.77</v>
      </c>
    </row>
    <row r="462" spans="1:2" x14ac:dyDescent="0.25">
      <c r="A462">
        <v>68</v>
      </c>
      <c r="B462">
        <v>19.37</v>
      </c>
    </row>
    <row r="463" spans="1:2" x14ac:dyDescent="0.25">
      <c r="A463">
        <v>26</v>
      </c>
      <c r="B463">
        <v>7.41</v>
      </c>
    </row>
    <row r="464" spans="1:2" x14ac:dyDescent="0.25">
      <c r="A464">
        <v>270</v>
      </c>
      <c r="B464">
        <v>76.92</v>
      </c>
    </row>
    <row r="465" spans="1:2" x14ac:dyDescent="0.25">
      <c r="A465">
        <v>76</v>
      </c>
      <c r="B465">
        <v>21.65</v>
      </c>
    </row>
    <row r="466" spans="1:2" x14ac:dyDescent="0.25">
      <c r="A466">
        <v>180</v>
      </c>
      <c r="B466">
        <v>51.28</v>
      </c>
    </row>
    <row r="467" spans="1:2" x14ac:dyDescent="0.25">
      <c r="A467">
        <v>136</v>
      </c>
      <c r="B467">
        <v>38.75</v>
      </c>
    </row>
    <row r="468" spans="1:2" x14ac:dyDescent="0.25">
      <c r="A468">
        <v>26</v>
      </c>
      <c r="B468">
        <v>7.41</v>
      </c>
    </row>
    <row r="469" spans="1:2" x14ac:dyDescent="0.25">
      <c r="A469">
        <v>24</v>
      </c>
      <c r="B469">
        <v>6.84</v>
      </c>
    </row>
    <row r="470" spans="1:2" x14ac:dyDescent="0.25">
      <c r="A470">
        <v>120</v>
      </c>
      <c r="B470">
        <v>34.19</v>
      </c>
    </row>
    <row r="471" spans="1:2" x14ac:dyDescent="0.25">
      <c r="A471">
        <v>232</v>
      </c>
      <c r="B471">
        <v>66.099999999999994</v>
      </c>
    </row>
    <row r="472" spans="1:2" x14ac:dyDescent="0.25">
      <c r="A472">
        <v>120</v>
      </c>
      <c r="B472">
        <v>34.19</v>
      </c>
    </row>
    <row r="473" spans="1:2" x14ac:dyDescent="0.25">
      <c r="A473">
        <v>102</v>
      </c>
      <c r="B473">
        <v>29.06</v>
      </c>
    </row>
    <row r="474" spans="1:2" x14ac:dyDescent="0.25">
      <c r="A474">
        <v>112</v>
      </c>
      <c r="B474">
        <v>31.91</v>
      </c>
    </row>
    <row r="475" spans="1:2" x14ac:dyDescent="0.25">
      <c r="A475">
        <v>180</v>
      </c>
      <c r="B475">
        <v>51.28</v>
      </c>
    </row>
    <row r="476" spans="1:2" x14ac:dyDescent="0.25">
      <c r="A476">
        <v>70</v>
      </c>
      <c r="B476">
        <v>19.940000000000001</v>
      </c>
    </row>
    <row r="477" spans="1:2" x14ac:dyDescent="0.25">
      <c r="A477">
        <v>70</v>
      </c>
      <c r="B477">
        <v>19.940000000000001</v>
      </c>
    </row>
    <row r="478" spans="1:2" x14ac:dyDescent="0.25">
      <c r="A478">
        <v>226</v>
      </c>
      <c r="B478">
        <v>64.39</v>
      </c>
    </row>
    <row r="479" spans="1:2" x14ac:dyDescent="0.25">
      <c r="A479">
        <v>10</v>
      </c>
      <c r="B479">
        <v>2.85</v>
      </c>
    </row>
    <row r="480" spans="1:2" x14ac:dyDescent="0.25">
      <c r="A480">
        <v>102</v>
      </c>
      <c r="B480">
        <v>29.06</v>
      </c>
    </row>
    <row r="481" spans="1:2" x14ac:dyDescent="0.25">
      <c r="A481">
        <v>212</v>
      </c>
      <c r="B481">
        <v>60.4</v>
      </c>
    </row>
    <row r="482" spans="1:2" x14ac:dyDescent="0.25">
      <c r="A482">
        <v>138</v>
      </c>
      <c r="B482">
        <v>39.32</v>
      </c>
    </row>
    <row r="483" spans="1:2" x14ac:dyDescent="0.25">
      <c r="A483">
        <v>44</v>
      </c>
      <c r="B483">
        <v>12.54</v>
      </c>
    </row>
    <row r="484" spans="1:2" x14ac:dyDescent="0.25">
      <c r="A484">
        <v>74</v>
      </c>
      <c r="B484">
        <v>21.08</v>
      </c>
    </row>
    <row r="485" spans="1:2" x14ac:dyDescent="0.25">
      <c r="A485">
        <v>44</v>
      </c>
      <c r="B485">
        <v>12.54</v>
      </c>
    </row>
    <row r="486" spans="1:2" x14ac:dyDescent="0.25">
      <c r="A486">
        <v>64</v>
      </c>
      <c r="B486">
        <v>18.23</v>
      </c>
    </row>
    <row r="487" spans="1:2" x14ac:dyDescent="0.25">
      <c r="A487">
        <v>80</v>
      </c>
      <c r="B487">
        <v>22.79</v>
      </c>
    </row>
    <row r="488" spans="1:2" x14ac:dyDescent="0.25">
      <c r="A488">
        <v>160</v>
      </c>
      <c r="B488">
        <v>45.58</v>
      </c>
    </row>
    <row r="489" spans="1:2" x14ac:dyDescent="0.25">
      <c r="A489">
        <v>52</v>
      </c>
      <c r="B489">
        <v>14.81</v>
      </c>
    </row>
    <row r="490" spans="1:2" x14ac:dyDescent="0.25">
      <c r="A490">
        <v>0</v>
      </c>
      <c r="B490">
        <v>0</v>
      </c>
    </row>
    <row r="491" spans="1:2" x14ac:dyDescent="0.25">
      <c r="A491">
        <v>320</v>
      </c>
      <c r="B491">
        <v>91.17</v>
      </c>
    </row>
    <row r="492" spans="1:2" x14ac:dyDescent="0.25">
      <c r="A492">
        <v>64</v>
      </c>
      <c r="B492">
        <v>18.23</v>
      </c>
    </row>
    <row r="493" spans="1:2" x14ac:dyDescent="0.25">
      <c r="A493">
        <v>112</v>
      </c>
      <c r="B493">
        <v>34.57</v>
      </c>
    </row>
    <row r="494" spans="1:2" x14ac:dyDescent="0.25">
      <c r="A494">
        <v>4</v>
      </c>
      <c r="B494">
        <v>1.23</v>
      </c>
    </row>
    <row r="495" spans="1:2" x14ac:dyDescent="0.25">
      <c r="A495">
        <v>102</v>
      </c>
      <c r="B495">
        <v>31.48</v>
      </c>
    </row>
    <row r="496" spans="1:2" x14ac:dyDescent="0.25">
      <c r="A496">
        <v>168</v>
      </c>
      <c r="B496">
        <v>51.85</v>
      </c>
    </row>
    <row r="497" spans="1:2" x14ac:dyDescent="0.25">
      <c r="A497">
        <v>2</v>
      </c>
      <c r="B497">
        <v>0.62</v>
      </c>
    </row>
    <row r="498" spans="1:2" x14ac:dyDescent="0.25">
      <c r="A498">
        <v>18</v>
      </c>
      <c r="B498">
        <v>5.56</v>
      </c>
    </row>
    <row r="499" spans="1:2" x14ac:dyDescent="0.25">
      <c r="A499">
        <v>54</v>
      </c>
      <c r="B499">
        <v>16.670000000000002</v>
      </c>
    </row>
    <row r="500" spans="1:2" x14ac:dyDescent="0.25">
      <c r="A500">
        <v>0</v>
      </c>
      <c r="B500">
        <v>0</v>
      </c>
    </row>
    <row r="501" spans="1:2" x14ac:dyDescent="0.25">
      <c r="A501">
        <v>8</v>
      </c>
      <c r="B501">
        <v>2.4700000000000002</v>
      </c>
    </row>
    <row r="502" spans="1:2" x14ac:dyDescent="0.25">
      <c r="A502">
        <v>260</v>
      </c>
      <c r="B502">
        <v>80.25</v>
      </c>
    </row>
    <row r="503" spans="1:2" x14ac:dyDescent="0.25">
      <c r="A503">
        <v>22</v>
      </c>
      <c r="B503">
        <v>6.79</v>
      </c>
    </row>
    <row r="504" spans="1:2" x14ac:dyDescent="0.25">
      <c r="A504">
        <v>28</v>
      </c>
      <c r="B504">
        <v>8.64</v>
      </c>
    </row>
    <row r="505" spans="1:2" x14ac:dyDescent="0.25">
      <c r="A505">
        <v>4</v>
      </c>
      <c r="B505">
        <v>1.23</v>
      </c>
    </row>
    <row r="506" spans="1:2" x14ac:dyDescent="0.25">
      <c r="A506">
        <v>70</v>
      </c>
      <c r="B506">
        <v>21.6</v>
      </c>
    </row>
    <row r="507" spans="1:2" x14ac:dyDescent="0.25">
      <c r="A507">
        <v>0</v>
      </c>
      <c r="B507">
        <v>0</v>
      </c>
    </row>
    <row r="508" spans="1:2" x14ac:dyDescent="0.25">
      <c r="A508">
        <v>118</v>
      </c>
      <c r="B508">
        <v>36.42</v>
      </c>
    </row>
    <row r="509" spans="1:2" x14ac:dyDescent="0.25">
      <c r="A509">
        <v>198</v>
      </c>
      <c r="B509">
        <v>61.11</v>
      </c>
    </row>
    <row r="510" spans="1:2" x14ac:dyDescent="0.25">
      <c r="A510">
        <v>100</v>
      </c>
      <c r="B510">
        <v>30.86</v>
      </c>
    </row>
    <row r="511" spans="1:2" x14ac:dyDescent="0.25">
      <c r="A511">
        <v>36</v>
      </c>
      <c r="B511">
        <v>11.11</v>
      </c>
    </row>
    <row r="512" spans="1:2" x14ac:dyDescent="0.25">
      <c r="A512">
        <v>26</v>
      </c>
      <c r="B512">
        <v>8.02</v>
      </c>
    </row>
    <row r="513" spans="1:2" x14ac:dyDescent="0.25">
      <c r="A513">
        <v>212</v>
      </c>
      <c r="B513">
        <v>65.430000000000007</v>
      </c>
    </row>
    <row r="514" spans="1:2" x14ac:dyDescent="0.25">
      <c r="A514">
        <v>36</v>
      </c>
      <c r="B514">
        <v>11.11</v>
      </c>
    </row>
    <row r="515" spans="1:2" x14ac:dyDescent="0.25">
      <c r="A515">
        <v>8</v>
      </c>
      <c r="B515">
        <v>2.4700000000000002</v>
      </c>
    </row>
    <row r="516" spans="1:2" x14ac:dyDescent="0.25">
      <c r="A516">
        <v>30</v>
      </c>
      <c r="B516">
        <v>9.26</v>
      </c>
    </row>
    <row r="517" spans="1:2" x14ac:dyDescent="0.25">
      <c r="A517">
        <v>192</v>
      </c>
      <c r="B517">
        <v>59.26</v>
      </c>
    </row>
    <row r="518" spans="1:2" x14ac:dyDescent="0.25">
      <c r="A518">
        <v>18</v>
      </c>
      <c r="B518">
        <v>4.95</v>
      </c>
    </row>
    <row r="519" spans="1:2" x14ac:dyDescent="0.25">
      <c r="A519">
        <v>102</v>
      </c>
      <c r="B519">
        <v>28.02</v>
      </c>
    </row>
    <row r="520" spans="1:2" x14ac:dyDescent="0.25">
      <c r="A520">
        <v>34</v>
      </c>
      <c r="B520">
        <v>9.34</v>
      </c>
    </row>
    <row r="521" spans="1:2" x14ac:dyDescent="0.25">
      <c r="A521">
        <v>28</v>
      </c>
      <c r="B521">
        <v>7.69</v>
      </c>
    </row>
    <row r="522" spans="1:2" x14ac:dyDescent="0.25">
      <c r="A522">
        <v>16</v>
      </c>
      <c r="B522">
        <v>4.4000000000000004</v>
      </c>
    </row>
    <row r="523" spans="1:2" x14ac:dyDescent="0.25">
      <c r="A523">
        <v>52</v>
      </c>
      <c r="B523">
        <v>14.29</v>
      </c>
    </row>
    <row r="524" spans="1:2" x14ac:dyDescent="0.25">
      <c r="A524">
        <v>4</v>
      </c>
      <c r="B524">
        <v>1.1000000000000001</v>
      </c>
    </row>
    <row r="525" spans="1:2" x14ac:dyDescent="0.25">
      <c r="A525">
        <v>108</v>
      </c>
      <c r="B525">
        <v>29.67</v>
      </c>
    </row>
    <row r="526" spans="1:2" x14ac:dyDescent="0.25">
      <c r="A526">
        <v>68</v>
      </c>
      <c r="B526">
        <v>18.68</v>
      </c>
    </row>
    <row r="527" spans="1:2" x14ac:dyDescent="0.25">
      <c r="A527">
        <v>84</v>
      </c>
      <c r="B527">
        <v>23.08</v>
      </c>
    </row>
    <row r="528" spans="1:2" x14ac:dyDescent="0.25">
      <c r="A528">
        <v>78</v>
      </c>
      <c r="B528">
        <v>21.43</v>
      </c>
    </row>
    <row r="529" spans="1:2" x14ac:dyDescent="0.25">
      <c r="A529">
        <v>172</v>
      </c>
      <c r="B529">
        <v>47.25</v>
      </c>
    </row>
    <row r="530" spans="1:2" x14ac:dyDescent="0.25">
      <c r="A530">
        <v>2</v>
      </c>
      <c r="B530">
        <v>0.55000000000000004</v>
      </c>
    </row>
    <row r="531" spans="1:2" x14ac:dyDescent="0.25">
      <c r="A531">
        <v>10</v>
      </c>
      <c r="B531">
        <v>3.85</v>
      </c>
    </row>
    <row r="532" spans="1:2" x14ac:dyDescent="0.25">
      <c r="A532">
        <v>20</v>
      </c>
      <c r="B532">
        <v>7.69</v>
      </c>
    </row>
    <row r="533" spans="1:2" x14ac:dyDescent="0.25">
      <c r="A533">
        <v>132</v>
      </c>
      <c r="B533">
        <v>50.77</v>
      </c>
    </row>
    <row r="534" spans="1:2" x14ac:dyDescent="0.25">
      <c r="A534">
        <v>0</v>
      </c>
      <c r="B534">
        <v>0</v>
      </c>
    </row>
    <row r="535" spans="1:2" x14ac:dyDescent="0.25">
      <c r="A535">
        <v>16</v>
      </c>
      <c r="B535">
        <v>6.15</v>
      </c>
    </row>
    <row r="536" spans="1:2" x14ac:dyDescent="0.25">
      <c r="A536">
        <v>0</v>
      </c>
      <c r="B536">
        <v>0</v>
      </c>
    </row>
    <row r="537" spans="1:2" x14ac:dyDescent="0.25">
      <c r="A537">
        <v>8</v>
      </c>
      <c r="B537">
        <v>3.08</v>
      </c>
    </row>
    <row r="538" spans="1:2" x14ac:dyDescent="0.25">
      <c r="A538">
        <v>2</v>
      </c>
      <c r="B538">
        <v>0.77</v>
      </c>
    </row>
    <row r="539" spans="1:2" x14ac:dyDescent="0.25">
      <c r="A539">
        <v>38</v>
      </c>
      <c r="B539">
        <v>14.62</v>
      </c>
    </row>
    <row r="540" spans="1:2" x14ac:dyDescent="0.25">
      <c r="A540">
        <v>12</v>
      </c>
      <c r="B540">
        <v>4.62</v>
      </c>
    </row>
    <row r="541" spans="1:2" x14ac:dyDescent="0.25">
      <c r="A541">
        <v>50</v>
      </c>
      <c r="B541">
        <v>19.23</v>
      </c>
    </row>
    <row r="542" spans="1:2" x14ac:dyDescent="0.25">
      <c r="A542">
        <v>0</v>
      </c>
      <c r="B542">
        <v>0</v>
      </c>
    </row>
    <row r="543" spans="1:2" x14ac:dyDescent="0.25">
      <c r="A543">
        <v>16</v>
      </c>
      <c r="B543">
        <v>6.15</v>
      </c>
    </row>
    <row r="544" spans="1:2" x14ac:dyDescent="0.25">
      <c r="A544">
        <v>164</v>
      </c>
      <c r="B544">
        <v>63.08</v>
      </c>
    </row>
    <row r="545" spans="1:2" x14ac:dyDescent="0.25">
      <c r="A545">
        <v>242</v>
      </c>
      <c r="B545">
        <v>93.08</v>
      </c>
    </row>
    <row r="546" spans="1:2" x14ac:dyDescent="0.25">
      <c r="A546">
        <v>0</v>
      </c>
      <c r="B546">
        <v>0</v>
      </c>
    </row>
    <row r="547" spans="1:2" x14ac:dyDescent="0.25">
      <c r="A547">
        <v>60</v>
      </c>
      <c r="B547">
        <v>23.08</v>
      </c>
    </row>
    <row r="548" spans="1:2" x14ac:dyDescent="0.25">
      <c r="A548">
        <v>104</v>
      </c>
      <c r="B548">
        <v>40</v>
      </c>
    </row>
    <row r="549" spans="1:2" x14ac:dyDescent="0.25">
      <c r="A549">
        <v>78</v>
      </c>
      <c r="B549">
        <v>30</v>
      </c>
    </row>
    <row r="550" spans="1:2" x14ac:dyDescent="0.25">
      <c r="A550">
        <v>12</v>
      </c>
      <c r="B550">
        <v>4.62</v>
      </c>
    </row>
    <row r="551" spans="1:2" x14ac:dyDescent="0.25">
      <c r="A551">
        <v>38</v>
      </c>
      <c r="B551">
        <v>14.62</v>
      </c>
    </row>
    <row r="552" spans="1:2" x14ac:dyDescent="0.25">
      <c r="A552">
        <v>36</v>
      </c>
      <c r="B552">
        <v>13.85</v>
      </c>
    </row>
    <row r="553" spans="1:2" x14ac:dyDescent="0.25">
      <c r="A553">
        <v>42</v>
      </c>
      <c r="B553">
        <v>16.149999999999999</v>
      </c>
    </row>
    <row r="554" spans="1:2" x14ac:dyDescent="0.25">
      <c r="A554">
        <v>8</v>
      </c>
      <c r="B554">
        <v>3.08</v>
      </c>
    </row>
    <row r="555" spans="1:2" x14ac:dyDescent="0.25">
      <c r="A555">
        <v>80</v>
      </c>
      <c r="B555">
        <v>30.77</v>
      </c>
    </row>
    <row r="556" spans="1:2" x14ac:dyDescent="0.25">
      <c r="A556">
        <v>60</v>
      </c>
      <c r="B556">
        <v>22.99</v>
      </c>
    </row>
    <row r="557" spans="1:2" x14ac:dyDescent="0.25">
      <c r="A557">
        <v>22</v>
      </c>
      <c r="B557">
        <v>8.43</v>
      </c>
    </row>
    <row r="558" spans="1:2" x14ac:dyDescent="0.25">
      <c r="A558">
        <v>106</v>
      </c>
      <c r="B558">
        <v>40.61</v>
      </c>
    </row>
    <row r="559" spans="1:2" x14ac:dyDescent="0.25">
      <c r="A559">
        <v>138</v>
      </c>
      <c r="B559">
        <v>52.87</v>
      </c>
    </row>
    <row r="560" spans="1:2" x14ac:dyDescent="0.25">
      <c r="A560">
        <v>26</v>
      </c>
      <c r="B560">
        <v>9.9600000000000009</v>
      </c>
    </row>
    <row r="561" spans="1:2" x14ac:dyDescent="0.25">
      <c r="A561">
        <v>40</v>
      </c>
      <c r="B561">
        <v>15.33</v>
      </c>
    </row>
    <row r="562" spans="1:2" x14ac:dyDescent="0.25">
      <c r="A562">
        <v>190</v>
      </c>
      <c r="B562">
        <v>72.8</v>
      </c>
    </row>
    <row r="563" spans="1:2" x14ac:dyDescent="0.25">
      <c r="A563">
        <v>22</v>
      </c>
      <c r="B563">
        <v>8.43</v>
      </c>
    </row>
    <row r="564" spans="1:2" x14ac:dyDescent="0.25">
      <c r="A564">
        <v>14</v>
      </c>
      <c r="B564">
        <v>5.36</v>
      </c>
    </row>
    <row r="565" spans="1:2" x14ac:dyDescent="0.25">
      <c r="A565">
        <v>44</v>
      </c>
      <c r="B565">
        <v>16.86</v>
      </c>
    </row>
    <row r="566" spans="1:2" x14ac:dyDescent="0.25">
      <c r="A566">
        <v>0</v>
      </c>
      <c r="B566">
        <v>0</v>
      </c>
    </row>
    <row r="567" spans="1:2" x14ac:dyDescent="0.25">
      <c r="A567">
        <v>72</v>
      </c>
      <c r="B567">
        <v>27.59</v>
      </c>
    </row>
    <row r="568" spans="1:2" x14ac:dyDescent="0.25">
      <c r="A568">
        <v>118</v>
      </c>
      <c r="B568">
        <v>45.21</v>
      </c>
    </row>
    <row r="569" spans="1:2" x14ac:dyDescent="0.25">
      <c r="A569">
        <v>28</v>
      </c>
      <c r="B569">
        <v>10.73</v>
      </c>
    </row>
    <row r="570" spans="1:2" x14ac:dyDescent="0.25">
      <c r="A570">
        <v>16</v>
      </c>
      <c r="B570">
        <v>6.13</v>
      </c>
    </row>
    <row r="571" spans="1:2" x14ac:dyDescent="0.25">
      <c r="A571">
        <v>22</v>
      </c>
      <c r="B571">
        <v>5.84</v>
      </c>
    </row>
    <row r="572" spans="1:2" x14ac:dyDescent="0.25">
      <c r="A572">
        <v>14</v>
      </c>
      <c r="B572">
        <v>3.71</v>
      </c>
    </row>
    <row r="573" spans="1:2" x14ac:dyDescent="0.25">
      <c r="A573">
        <v>8</v>
      </c>
      <c r="B573">
        <v>2.12</v>
      </c>
    </row>
    <row r="574" spans="1:2" x14ac:dyDescent="0.25">
      <c r="A574">
        <v>60</v>
      </c>
      <c r="B574">
        <v>15.92</v>
      </c>
    </row>
    <row r="575" spans="1:2" x14ac:dyDescent="0.25">
      <c r="A575">
        <v>110</v>
      </c>
      <c r="B575">
        <v>29.18</v>
      </c>
    </row>
    <row r="576" spans="1:2" x14ac:dyDescent="0.25">
      <c r="A576">
        <v>96</v>
      </c>
      <c r="B576">
        <v>25.46</v>
      </c>
    </row>
    <row r="577" spans="1:2" x14ac:dyDescent="0.25">
      <c r="A577">
        <v>86</v>
      </c>
      <c r="B577">
        <v>22.81</v>
      </c>
    </row>
    <row r="578" spans="1:2" x14ac:dyDescent="0.25">
      <c r="A578">
        <v>20</v>
      </c>
      <c r="B578">
        <v>5.31</v>
      </c>
    </row>
    <row r="579" spans="1:2" x14ac:dyDescent="0.25">
      <c r="A579">
        <v>20</v>
      </c>
      <c r="B579">
        <v>5.31</v>
      </c>
    </row>
    <row r="580" spans="1:2" x14ac:dyDescent="0.25">
      <c r="A580">
        <v>32</v>
      </c>
      <c r="B580">
        <v>8.49</v>
      </c>
    </row>
    <row r="581" spans="1:2" x14ac:dyDescent="0.25">
      <c r="A581">
        <v>112</v>
      </c>
      <c r="B581">
        <v>29.71</v>
      </c>
    </row>
    <row r="582" spans="1:2" x14ac:dyDescent="0.25">
      <c r="A582">
        <v>0</v>
      </c>
      <c r="B582">
        <v>0</v>
      </c>
    </row>
    <row r="583" spans="1:2" x14ac:dyDescent="0.25">
      <c r="A583">
        <v>90</v>
      </c>
      <c r="B583">
        <v>23.87</v>
      </c>
    </row>
    <row r="584" spans="1:2" x14ac:dyDescent="0.25">
      <c r="A584">
        <v>40</v>
      </c>
      <c r="B584">
        <v>10.61</v>
      </c>
    </row>
    <row r="585" spans="1:2" x14ac:dyDescent="0.25">
      <c r="A585">
        <v>90</v>
      </c>
      <c r="B585">
        <v>23.87</v>
      </c>
    </row>
    <row r="586" spans="1:2" x14ac:dyDescent="0.25">
      <c r="A586">
        <v>50</v>
      </c>
      <c r="B586">
        <v>25</v>
      </c>
    </row>
    <row r="587" spans="1:2" x14ac:dyDescent="0.25">
      <c r="A587">
        <v>38</v>
      </c>
      <c r="B587">
        <v>19</v>
      </c>
    </row>
    <row r="588" spans="1:2" x14ac:dyDescent="0.25">
      <c r="A588">
        <v>132</v>
      </c>
      <c r="B588">
        <v>66</v>
      </c>
    </row>
    <row r="589" spans="1:2" x14ac:dyDescent="0.25">
      <c r="A589">
        <v>100</v>
      </c>
      <c r="B589">
        <v>50</v>
      </c>
    </row>
    <row r="590" spans="1:2" x14ac:dyDescent="0.25">
      <c r="A590">
        <v>42</v>
      </c>
      <c r="B590">
        <v>21</v>
      </c>
    </row>
    <row r="591" spans="1:2" x14ac:dyDescent="0.25">
      <c r="A591">
        <v>104</v>
      </c>
      <c r="B591">
        <v>52</v>
      </c>
    </row>
    <row r="592" spans="1:2" x14ac:dyDescent="0.25">
      <c r="A592">
        <v>136</v>
      </c>
      <c r="B592">
        <v>68</v>
      </c>
    </row>
    <row r="593" spans="1:2" x14ac:dyDescent="0.25">
      <c r="A593">
        <v>82</v>
      </c>
      <c r="B593">
        <v>41</v>
      </c>
    </row>
    <row r="594" spans="1:2" x14ac:dyDescent="0.25">
      <c r="A594">
        <v>48</v>
      </c>
      <c r="B594">
        <v>24</v>
      </c>
    </row>
    <row r="595" spans="1:2" x14ac:dyDescent="0.25">
      <c r="A595">
        <v>84</v>
      </c>
      <c r="B595">
        <v>42</v>
      </c>
    </row>
    <row r="596" spans="1:2" x14ac:dyDescent="0.25">
      <c r="A596">
        <v>42</v>
      </c>
      <c r="B596">
        <v>21</v>
      </c>
    </row>
    <row r="597" spans="1:2" x14ac:dyDescent="0.25">
      <c r="A597">
        <v>36</v>
      </c>
      <c r="B597">
        <v>18</v>
      </c>
    </row>
    <row r="598" spans="1:2" x14ac:dyDescent="0.25">
      <c r="A598">
        <v>24</v>
      </c>
      <c r="B598">
        <v>12</v>
      </c>
    </row>
    <row r="599" spans="1:2" x14ac:dyDescent="0.25">
      <c r="A599">
        <v>138</v>
      </c>
      <c r="B599">
        <v>69</v>
      </c>
    </row>
    <row r="600" spans="1:2" x14ac:dyDescent="0.25">
      <c r="A600">
        <v>72</v>
      </c>
      <c r="B600">
        <v>36</v>
      </c>
    </row>
    <row r="601" spans="1:2" x14ac:dyDescent="0.25">
      <c r="A601">
        <v>92</v>
      </c>
      <c r="B601">
        <v>46</v>
      </c>
    </row>
    <row r="602" spans="1:2" x14ac:dyDescent="0.25">
      <c r="A602">
        <v>184</v>
      </c>
      <c r="B602">
        <v>92</v>
      </c>
    </row>
    <row r="603" spans="1:2" x14ac:dyDescent="0.25">
      <c r="A603">
        <v>18</v>
      </c>
      <c r="B603">
        <v>6.21</v>
      </c>
    </row>
    <row r="604" spans="1:2" x14ac:dyDescent="0.25">
      <c r="A604">
        <v>82</v>
      </c>
      <c r="B604">
        <v>28.28</v>
      </c>
    </row>
    <row r="605" spans="1:2" x14ac:dyDescent="0.25">
      <c r="A605">
        <v>134</v>
      </c>
      <c r="B605">
        <v>46.21</v>
      </c>
    </row>
    <row r="606" spans="1:2" x14ac:dyDescent="0.25">
      <c r="A606">
        <v>34</v>
      </c>
      <c r="B606">
        <v>11.72</v>
      </c>
    </row>
    <row r="607" spans="1:2" x14ac:dyDescent="0.25">
      <c r="A607">
        <v>136</v>
      </c>
      <c r="B607">
        <v>46.9</v>
      </c>
    </row>
    <row r="608" spans="1:2" x14ac:dyDescent="0.25">
      <c r="A608">
        <v>20</v>
      </c>
      <c r="B608">
        <v>6.9</v>
      </c>
    </row>
    <row r="609" spans="1:2" x14ac:dyDescent="0.25">
      <c r="A609">
        <v>22</v>
      </c>
      <c r="B609">
        <v>7.59</v>
      </c>
    </row>
    <row r="610" spans="1:2" x14ac:dyDescent="0.25">
      <c r="A610">
        <v>98</v>
      </c>
      <c r="B610">
        <v>33.79</v>
      </c>
    </row>
    <row r="611" spans="1:2" x14ac:dyDescent="0.25">
      <c r="A611">
        <v>4</v>
      </c>
      <c r="B611">
        <v>1.38</v>
      </c>
    </row>
    <row r="612" spans="1:2" x14ac:dyDescent="0.25">
      <c r="A612">
        <v>30</v>
      </c>
      <c r="B612">
        <v>10.34</v>
      </c>
    </row>
    <row r="613" spans="1:2" x14ac:dyDescent="0.25">
      <c r="A613">
        <v>30</v>
      </c>
      <c r="B613">
        <v>10.34</v>
      </c>
    </row>
    <row r="614" spans="1:2" x14ac:dyDescent="0.25">
      <c r="A614">
        <v>42</v>
      </c>
      <c r="B614">
        <v>14.48</v>
      </c>
    </row>
    <row r="615" spans="1:2" x14ac:dyDescent="0.25">
      <c r="A615">
        <v>24</v>
      </c>
      <c r="B615">
        <v>8.2799999999999994</v>
      </c>
    </row>
    <row r="616" spans="1:2" x14ac:dyDescent="0.25">
      <c r="A616">
        <v>32</v>
      </c>
      <c r="B616">
        <v>11.03</v>
      </c>
    </row>
    <row r="617" spans="1:2" x14ac:dyDescent="0.25">
      <c r="A617">
        <v>227</v>
      </c>
      <c r="B617">
        <v>78.28</v>
      </c>
    </row>
    <row r="618" spans="1:2" x14ac:dyDescent="0.25">
      <c r="A618">
        <v>58</v>
      </c>
      <c r="B618">
        <v>20</v>
      </c>
    </row>
    <row r="619" spans="1:2" x14ac:dyDescent="0.25">
      <c r="A619">
        <v>142</v>
      </c>
      <c r="B619">
        <v>48.97</v>
      </c>
    </row>
    <row r="620" spans="1:2" x14ac:dyDescent="0.25">
      <c r="A620">
        <v>162</v>
      </c>
      <c r="B620">
        <v>55.86</v>
      </c>
    </row>
    <row r="621" spans="1:2" x14ac:dyDescent="0.25">
      <c r="A621">
        <v>160</v>
      </c>
      <c r="B621">
        <v>55.17</v>
      </c>
    </row>
    <row r="622" spans="1:2" x14ac:dyDescent="0.25">
      <c r="A622">
        <v>102</v>
      </c>
      <c r="B622">
        <v>31.97</v>
      </c>
    </row>
    <row r="623" spans="1:2" x14ac:dyDescent="0.25">
      <c r="A623">
        <v>0</v>
      </c>
      <c r="B623">
        <v>0</v>
      </c>
    </row>
    <row r="624" spans="1:2" x14ac:dyDescent="0.25">
      <c r="A624">
        <v>0</v>
      </c>
      <c r="B624">
        <v>0</v>
      </c>
    </row>
    <row r="625" spans="1:2" x14ac:dyDescent="0.25">
      <c r="A625">
        <v>18</v>
      </c>
      <c r="B625">
        <v>5.64</v>
      </c>
    </row>
    <row r="626" spans="1:2" x14ac:dyDescent="0.25">
      <c r="A626">
        <v>86</v>
      </c>
      <c r="B626">
        <v>26.96</v>
      </c>
    </row>
    <row r="627" spans="1:2" x14ac:dyDescent="0.25">
      <c r="A627">
        <v>4</v>
      </c>
      <c r="B627">
        <v>1.25</v>
      </c>
    </row>
    <row r="628" spans="1:2" x14ac:dyDescent="0.25">
      <c r="A628">
        <v>194</v>
      </c>
      <c r="B628">
        <v>60.82</v>
      </c>
    </row>
    <row r="629" spans="1:2" x14ac:dyDescent="0.25">
      <c r="A629">
        <v>96</v>
      </c>
      <c r="B629">
        <v>30.09</v>
      </c>
    </row>
    <row r="630" spans="1:2" x14ac:dyDescent="0.25">
      <c r="A630">
        <v>12</v>
      </c>
      <c r="B630">
        <v>3.76</v>
      </c>
    </row>
    <row r="631" spans="1:2" x14ac:dyDescent="0.25">
      <c r="A631">
        <v>126</v>
      </c>
      <c r="B631">
        <v>39.5</v>
      </c>
    </row>
    <row r="632" spans="1:2" x14ac:dyDescent="0.25">
      <c r="A632">
        <v>206</v>
      </c>
      <c r="B632">
        <v>64.58</v>
      </c>
    </row>
    <row r="633" spans="1:2" x14ac:dyDescent="0.25">
      <c r="A633">
        <v>308</v>
      </c>
      <c r="B633">
        <v>96.55</v>
      </c>
    </row>
    <row r="634" spans="1:2" x14ac:dyDescent="0.25">
      <c r="A634">
        <v>2</v>
      </c>
      <c r="B634">
        <v>0.63</v>
      </c>
    </row>
    <row r="635" spans="1:2" x14ac:dyDescent="0.25">
      <c r="A635">
        <v>226</v>
      </c>
      <c r="B635">
        <v>70.849999999999994</v>
      </c>
    </row>
    <row r="636" spans="1:2" x14ac:dyDescent="0.25">
      <c r="A636">
        <v>0</v>
      </c>
      <c r="B636">
        <v>0</v>
      </c>
    </row>
    <row r="637" spans="1:2" x14ac:dyDescent="0.25">
      <c r="A637">
        <v>12</v>
      </c>
      <c r="B637">
        <v>9.3800000000000008</v>
      </c>
    </row>
    <row r="638" spans="1:2" x14ac:dyDescent="0.25">
      <c r="A638">
        <v>2</v>
      </c>
      <c r="B638">
        <v>1.56</v>
      </c>
    </row>
    <row r="639" spans="1:2" x14ac:dyDescent="0.25">
      <c r="A639">
        <v>20</v>
      </c>
      <c r="B639">
        <v>15.63</v>
      </c>
    </row>
    <row r="640" spans="1:2" x14ac:dyDescent="0.25">
      <c r="A640">
        <v>66</v>
      </c>
      <c r="B640">
        <v>51.56</v>
      </c>
    </row>
    <row r="641" spans="1:2" x14ac:dyDescent="0.25">
      <c r="A641">
        <v>116</v>
      </c>
      <c r="B641">
        <v>90.63</v>
      </c>
    </row>
    <row r="642" spans="1:2" x14ac:dyDescent="0.25">
      <c r="A642">
        <v>24</v>
      </c>
      <c r="B642">
        <v>18.75</v>
      </c>
    </row>
    <row r="643" spans="1:2" x14ac:dyDescent="0.25">
      <c r="A643">
        <v>72</v>
      </c>
      <c r="B643">
        <v>56.25</v>
      </c>
    </row>
    <row r="644" spans="1:2" x14ac:dyDescent="0.25">
      <c r="A644">
        <v>46</v>
      </c>
      <c r="B644">
        <v>35.94</v>
      </c>
    </row>
    <row r="645" spans="1:2" x14ac:dyDescent="0.25">
      <c r="A645">
        <v>4</v>
      </c>
      <c r="B645">
        <v>3.13</v>
      </c>
    </row>
    <row r="646" spans="1:2" x14ac:dyDescent="0.25">
      <c r="A646">
        <v>4</v>
      </c>
      <c r="B646">
        <v>3.13</v>
      </c>
    </row>
    <row r="647" spans="1:2" x14ac:dyDescent="0.25">
      <c r="A647">
        <v>18</v>
      </c>
      <c r="B647">
        <v>14.06</v>
      </c>
    </row>
    <row r="648" spans="1:2" x14ac:dyDescent="0.25">
      <c r="A648">
        <v>38</v>
      </c>
      <c r="B648">
        <v>29.69</v>
      </c>
    </row>
    <row r="649" spans="1:2" x14ac:dyDescent="0.25">
      <c r="A649">
        <v>2</v>
      </c>
      <c r="B649">
        <v>1.56</v>
      </c>
    </row>
    <row r="650" spans="1:2" x14ac:dyDescent="0.25">
      <c r="A650">
        <v>0</v>
      </c>
      <c r="B650">
        <v>0</v>
      </c>
    </row>
    <row r="651" spans="1:2" x14ac:dyDescent="0.25">
      <c r="A651">
        <v>18</v>
      </c>
      <c r="B651">
        <v>14.06</v>
      </c>
    </row>
    <row r="652" spans="1:2" x14ac:dyDescent="0.25">
      <c r="A652">
        <v>112</v>
      </c>
      <c r="B652">
        <v>87.5</v>
      </c>
    </row>
    <row r="653" spans="1:2" x14ac:dyDescent="0.25">
      <c r="A653">
        <v>56</v>
      </c>
      <c r="B653">
        <v>43.75</v>
      </c>
    </row>
    <row r="654" spans="1:2" x14ac:dyDescent="0.25">
      <c r="A654">
        <v>16</v>
      </c>
      <c r="B654">
        <v>12.5</v>
      </c>
    </row>
    <row r="655" spans="1:2" x14ac:dyDescent="0.25">
      <c r="A655">
        <v>14</v>
      </c>
      <c r="B655">
        <v>10.94</v>
      </c>
    </row>
    <row r="656" spans="1:2" x14ac:dyDescent="0.25">
      <c r="A656">
        <v>20</v>
      </c>
      <c r="B656">
        <v>15.63</v>
      </c>
    </row>
    <row r="657" spans="1:2" x14ac:dyDescent="0.25">
      <c r="A657">
        <v>64</v>
      </c>
      <c r="B657">
        <v>50</v>
      </c>
    </row>
    <row r="658" spans="1:2" x14ac:dyDescent="0.25">
      <c r="A658">
        <v>0</v>
      </c>
      <c r="B658">
        <v>0</v>
      </c>
    </row>
    <row r="659" spans="1:2" x14ac:dyDescent="0.25">
      <c r="A659">
        <v>14</v>
      </c>
      <c r="B659">
        <v>10.94</v>
      </c>
    </row>
    <row r="660" spans="1:2" x14ac:dyDescent="0.25">
      <c r="A660">
        <v>0</v>
      </c>
      <c r="B660">
        <v>0</v>
      </c>
    </row>
    <row r="661" spans="1:2" x14ac:dyDescent="0.25">
      <c r="A661">
        <v>30</v>
      </c>
      <c r="B661">
        <v>23.44</v>
      </c>
    </row>
    <row r="662" spans="1:2" x14ac:dyDescent="0.25">
      <c r="A662">
        <v>56</v>
      </c>
      <c r="B662">
        <v>43.75</v>
      </c>
    </row>
    <row r="663" spans="1:2" x14ac:dyDescent="0.25">
      <c r="A663">
        <v>78</v>
      </c>
      <c r="B663">
        <v>60.94</v>
      </c>
    </row>
    <row r="664" spans="1:2" x14ac:dyDescent="0.25">
      <c r="A664">
        <v>24</v>
      </c>
      <c r="B664">
        <v>18.75</v>
      </c>
    </row>
    <row r="665" spans="1:2" x14ac:dyDescent="0.25">
      <c r="A665">
        <v>48</v>
      </c>
      <c r="B665">
        <v>37.5</v>
      </c>
    </row>
    <row r="666" spans="1:2" x14ac:dyDescent="0.25">
      <c r="A666">
        <v>26</v>
      </c>
      <c r="B666">
        <v>20.309999999999999</v>
      </c>
    </row>
    <row r="667" spans="1:2" x14ac:dyDescent="0.25">
      <c r="A667">
        <v>74</v>
      </c>
      <c r="B667">
        <v>23.72</v>
      </c>
    </row>
    <row r="668" spans="1:2" x14ac:dyDescent="0.25">
      <c r="A668">
        <v>186</v>
      </c>
      <c r="B668">
        <v>59.62</v>
      </c>
    </row>
    <row r="669" spans="1:2" x14ac:dyDescent="0.25">
      <c r="A669">
        <v>98</v>
      </c>
      <c r="B669">
        <v>31.41</v>
      </c>
    </row>
    <row r="670" spans="1:2" x14ac:dyDescent="0.25">
      <c r="A670">
        <v>66</v>
      </c>
      <c r="B670">
        <v>21.15</v>
      </c>
    </row>
    <row r="671" spans="1:2" x14ac:dyDescent="0.25">
      <c r="A671">
        <v>62</v>
      </c>
      <c r="B671">
        <v>19.87</v>
      </c>
    </row>
    <row r="672" spans="1:2" x14ac:dyDescent="0.25">
      <c r="A672">
        <v>82</v>
      </c>
      <c r="B672">
        <v>26.28</v>
      </c>
    </row>
    <row r="673" spans="1:2" x14ac:dyDescent="0.25">
      <c r="A673">
        <v>112</v>
      </c>
      <c r="B673">
        <v>35.9</v>
      </c>
    </row>
    <row r="674" spans="1:2" x14ac:dyDescent="0.25">
      <c r="A674">
        <v>102</v>
      </c>
      <c r="B674">
        <v>32.69</v>
      </c>
    </row>
    <row r="675" spans="1:2" x14ac:dyDescent="0.25">
      <c r="A675">
        <v>88</v>
      </c>
      <c r="B675">
        <v>28.21</v>
      </c>
    </row>
    <row r="676" spans="1:2" x14ac:dyDescent="0.25">
      <c r="A676">
        <v>0</v>
      </c>
      <c r="B676">
        <v>0</v>
      </c>
    </row>
    <row r="677" spans="1:2" x14ac:dyDescent="0.25">
      <c r="A677">
        <v>82</v>
      </c>
      <c r="B677">
        <v>26.28</v>
      </c>
    </row>
    <row r="678" spans="1:2" x14ac:dyDescent="0.25">
      <c r="A678">
        <v>110</v>
      </c>
      <c r="B678">
        <v>35.26</v>
      </c>
    </row>
    <row r="679" spans="1:2" x14ac:dyDescent="0.25">
      <c r="A679">
        <v>2</v>
      </c>
      <c r="B679">
        <v>0.64</v>
      </c>
    </row>
    <row r="680" spans="1:2" x14ac:dyDescent="0.25">
      <c r="A680">
        <v>164</v>
      </c>
      <c r="B680">
        <v>67.77</v>
      </c>
    </row>
    <row r="681" spans="1:2" x14ac:dyDescent="0.25">
      <c r="A681">
        <v>128</v>
      </c>
      <c r="B681">
        <v>52.89</v>
      </c>
    </row>
    <row r="682" spans="1:2" x14ac:dyDescent="0.25">
      <c r="A682">
        <v>52</v>
      </c>
      <c r="B682">
        <v>21.49</v>
      </c>
    </row>
    <row r="683" spans="1:2" x14ac:dyDescent="0.25">
      <c r="A683">
        <v>92</v>
      </c>
      <c r="B683">
        <v>38.020000000000003</v>
      </c>
    </row>
    <row r="684" spans="1:2" x14ac:dyDescent="0.25">
      <c r="A684">
        <v>146</v>
      </c>
      <c r="B684">
        <v>60.33</v>
      </c>
    </row>
    <row r="685" spans="1:2" x14ac:dyDescent="0.25">
      <c r="A685">
        <v>182</v>
      </c>
      <c r="B685">
        <v>75.209999999999994</v>
      </c>
    </row>
    <row r="686" spans="1:2" x14ac:dyDescent="0.25">
      <c r="A686">
        <v>100</v>
      </c>
      <c r="B686">
        <v>41.32</v>
      </c>
    </row>
    <row r="687" spans="1:2" x14ac:dyDescent="0.25">
      <c r="A687">
        <v>174</v>
      </c>
      <c r="B687">
        <v>71.900000000000006</v>
      </c>
    </row>
    <row r="688" spans="1:2" x14ac:dyDescent="0.25">
      <c r="A688">
        <v>152</v>
      </c>
      <c r="B688">
        <v>62.81</v>
      </c>
    </row>
    <row r="689" spans="1:2" x14ac:dyDescent="0.25">
      <c r="A689">
        <v>166</v>
      </c>
      <c r="B689">
        <v>68.599999999999994</v>
      </c>
    </row>
    <row r="690" spans="1:2" x14ac:dyDescent="0.25">
      <c r="A690">
        <v>16</v>
      </c>
      <c r="B690">
        <v>6.61</v>
      </c>
    </row>
    <row r="691" spans="1:2" x14ac:dyDescent="0.25">
      <c r="A691">
        <v>102</v>
      </c>
      <c r="B691">
        <v>42.15</v>
      </c>
    </row>
    <row r="692" spans="1:2" x14ac:dyDescent="0.25">
      <c r="A692">
        <v>10</v>
      </c>
      <c r="B692">
        <v>4.13</v>
      </c>
    </row>
    <row r="693" spans="1:2" x14ac:dyDescent="0.25">
      <c r="A693">
        <v>232</v>
      </c>
      <c r="B693">
        <v>95.87</v>
      </c>
    </row>
    <row r="694" spans="1:2" x14ac:dyDescent="0.25">
      <c r="A694">
        <v>232</v>
      </c>
      <c r="B694">
        <v>95.87</v>
      </c>
    </row>
    <row r="695" spans="1:2" x14ac:dyDescent="0.25">
      <c r="A695">
        <v>124</v>
      </c>
      <c r="B695">
        <v>51.24</v>
      </c>
    </row>
    <row r="696" spans="1:2" x14ac:dyDescent="0.25">
      <c r="A696">
        <v>32</v>
      </c>
      <c r="B696">
        <v>13.22</v>
      </c>
    </row>
    <row r="697" spans="1:2" x14ac:dyDescent="0.25">
      <c r="A697">
        <v>68</v>
      </c>
      <c r="B697">
        <v>28.1</v>
      </c>
    </row>
    <row r="698" spans="1:2" x14ac:dyDescent="0.25">
      <c r="A698">
        <v>28</v>
      </c>
      <c r="B698">
        <v>11.57</v>
      </c>
    </row>
    <row r="699" spans="1:2" x14ac:dyDescent="0.25">
      <c r="A699">
        <v>96</v>
      </c>
      <c r="B699">
        <v>39.67</v>
      </c>
    </row>
    <row r="700" spans="1:2" x14ac:dyDescent="0.25">
      <c r="A700">
        <v>34</v>
      </c>
      <c r="B700">
        <v>14.05</v>
      </c>
    </row>
    <row r="701" spans="1:2" x14ac:dyDescent="0.25">
      <c r="A701">
        <v>64</v>
      </c>
      <c r="B701">
        <v>26.45</v>
      </c>
    </row>
    <row r="702" spans="1:2" x14ac:dyDescent="0.25">
      <c r="A702">
        <v>68</v>
      </c>
      <c r="B702">
        <v>28.1</v>
      </c>
    </row>
    <row r="703" spans="1:2" x14ac:dyDescent="0.25">
      <c r="A703">
        <v>66</v>
      </c>
      <c r="B703">
        <v>27.27</v>
      </c>
    </row>
    <row r="704" spans="1:2" x14ac:dyDescent="0.25">
      <c r="A704">
        <v>12</v>
      </c>
      <c r="B704">
        <v>4.2</v>
      </c>
    </row>
    <row r="705" spans="1:2" x14ac:dyDescent="0.25">
      <c r="A705">
        <v>4</v>
      </c>
      <c r="B705">
        <v>1.4</v>
      </c>
    </row>
    <row r="706" spans="1:2" x14ac:dyDescent="0.25">
      <c r="A706">
        <v>0</v>
      </c>
      <c r="B706">
        <v>0</v>
      </c>
    </row>
    <row r="707" spans="1:2" x14ac:dyDescent="0.25">
      <c r="A707">
        <v>60</v>
      </c>
      <c r="B707">
        <v>20.98</v>
      </c>
    </row>
    <row r="708" spans="1:2" x14ac:dyDescent="0.25">
      <c r="A708">
        <v>0</v>
      </c>
      <c r="B708">
        <v>0</v>
      </c>
    </row>
    <row r="709" spans="1:2" x14ac:dyDescent="0.25">
      <c r="A709">
        <v>0</v>
      </c>
      <c r="B709">
        <v>0</v>
      </c>
    </row>
    <row r="710" spans="1:2" x14ac:dyDescent="0.25">
      <c r="A710">
        <v>6</v>
      </c>
      <c r="B710">
        <v>2.1</v>
      </c>
    </row>
    <row r="711" spans="1:2" x14ac:dyDescent="0.25">
      <c r="A711">
        <v>14</v>
      </c>
      <c r="B711">
        <v>4.9000000000000004</v>
      </c>
    </row>
    <row r="712" spans="1:2" x14ac:dyDescent="0.25">
      <c r="A712">
        <v>52</v>
      </c>
      <c r="B712">
        <v>18.18</v>
      </c>
    </row>
    <row r="713" spans="1:2" x14ac:dyDescent="0.25">
      <c r="A713">
        <v>0</v>
      </c>
      <c r="B713">
        <v>0</v>
      </c>
    </row>
    <row r="714" spans="1:2" x14ac:dyDescent="0.25">
      <c r="A714">
        <v>0</v>
      </c>
      <c r="B714">
        <v>0</v>
      </c>
    </row>
    <row r="715" spans="1:2" x14ac:dyDescent="0.25">
      <c r="A715">
        <v>0</v>
      </c>
      <c r="B715">
        <v>0</v>
      </c>
    </row>
    <row r="716" spans="1:2" x14ac:dyDescent="0.25">
      <c r="A716">
        <v>156</v>
      </c>
      <c r="B716">
        <v>54.55</v>
      </c>
    </row>
    <row r="717" spans="1:2" x14ac:dyDescent="0.25">
      <c r="A717">
        <v>104</v>
      </c>
      <c r="B717">
        <v>36.36</v>
      </c>
    </row>
    <row r="718" spans="1:2" x14ac:dyDescent="0.25">
      <c r="A718">
        <v>0</v>
      </c>
      <c r="B718">
        <v>0</v>
      </c>
    </row>
    <row r="719" spans="1:2" x14ac:dyDescent="0.25">
      <c r="A719">
        <v>106</v>
      </c>
      <c r="B719">
        <v>37.06</v>
      </c>
    </row>
    <row r="720" spans="1:2" x14ac:dyDescent="0.25">
      <c r="A720">
        <v>110</v>
      </c>
      <c r="B720">
        <v>38.46</v>
      </c>
    </row>
    <row r="721" spans="1:2" x14ac:dyDescent="0.25">
      <c r="A721">
        <v>126</v>
      </c>
      <c r="B721">
        <v>44.06</v>
      </c>
    </row>
    <row r="722" spans="1:2" x14ac:dyDescent="0.25">
      <c r="A722">
        <v>118</v>
      </c>
      <c r="B722">
        <v>41.26</v>
      </c>
    </row>
    <row r="723" spans="1:2" x14ac:dyDescent="0.25">
      <c r="A723">
        <v>34</v>
      </c>
      <c r="B723">
        <v>11.89</v>
      </c>
    </row>
    <row r="724" spans="1:2" x14ac:dyDescent="0.25">
      <c r="A724">
        <v>140</v>
      </c>
      <c r="B724">
        <v>48.95</v>
      </c>
    </row>
    <row r="725" spans="1:2" x14ac:dyDescent="0.25">
      <c r="A725">
        <v>182</v>
      </c>
      <c r="B725">
        <v>68.94</v>
      </c>
    </row>
    <row r="726" spans="1:2" x14ac:dyDescent="0.25">
      <c r="A726">
        <v>198</v>
      </c>
      <c r="B726">
        <v>75</v>
      </c>
    </row>
    <row r="727" spans="1:2" x14ac:dyDescent="0.25">
      <c r="A727">
        <v>18</v>
      </c>
      <c r="B727">
        <v>6.82</v>
      </c>
    </row>
    <row r="728" spans="1:2" x14ac:dyDescent="0.25">
      <c r="A728">
        <v>220</v>
      </c>
      <c r="B728">
        <v>83.33</v>
      </c>
    </row>
    <row r="729" spans="1:2" x14ac:dyDescent="0.25">
      <c r="A729">
        <v>38</v>
      </c>
      <c r="B729">
        <v>14.39</v>
      </c>
    </row>
    <row r="730" spans="1:2" x14ac:dyDescent="0.25">
      <c r="A730">
        <v>32</v>
      </c>
      <c r="B730">
        <v>12.12</v>
      </c>
    </row>
    <row r="731" spans="1:2" x14ac:dyDescent="0.25">
      <c r="A731">
        <v>102</v>
      </c>
      <c r="B731">
        <v>38.64</v>
      </c>
    </row>
    <row r="732" spans="1:2" x14ac:dyDescent="0.25">
      <c r="A732">
        <v>168</v>
      </c>
      <c r="B732">
        <v>63.64</v>
      </c>
    </row>
    <row r="733" spans="1:2" x14ac:dyDescent="0.25">
      <c r="A733">
        <v>32</v>
      </c>
      <c r="B733">
        <v>12.12</v>
      </c>
    </row>
    <row r="734" spans="1:2" x14ac:dyDescent="0.25">
      <c r="A734">
        <v>34</v>
      </c>
      <c r="B734">
        <v>12.88</v>
      </c>
    </row>
    <row r="735" spans="1:2" x14ac:dyDescent="0.25">
      <c r="A735">
        <v>60</v>
      </c>
      <c r="B735">
        <v>22.73</v>
      </c>
    </row>
    <row r="736" spans="1:2" x14ac:dyDescent="0.25">
      <c r="A736">
        <v>62</v>
      </c>
      <c r="B736">
        <v>23.48</v>
      </c>
    </row>
    <row r="737" spans="1:2" x14ac:dyDescent="0.25">
      <c r="A737">
        <v>128</v>
      </c>
      <c r="B737">
        <v>48.48</v>
      </c>
    </row>
    <row r="738" spans="1:2" x14ac:dyDescent="0.25">
      <c r="A738">
        <v>102</v>
      </c>
      <c r="B738">
        <v>38.64</v>
      </c>
    </row>
    <row r="739" spans="1:2" x14ac:dyDescent="0.25">
      <c r="A739">
        <v>8</v>
      </c>
      <c r="B739">
        <v>3.03</v>
      </c>
    </row>
    <row r="740" spans="1:2" x14ac:dyDescent="0.25">
      <c r="A740">
        <v>6</v>
      </c>
      <c r="B740">
        <v>2.27</v>
      </c>
    </row>
    <row r="741" spans="1:2" x14ac:dyDescent="0.25">
      <c r="A741">
        <v>46</v>
      </c>
      <c r="B741">
        <v>17.420000000000002</v>
      </c>
    </row>
    <row r="742" spans="1:2" x14ac:dyDescent="0.25">
      <c r="A742">
        <v>132</v>
      </c>
      <c r="B742">
        <v>50</v>
      </c>
    </row>
    <row r="743" spans="1:2" x14ac:dyDescent="0.25">
      <c r="A743">
        <v>188</v>
      </c>
      <c r="B743">
        <v>71.209999999999994</v>
      </c>
    </row>
    <row r="744" spans="1:2" x14ac:dyDescent="0.25">
      <c r="A744">
        <v>140</v>
      </c>
      <c r="B744">
        <v>53.03</v>
      </c>
    </row>
    <row r="745" spans="1:2" x14ac:dyDescent="0.25">
      <c r="A745">
        <v>80</v>
      </c>
      <c r="B745">
        <v>30.3</v>
      </c>
    </row>
    <row r="746" spans="1:2" x14ac:dyDescent="0.25">
      <c r="A746">
        <v>34</v>
      </c>
      <c r="B746">
        <v>12.88</v>
      </c>
    </row>
    <row r="747" spans="1:2" x14ac:dyDescent="0.25">
      <c r="A747">
        <v>226</v>
      </c>
      <c r="B747">
        <v>85.61</v>
      </c>
    </row>
    <row r="748" spans="1:2" x14ac:dyDescent="0.25">
      <c r="A748">
        <v>230</v>
      </c>
      <c r="B748">
        <v>87.12</v>
      </c>
    </row>
    <row r="749" spans="1:2" x14ac:dyDescent="0.25">
      <c r="A749">
        <v>46</v>
      </c>
      <c r="B749">
        <v>15.86</v>
      </c>
    </row>
    <row r="750" spans="1:2" x14ac:dyDescent="0.25">
      <c r="A750">
        <v>66</v>
      </c>
      <c r="B750">
        <v>22.76</v>
      </c>
    </row>
    <row r="751" spans="1:2" x14ac:dyDescent="0.25">
      <c r="A751">
        <v>56</v>
      </c>
      <c r="B751">
        <v>19.309999999999999</v>
      </c>
    </row>
    <row r="752" spans="1:2" x14ac:dyDescent="0.25">
      <c r="A752">
        <v>130</v>
      </c>
      <c r="B752">
        <v>44.83</v>
      </c>
    </row>
    <row r="753" spans="1:2" x14ac:dyDescent="0.25">
      <c r="A753">
        <v>52</v>
      </c>
      <c r="B753">
        <v>17.93</v>
      </c>
    </row>
    <row r="754" spans="1:2" x14ac:dyDescent="0.25">
      <c r="A754">
        <v>18</v>
      </c>
      <c r="B754">
        <v>6.21</v>
      </c>
    </row>
    <row r="755" spans="1:2" x14ac:dyDescent="0.25">
      <c r="A755">
        <v>72</v>
      </c>
      <c r="B755">
        <v>24.83</v>
      </c>
    </row>
    <row r="756" spans="1:2" x14ac:dyDescent="0.25">
      <c r="A756">
        <v>92</v>
      </c>
      <c r="B756">
        <v>31.72</v>
      </c>
    </row>
    <row r="757" spans="1:2" x14ac:dyDescent="0.25">
      <c r="A757">
        <v>28</v>
      </c>
      <c r="B757">
        <v>9.66</v>
      </c>
    </row>
    <row r="758" spans="1:2" x14ac:dyDescent="0.25">
      <c r="A758">
        <v>72</v>
      </c>
      <c r="B758">
        <v>24.83</v>
      </c>
    </row>
    <row r="759" spans="1:2" x14ac:dyDescent="0.25">
      <c r="A759">
        <v>58</v>
      </c>
      <c r="B759">
        <v>20</v>
      </c>
    </row>
    <row r="760" spans="1:2" x14ac:dyDescent="0.25">
      <c r="A760">
        <v>92</v>
      </c>
      <c r="B760">
        <v>31.72</v>
      </c>
    </row>
    <row r="761" spans="1:2" x14ac:dyDescent="0.25">
      <c r="A761">
        <v>42</v>
      </c>
      <c r="B761">
        <v>14.48</v>
      </c>
    </row>
    <row r="762" spans="1:2" x14ac:dyDescent="0.25">
      <c r="A762">
        <v>80</v>
      </c>
      <c r="B762">
        <v>27.59</v>
      </c>
    </row>
    <row r="763" spans="1:2" x14ac:dyDescent="0.25">
      <c r="A763">
        <v>0</v>
      </c>
      <c r="B763">
        <v>0</v>
      </c>
    </row>
    <row r="764" spans="1:2" x14ac:dyDescent="0.25">
      <c r="A764">
        <v>68</v>
      </c>
      <c r="B764">
        <v>23.45</v>
      </c>
    </row>
    <row r="765" spans="1:2" x14ac:dyDescent="0.25">
      <c r="A765">
        <v>134</v>
      </c>
      <c r="B765">
        <v>46.21</v>
      </c>
    </row>
    <row r="766" spans="1:2" x14ac:dyDescent="0.25">
      <c r="A766">
        <v>82</v>
      </c>
      <c r="B766">
        <v>28.28</v>
      </c>
    </row>
    <row r="767" spans="1:2" x14ac:dyDescent="0.25">
      <c r="A767">
        <v>8</v>
      </c>
      <c r="B767">
        <v>2.76</v>
      </c>
    </row>
    <row r="768" spans="1:2" x14ac:dyDescent="0.25">
      <c r="A768">
        <v>2</v>
      </c>
      <c r="B768">
        <v>0.69</v>
      </c>
    </row>
    <row r="769" spans="1:2" x14ac:dyDescent="0.25">
      <c r="A769">
        <v>70</v>
      </c>
      <c r="B769">
        <v>24.14</v>
      </c>
    </row>
    <row r="770" spans="1:2" x14ac:dyDescent="0.25">
      <c r="A770">
        <v>56</v>
      </c>
      <c r="B770">
        <v>19.309999999999999</v>
      </c>
    </row>
    <row r="771" spans="1:2" x14ac:dyDescent="0.25">
      <c r="A771">
        <v>128</v>
      </c>
      <c r="B771">
        <v>44.14</v>
      </c>
    </row>
    <row r="772" spans="1:2" x14ac:dyDescent="0.25">
      <c r="A772">
        <v>32</v>
      </c>
      <c r="B772">
        <v>11.03</v>
      </c>
    </row>
    <row r="773" spans="1:2" x14ac:dyDescent="0.25">
      <c r="A773">
        <v>8</v>
      </c>
      <c r="B773">
        <v>2.76</v>
      </c>
    </row>
    <row r="774" spans="1:2" x14ac:dyDescent="0.25">
      <c r="A774">
        <v>94</v>
      </c>
      <c r="B774">
        <v>32.409999999999997</v>
      </c>
    </row>
    <row r="775" spans="1:2" x14ac:dyDescent="0.25">
      <c r="A775">
        <v>76</v>
      </c>
      <c r="B775">
        <v>26.21</v>
      </c>
    </row>
    <row r="776" spans="1:2" x14ac:dyDescent="0.25">
      <c r="A776">
        <v>20</v>
      </c>
      <c r="B776">
        <v>6.9</v>
      </c>
    </row>
    <row r="777" spans="1:2" x14ac:dyDescent="0.25">
      <c r="A777">
        <v>36</v>
      </c>
      <c r="B777">
        <v>12.41</v>
      </c>
    </row>
    <row r="778" spans="1:2" x14ac:dyDescent="0.25">
      <c r="A778">
        <v>4</v>
      </c>
      <c r="B778">
        <v>1.53</v>
      </c>
    </row>
    <row r="779" spans="1:2" x14ac:dyDescent="0.25">
      <c r="A779">
        <v>0</v>
      </c>
      <c r="B779">
        <v>0</v>
      </c>
    </row>
    <row r="780" spans="1:2" x14ac:dyDescent="0.25">
      <c r="A780">
        <v>0</v>
      </c>
      <c r="B780">
        <v>0</v>
      </c>
    </row>
    <row r="781" spans="1:2" x14ac:dyDescent="0.25">
      <c r="A781">
        <v>26</v>
      </c>
      <c r="B781">
        <v>9.9600000000000009</v>
      </c>
    </row>
    <row r="782" spans="1:2" x14ac:dyDescent="0.25">
      <c r="A782">
        <v>146</v>
      </c>
      <c r="B782">
        <v>55.94</v>
      </c>
    </row>
    <row r="783" spans="1:2" x14ac:dyDescent="0.25">
      <c r="A783">
        <v>0</v>
      </c>
      <c r="B783">
        <v>0</v>
      </c>
    </row>
    <row r="784" spans="1:2" x14ac:dyDescent="0.25">
      <c r="A784">
        <v>166</v>
      </c>
      <c r="B784">
        <v>63.6</v>
      </c>
    </row>
    <row r="785" spans="1:2" x14ac:dyDescent="0.25">
      <c r="A785">
        <v>0</v>
      </c>
      <c r="B785">
        <v>0</v>
      </c>
    </row>
    <row r="786" spans="1:2" x14ac:dyDescent="0.25">
      <c r="A786">
        <v>0</v>
      </c>
      <c r="B786">
        <v>0</v>
      </c>
    </row>
    <row r="787" spans="1:2" x14ac:dyDescent="0.25">
      <c r="A787">
        <v>2</v>
      </c>
      <c r="B787">
        <v>0.77</v>
      </c>
    </row>
    <row r="788" spans="1:2" x14ac:dyDescent="0.25">
      <c r="A788">
        <v>14</v>
      </c>
      <c r="B788">
        <v>5.36</v>
      </c>
    </row>
    <row r="789" spans="1:2" x14ac:dyDescent="0.25">
      <c r="A789">
        <v>20</v>
      </c>
      <c r="B789">
        <v>7.66</v>
      </c>
    </row>
    <row r="790" spans="1:2" x14ac:dyDescent="0.25">
      <c r="A790">
        <v>58</v>
      </c>
      <c r="B790">
        <v>22.22</v>
      </c>
    </row>
    <row r="791" spans="1:2" x14ac:dyDescent="0.25">
      <c r="A791">
        <v>162</v>
      </c>
      <c r="B791">
        <v>62.07</v>
      </c>
    </row>
    <row r="792" spans="1:2" x14ac:dyDescent="0.25">
      <c r="A792">
        <v>8</v>
      </c>
      <c r="B792">
        <v>3.07</v>
      </c>
    </row>
    <row r="793" spans="1:2" x14ac:dyDescent="0.25">
      <c r="A793">
        <v>58</v>
      </c>
      <c r="B793">
        <v>22.22</v>
      </c>
    </row>
    <row r="794" spans="1:2" x14ac:dyDescent="0.25">
      <c r="A794">
        <v>120</v>
      </c>
      <c r="B794">
        <v>45.98</v>
      </c>
    </row>
    <row r="795" spans="1:2" x14ac:dyDescent="0.25">
      <c r="A795">
        <v>152</v>
      </c>
      <c r="B795">
        <v>58.24</v>
      </c>
    </row>
    <row r="796" spans="1:2" x14ac:dyDescent="0.25">
      <c r="A796">
        <v>56</v>
      </c>
      <c r="B796">
        <v>21.46</v>
      </c>
    </row>
    <row r="797" spans="1:2" x14ac:dyDescent="0.25">
      <c r="A797">
        <v>156</v>
      </c>
      <c r="B797">
        <v>59.77</v>
      </c>
    </row>
    <row r="798" spans="1:2" x14ac:dyDescent="0.25">
      <c r="A798">
        <v>0</v>
      </c>
      <c r="B798">
        <v>0</v>
      </c>
    </row>
    <row r="799" spans="1:2" x14ac:dyDescent="0.25">
      <c r="A799">
        <v>116</v>
      </c>
      <c r="B799">
        <v>44.44</v>
      </c>
    </row>
    <row r="800" spans="1:2" x14ac:dyDescent="0.25">
      <c r="A800">
        <v>18</v>
      </c>
      <c r="B800">
        <v>6.9</v>
      </c>
    </row>
    <row r="801" spans="1:2" x14ac:dyDescent="0.25">
      <c r="A801">
        <v>0</v>
      </c>
      <c r="B801">
        <v>0</v>
      </c>
    </row>
    <row r="802" spans="1:2" x14ac:dyDescent="0.25">
      <c r="A802">
        <v>42</v>
      </c>
      <c r="B802">
        <v>16.09</v>
      </c>
    </row>
    <row r="803" spans="1:2" x14ac:dyDescent="0.25">
      <c r="A803">
        <v>0</v>
      </c>
      <c r="B803">
        <v>0</v>
      </c>
    </row>
    <row r="804" spans="1:2" x14ac:dyDescent="0.25">
      <c r="A804">
        <v>114</v>
      </c>
      <c r="B804">
        <v>43.68</v>
      </c>
    </row>
    <row r="805" spans="1:2" x14ac:dyDescent="0.25">
      <c r="A805">
        <v>22</v>
      </c>
      <c r="B805">
        <v>8.43</v>
      </c>
    </row>
    <row r="806" spans="1:2" x14ac:dyDescent="0.25">
      <c r="A806">
        <v>0</v>
      </c>
      <c r="B806">
        <v>0</v>
      </c>
    </row>
    <row r="807" spans="1:2" x14ac:dyDescent="0.25">
      <c r="A807">
        <v>22</v>
      </c>
      <c r="B807">
        <v>8.43</v>
      </c>
    </row>
    <row r="808" spans="1:2" x14ac:dyDescent="0.25">
      <c r="A808">
        <v>168</v>
      </c>
      <c r="B808">
        <v>64.37</v>
      </c>
    </row>
    <row r="809" spans="1:2" x14ac:dyDescent="0.25">
      <c r="A809">
        <v>20</v>
      </c>
      <c r="B809">
        <v>7.66</v>
      </c>
    </row>
    <row r="810" spans="1:2" x14ac:dyDescent="0.25">
      <c r="A810">
        <v>176</v>
      </c>
      <c r="B810">
        <v>67.430000000000007</v>
      </c>
    </row>
    <row r="811" spans="1:2" x14ac:dyDescent="0.25">
      <c r="A811">
        <v>154</v>
      </c>
      <c r="B811">
        <v>59</v>
      </c>
    </row>
    <row r="812" spans="1:2" x14ac:dyDescent="0.25">
      <c r="A812">
        <v>2</v>
      </c>
      <c r="B812">
        <v>0.77</v>
      </c>
    </row>
    <row r="813" spans="1:2" x14ac:dyDescent="0.25">
      <c r="A813">
        <v>64</v>
      </c>
      <c r="B813">
        <v>24.52</v>
      </c>
    </row>
    <row r="814" spans="1:2" x14ac:dyDescent="0.25">
      <c r="A814">
        <v>170</v>
      </c>
      <c r="B814">
        <v>65.13</v>
      </c>
    </row>
    <row r="815" spans="1:2" x14ac:dyDescent="0.25">
      <c r="A815">
        <v>32</v>
      </c>
      <c r="B815">
        <v>12.26</v>
      </c>
    </row>
    <row r="816" spans="1:2" x14ac:dyDescent="0.25">
      <c r="A816">
        <v>180</v>
      </c>
      <c r="B816">
        <v>68.97</v>
      </c>
    </row>
    <row r="817" spans="1:2" x14ac:dyDescent="0.25">
      <c r="A817">
        <v>60</v>
      </c>
      <c r="B817">
        <v>22.99</v>
      </c>
    </row>
    <row r="818" spans="1:2" x14ac:dyDescent="0.25">
      <c r="A818">
        <v>174</v>
      </c>
      <c r="B818">
        <v>66.67</v>
      </c>
    </row>
    <row r="819" spans="1:2" x14ac:dyDescent="0.25">
      <c r="A819">
        <v>104</v>
      </c>
      <c r="B819">
        <v>39.85</v>
      </c>
    </row>
    <row r="820" spans="1:2" x14ac:dyDescent="0.25">
      <c r="A820">
        <v>188</v>
      </c>
      <c r="B820">
        <v>72.03</v>
      </c>
    </row>
    <row r="821" spans="1:2" x14ac:dyDescent="0.25">
      <c r="A821">
        <v>126</v>
      </c>
      <c r="B821">
        <v>48.28</v>
      </c>
    </row>
    <row r="822" spans="1:2" x14ac:dyDescent="0.25">
      <c r="A822">
        <v>122</v>
      </c>
      <c r="B822">
        <v>46.74</v>
      </c>
    </row>
    <row r="823" spans="1:2" x14ac:dyDescent="0.25">
      <c r="A823">
        <v>6</v>
      </c>
      <c r="B823">
        <v>2.2999999999999998</v>
      </c>
    </row>
    <row r="824" spans="1:2" x14ac:dyDescent="0.25">
      <c r="A824">
        <v>108</v>
      </c>
      <c r="B824">
        <v>41.38</v>
      </c>
    </row>
    <row r="825" spans="1:2" x14ac:dyDescent="0.25">
      <c r="A825">
        <v>166</v>
      </c>
      <c r="B825">
        <v>63.6</v>
      </c>
    </row>
    <row r="826" spans="1:2" x14ac:dyDescent="0.25">
      <c r="A826">
        <v>120</v>
      </c>
      <c r="B826">
        <v>45.98</v>
      </c>
    </row>
    <row r="827" spans="1:2" x14ac:dyDescent="0.25">
      <c r="A827">
        <v>188</v>
      </c>
      <c r="B827">
        <v>72.03</v>
      </c>
    </row>
    <row r="828" spans="1:2" x14ac:dyDescent="0.25">
      <c r="A828">
        <v>82</v>
      </c>
      <c r="B828">
        <v>31.42</v>
      </c>
    </row>
    <row r="829" spans="1:2" x14ac:dyDescent="0.25">
      <c r="A829">
        <v>184</v>
      </c>
      <c r="B829">
        <v>70.5</v>
      </c>
    </row>
    <row r="830" spans="1:2" x14ac:dyDescent="0.25">
      <c r="A830">
        <v>38</v>
      </c>
      <c r="B830">
        <v>14.56</v>
      </c>
    </row>
    <row r="831" spans="1:2" x14ac:dyDescent="0.25">
      <c r="A831">
        <v>120</v>
      </c>
      <c r="B831">
        <v>45.98</v>
      </c>
    </row>
    <row r="832" spans="1:2" x14ac:dyDescent="0.25">
      <c r="A832">
        <v>174</v>
      </c>
      <c r="B832">
        <v>66.67</v>
      </c>
    </row>
    <row r="833" spans="1:2" x14ac:dyDescent="0.25">
      <c r="A833">
        <v>124</v>
      </c>
      <c r="B833">
        <v>47.51</v>
      </c>
    </row>
    <row r="834" spans="1:2" x14ac:dyDescent="0.25">
      <c r="A834">
        <v>98</v>
      </c>
      <c r="B834">
        <v>37.549999999999997</v>
      </c>
    </row>
    <row r="835" spans="1:2" x14ac:dyDescent="0.25">
      <c r="A835">
        <v>50</v>
      </c>
      <c r="B835">
        <v>19.16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2A9F75-3971-4A92-B26B-79682E5EBF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Лист1</vt:lpstr>
      <vt:lpstr>ЭЖД-51</vt:lpstr>
      <vt:lpstr>ЭЖД-52</vt:lpstr>
      <vt:lpstr>ЭЖД-53</vt:lpstr>
      <vt:lpstr>ЭЖД-54у</vt:lpstr>
      <vt:lpstr>ЭЖД-55у</vt:lpstr>
      <vt:lpstr>ЭЖД-56у</vt:lpstr>
      <vt:lpstr>ЭЖД-57у</vt:lpstr>
      <vt:lpstr>Эб-51</vt:lpstr>
      <vt:lpstr>Мб-51</vt:lpstr>
      <vt:lpstr>Мб-52</vt:lpstr>
      <vt:lpstr>УПб-51</vt:lpstr>
      <vt:lpstr>УПб-41</vt:lpstr>
      <vt:lpstr>ЭМб-41</vt:lpstr>
      <vt:lpstr>ЭЖД-46у</vt:lpstr>
      <vt:lpstr>ЭЖД-45у</vt:lpstr>
      <vt:lpstr>ЭЖД-44у</vt:lpstr>
      <vt:lpstr>ЭЖД-43</vt:lpstr>
      <vt:lpstr>ЭЖД-42</vt:lpstr>
      <vt:lpstr>ЭЖД-41</vt:lpstr>
      <vt:lpstr>ЭЖД-33</vt:lpstr>
      <vt:lpstr>ЭЖД-32</vt:lpstr>
      <vt:lpstr>ЭЖД-31</vt:lpstr>
      <vt:lpstr>УПб-31</vt:lpstr>
      <vt:lpstr>Мб-31</vt:lpstr>
      <vt:lpstr>Эб-31</vt:lpstr>
      <vt:lpstr>ЭЖД-21</vt:lpstr>
      <vt:lpstr>ЭЖД-22</vt:lpstr>
      <vt:lpstr>ЭЖД-23</vt:lpstr>
      <vt:lpstr>ТТПб-21</vt:lpstr>
      <vt:lpstr>Эб-21</vt:lpstr>
      <vt:lpstr>УПб-21</vt:lpstr>
      <vt:lpstr>Мб-21</vt:lpstr>
      <vt:lpstr>ЭБт-51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Васильев</dc:creator>
  <cp:lastModifiedBy>Дмитрий Васильев</cp:lastModifiedBy>
  <dcterms:created xsi:type="dcterms:W3CDTF">2015-06-05T18:19:34Z</dcterms:created>
  <dcterms:modified xsi:type="dcterms:W3CDTF">2026-07-21T16:18:45Z</dcterms:modified>
</cp:coreProperties>
</file>